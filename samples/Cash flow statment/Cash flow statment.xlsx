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DELL\Desktop\FACT SAFE\Financials\Cash flow statment\"/>
    </mc:Choice>
  </mc:AlternateContent>
  <xr:revisionPtr revIDLastSave="0" documentId="13_ncr:1_{7A9CFCA5-0333-4AE6-B8D6-49F4C3D043E0}" xr6:coauthVersionLast="47" xr6:coauthVersionMax="47" xr10:uidLastSave="{00000000-0000-0000-0000-000000000000}"/>
  <bookViews>
    <workbookView xWindow="-96" yWindow="-96" windowWidth="23232" windowHeight="13872" activeTab="5" xr2:uid="{3B93FA87-A507-4169-94C9-7DBCF83E5CD4}"/>
  </bookViews>
  <sheets>
    <sheet name="April " sheetId="1" r:id="rId1"/>
    <sheet name="May " sheetId="2" r:id="rId2"/>
    <sheet name="June " sheetId="3" r:id="rId3"/>
    <sheet name="July 24" sheetId="4" r:id="rId4"/>
    <sheet name="Aug 24" sheetId="5" r:id="rId5"/>
    <sheet name="Sep 24" sheetId="6"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c">#REF!</definedName>
    <definedName name="\s">#REF!</definedName>
    <definedName name="_________f3" hidden="1">{#N/A,#N/A,FALSE,"Aging Summary";#N/A,#N/A,FALSE,"Ratio Analysis";#N/A,#N/A,FALSE,"Test 120 Day Accts";#N/A,#N/A,FALSE,"Tickmarks"}</definedName>
    <definedName name="_________f4" hidden="1">{#N/A,#N/A,FALSE,"Aging Summary";#N/A,#N/A,FALSE,"Ratio Analysis";#N/A,#N/A,FALSE,"Test 120 Day Accts";#N/A,#N/A,FALSE,"Tickmarks"}</definedName>
    <definedName name="________f3" hidden="1">{#N/A,#N/A,FALSE,"Aging Summary";#N/A,#N/A,FALSE,"Ratio Analysis";#N/A,#N/A,FALSE,"Test 120 Day Accts";#N/A,#N/A,FALSE,"Tickmarks"}</definedName>
    <definedName name="________f4" hidden="1">{#N/A,#N/A,FALSE,"Aging Summary";#N/A,#N/A,FALSE,"Ratio Analysis";#N/A,#N/A,FALSE,"Test 120 Day Accts";#N/A,#N/A,FALSE,"Tickmarks"}</definedName>
    <definedName name="_______f3" hidden="1">{#N/A,#N/A,FALSE,"Aging Summary";#N/A,#N/A,FALSE,"Ratio Analysis";#N/A,#N/A,FALSE,"Test 120 Day Accts";#N/A,#N/A,FALSE,"Tickmarks"}</definedName>
    <definedName name="_______f4" hidden="1">{#N/A,#N/A,FALSE,"Aging Summary";#N/A,#N/A,FALSE,"Ratio Analysis";#N/A,#N/A,FALSE,"Test 120 Day Accts";#N/A,#N/A,FALSE,"Tickmarks"}</definedName>
    <definedName name="______f3" hidden="1">{#N/A,#N/A,FALSE,"Aging Summary";#N/A,#N/A,FALSE,"Ratio Analysis";#N/A,#N/A,FALSE,"Test 120 Day Accts";#N/A,#N/A,FALSE,"Tickmarks"}</definedName>
    <definedName name="______f4" hidden="1">{#N/A,#N/A,FALSE,"Aging Summary";#N/A,#N/A,FALSE,"Ratio Analysis";#N/A,#N/A,FALSE,"Test 120 Day Accts";#N/A,#N/A,FALSE,"Tickmarks"}</definedName>
    <definedName name="_____f3" hidden="1">{#N/A,#N/A,FALSE,"Aging Summary";#N/A,#N/A,FALSE,"Ratio Analysis";#N/A,#N/A,FALSE,"Test 120 Day Accts";#N/A,#N/A,FALSE,"Tickmarks"}</definedName>
    <definedName name="_____f4" hidden="1">{#N/A,#N/A,FALSE,"Aging Summary";#N/A,#N/A,FALSE,"Ratio Analysis";#N/A,#N/A,FALSE,"Test 120 Day Accts";#N/A,#N/A,FALSE,"Tickmarks"}</definedName>
    <definedName name="____f3" hidden="1">{#N/A,#N/A,FALSE,"Aging Summary";#N/A,#N/A,FALSE,"Ratio Analysis";#N/A,#N/A,FALSE,"Test 120 Day Accts";#N/A,#N/A,FALSE,"Tickmarks"}</definedName>
    <definedName name="____f4" hidden="1">{#N/A,#N/A,FALSE,"Aging Summary";#N/A,#N/A,FALSE,"Ratio Analysis";#N/A,#N/A,FALSE,"Test 120 Day Accts";#N/A,#N/A,FALSE,"Tickmarks"}</definedName>
    <definedName name="___f3" hidden="1">{#N/A,#N/A,FALSE,"Aging Summary";#N/A,#N/A,FALSE,"Ratio Analysis";#N/A,#N/A,FALSE,"Test 120 Day Accts";#N/A,#N/A,FALSE,"Tickmarks"}</definedName>
    <definedName name="___f4" hidden="1">{#N/A,#N/A,FALSE,"Aging Summary";#N/A,#N/A,FALSE,"Ratio Analysis";#N/A,#N/A,FALSE,"Test 120 Day Accts";#N/A,#N/A,FALSE,"Tickmarks"}</definedName>
    <definedName name="___INDEX_SHEET___ASAP_Utilities">#REF!</definedName>
    <definedName name="___SCH1" hidden="1">{#N/A,#N/A,FALSE,"Aging Summary";#N/A,#N/A,FALSE,"Ratio Analysis";#N/A,#N/A,FALSE,"Test 120 Day Accts";#N/A,#N/A,FALSE,"Tickmarks"}</definedName>
    <definedName name="___SCH2" hidden="1">{#N/A,#N/A,FALSE,"Aging Summary";#N/A,#N/A,FALSE,"Ratio Analysis";#N/A,#N/A,FALSE,"Test 120 Day Accts";#N/A,#N/A,FALSE,"Tickmarks"}</definedName>
    <definedName name="___TB1">'[2]Other notes'!#REF!</definedName>
    <definedName name="___TB2">'[2]Other notes'!#REF!</definedName>
    <definedName name="___TB3">'[2]Other notes'!#REF!</definedName>
    <definedName name="___TB4">'[2]Other notes'!#REF!</definedName>
    <definedName name="___TB5">'[2]Other notes'!#REF!</definedName>
    <definedName name="___TB6">'[2]Other notes'!#REF!</definedName>
    <definedName name="___TB7">'[2]Other notes'!#REF!</definedName>
    <definedName name="__f3" hidden="1">{#N/A,#N/A,FALSE,"Aging Summary";#N/A,#N/A,FALSE,"Ratio Analysis";#N/A,#N/A,FALSE,"Test 120 Day Accts";#N/A,#N/A,FALSE,"Tickmarks"}</definedName>
    <definedName name="__f4" hidden="1">{#N/A,#N/A,FALSE,"Aging Summary";#N/A,#N/A,FALSE,"Ratio Analysis";#N/A,#N/A,FALSE,"Test 120 Day Accts";#N/A,#N/A,FALSE,"Tickmarks"}</definedName>
    <definedName name="__SCH1" hidden="1">{#N/A,#N/A,FALSE,"Aging Summary";#N/A,#N/A,FALSE,"Ratio Analysis";#N/A,#N/A,FALSE,"Test 120 Day Accts";#N/A,#N/A,FALSE,"Tickmarks"}</definedName>
    <definedName name="__SCH2" hidden="1">{#N/A,#N/A,FALSE,"Aging Summary";#N/A,#N/A,FALSE,"Ratio Analysis";#N/A,#N/A,FALSE,"Test 120 Day Accts";#N/A,#N/A,FALSE,"Tickmarks"}</definedName>
    <definedName name="__TB1">'[3]Other notes'!#REF!</definedName>
    <definedName name="__TB2">'[3]Other notes'!#REF!</definedName>
    <definedName name="__TB3">'[3]Other notes'!#REF!</definedName>
    <definedName name="__TB4">'[3]Other notes'!#REF!</definedName>
    <definedName name="__TB5">'[3]Other notes'!#REF!</definedName>
    <definedName name="__TB6">'[3]Other notes'!#REF!</definedName>
    <definedName name="__TB7">'[3]Other notes'!#REF!</definedName>
    <definedName name="__TDS2">[4]Pre_XML!$E$10</definedName>
    <definedName name="_f3" hidden="1">{#N/A,#N/A,FALSE,"Aging Summary";#N/A,#N/A,FALSE,"Ratio Analysis";#N/A,#N/A,FALSE,"Test 120 Day Accts";#N/A,#N/A,FALSE,"Tickmarks"}</definedName>
    <definedName name="_f4" hidden="1">{#N/A,#N/A,FALSE,"Aging Summary";#N/A,#N/A,FALSE,"Ratio Analysis";#N/A,#N/A,FALSE,"Test 120 Day Accts";#N/A,#N/A,FALSE,"Tickmarks"}</definedName>
    <definedName name="_Fill" hidden="1">#REF!</definedName>
    <definedName name="_iw2">'[5]Input-inf'!#REF!</definedName>
    <definedName name="_jm1">#REF!</definedName>
    <definedName name="_Key1" hidden="1">#REF!</definedName>
    <definedName name="_mn2">#REF!</definedName>
    <definedName name="_nm2">#REF!</definedName>
    <definedName name="_Order1" hidden="1">255</definedName>
    <definedName name="_Order2" hidden="1">255</definedName>
    <definedName name="_SCH1" hidden="1">{#N/A,#N/A,FALSE,"Aging Summary";#N/A,#N/A,FALSE,"Ratio Analysis";#N/A,#N/A,FALSE,"Test 120 Day Accts";#N/A,#N/A,FALSE,"Tickmarks"}</definedName>
    <definedName name="_SCH2" hidden="1">{#N/A,#N/A,FALSE,"Aging Summary";#N/A,#N/A,FALSE,"Ratio Analysis";#N/A,#N/A,FALSE,"Test 120 Day Accts";#N/A,#N/A,FALSE,"Tickmarks"}</definedName>
    <definedName name="_TB1">'[2]Other notes'!#REF!</definedName>
    <definedName name="_TB2">'[2]Other notes'!#REF!</definedName>
    <definedName name="_TB3">'[2]Other notes'!#REF!</definedName>
    <definedName name="_TB4">'[2]Other notes'!#REF!</definedName>
    <definedName name="_TB5">'[2]Other notes'!#REF!</definedName>
    <definedName name="_TB6">'[2]Other notes'!#REF!</definedName>
    <definedName name="_TB7">'[2]Other notes'!#REF!</definedName>
    <definedName name="_TDS2">[4]Pre_XML!$E$10</definedName>
    <definedName name="a" hidden="1">{#N/A,#N/A,FALSE,"Aging Summary";#N/A,#N/A,FALSE,"Ratio Analysis";#N/A,#N/A,FALSE,"Test 120 Day Accts";#N/A,#N/A,FALSE,"Tickmarks"}</definedName>
    <definedName name="A_C_NO">[6]Account_NO_Co_code!$A$2:$A$245</definedName>
    <definedName name="A_GEN1.AONo">[4]GENERAL!$AR$24</definedName>
    <definedName name="A_GEN1.AOType">[4]GENERAL!$AI$24</definedName>
    <definedName name="A_GEN1.AreaCode">[4]GENERAL!$AD$24</definedName>
    <definedName name="A_GEN1.AsseseeRepFlg">[4]GENERAL!$AN$31</definedName>
    <definedName name="A_GEN1.CityOrTownOrDistrict">[4]GENERAL!$C$18</definedName>
    <definedName name="A_GEN1.DateOFFormOrIncorp">[4]GENERAL!$AL$11</definedName>
    <definedName name="A_GEN1.DesigOfficerWardorCircle">[4]GENERAL!$C$24</definedName>
    <definedName name="A_GEN1.DomesticCompFlg">[4]GENERAL!$AQ$15</definedName>
    <definedName name="A_GEN1.EmailAddress">[4]GENERAL!$C$22</definedName>
    <definedName name="A_GEN1.FBTSec">[4]GENERAL!$AK$22</definedName>
    <definedName name="A_GEN1.IncomeTaxSec">[4]GENERAL!$AK$19</definedName>
    <definedName name="A_GEN1.LocalityOrArea">[4]GENERAL!$U$14</definedName>
    <definedName name="A_GEN1.NRI_PE">[4]GENERAL!$AR$30</definedName>
    <definedName name="A_GEN1.OrgOldName">[4]GENERAL!$U$6</definedName>
    <definedName name="A_GEN1.OrigRetFiledDate">[4]GENERAL!$AM$28</definedName>
    <definedName name="A_GEN1.PAN">[4]GENERAL!$AL$7</definedName>
    <definedName name="A_GEN1.PhoneNo">[4]GENERAL!$AD$22</definedName>
    <definedName name="A_GEN1.PinCode">[4]GENERAL!$AD$19</definedName>
    <definedName name="A_GEN1.RangeCode">[4]GENERAL!$AM$24</definedName>
    <definedName name="A_GEN1.ReceiptNo">[4]GENERAL!$U$28</definedName>
    <definedName name="A_GEN1.RepAddress">[4]GENERAL!$AC$34</definedName>
    <definedName name="A_GEN1.RepName">[4]GENERAL!$AC$33</definedName>
    <definedName name="A_GEN1.RepPAN">[4]GENERAL!$AC$35</definedName>
    <definedName name="A_GEN1.ResidenceName">[4]GENERAL!$U$10</definedName>
    <definedName name="A_GEN1.ResidenceNo">[4]GENERAL!$C$10</definedName>
    <definedName name="A_GEN1.ResidentialStatus">[4]GENERAL!$U$30</definedName>
    <definedName name="A_GEN1.ReturnType">[4]GENERAL!$V$26</definedName>
    <definedName name="A_GEN1.RoadOrStreet">[4]GENERAL!$C$14</definedName>
    <definedName name="A_GEN1.StateCode">[4]GENERAL!$U$18</definedName>
    <definedName name="A_GEN1.StatusOrCompanyType">[4]GENERAL!$AL$15</definedName>
    <definedName name="A_GEN1.STDcode">[4]GENERAL!$Y$22</definedName>
    <definedName name="A_GEN1.SurNameOrOrgName">[4]GENERAL!$C$6</definedName>
    <definedName name="A_GEN2.AudFrmName">[4]GENERAL!$W$40</definedName>
    <definedName name="A_GEN2.AudFrmPAN">[4]GENERAL!$AF$41</definedName>
    <definedName name="A_GEN2.AuditDate">[4]GENERAL!$N$42</definedName>
    <definedName name="A_GEN2.AuditorMemNo">[4]GENERAL!$R$39</definedName>
    <definedName name="A_GEN2.AuditorName">[4]GENERAL!$Y$38</definedName>
    <definedName name="A_GEN2.LiableSec44AAflg">[4]GENERAL!$AE$36</definedName>
    <definedName name="A_GEN2.LiableSec44ABflg">[4]GENERAL!$AO$37</definedName>
    <definedName name="aa" hidden="1">{#N/A,#N/A,FALSE,"Aging Summary";#N/A,#N/A,FALSE,"Ratio Analysis";#N/A,#N/A,FALSE,"Test 120 Day Accts";#N/A,#N/A,FALSE,"Tickmarks"}</definedName>
    <definedName name="AA10.DedFromUndertaking">'[4]10A'!$F$26</definedName>
    <definedName name="AA10.TotalDedUs10Sub">'[4]10A'!$H$27</definedName>
    <definedName name="AA10AA">[4]Pre_XML!$E$2</definedName>
    <definedName name="AAAA">[7]IO!$A$3:$A$657</definedName>
    <definedName name="Account_Balance">#REF!</definedName>
    <definedName name="adjtotloss.BusLossOthThanSpecLossCF9">[4]CFL!$F$12</definedName>
    <definedName name="adjtotloss.HPLossCF9">[4]CFL!$E$12</definedName>
    <definedName name="adjtotloss.LossFrmSpecBusCF9">[4]CFL!$G$12</definedName>
    <definedName name="adjtotloss.LTCGLossCF9">[4]CFL!$I$12</definedName>
    <definedName name="adjtotloss.OthSrcLossNotRaceHorseCF9">[4]CFL!$J$12</definedName>
    <definedName name="adjtotloss.OthSrcLossRaceHorseCF9">[4]CFL!$K$12</definedName>
    <definedName name="adjtotloss.STCGLossCF9">[4]CFL!$H$12</definedName>
    <definedName name="ag" hidden="1">{#N/A,#N/A,FALSE,"Aging Summary";#N/A,#N/A,FALSE,"Ratio Analysis";#N/A,#N/A,FALSE,"Test 120 Day Accts";#N/A,#N/A,FALSE,"Tickmarks"}</definedName>
    <definedName name="ah">#REF!</definedName>
    <definedName name="ANNEX1_TOTAL">[8]ANNEX1!$C$3:$C$23</definedName>
    <definedName name="ANNEX2_TOTAL">[8]ANNEX2!$C$3:$C$23</definedName>
    <definedName name="ANNEX3_TOTAL">[8]ANNEX3!$C$3:$C$23</definedName>
    <definedName name="ANNEX4_TOTAL">[8]ANNEX4!$C$3:$C$23</definedName>
    <definedName name="ANNEX5_TOTAL">[8]ANNEX5!$C$3:$C$23</definedName>
    <definedName name="ANNEX6_READONLY">'[8]PART-6'!$R$5:$R$7,'[8]PART-6'!$O$7,'[8]PART-6'!$L$7,'[8]PART-6'!$I$7,'[8]PART-6'!$F$7,'[8]PART-6'!$C$7,'[8]PART-6'!$C$15,'[8]PART-6'!$F$15,'[8]PART-6'!$I$15,'[8]PART-6'!$L$13:$L$15</definedName>
    <definedName name="as">#REF!</definedName>
    <definedName name="AS2DocOpenMode" hidden="1">"AS2DocumentEdit"</definedName>
    <definedName name="AS2NamedRange" hidden="1">5</definedName>
    <definedName name="AS2ReportLS" hidden="1">1</definedName>
    <definedName name="AS2SyncStepLS" hidden="1">0</definedName>
    <definedName name="AS2VersionLS" hidden="1">300</definedName>
    <definedName name="asas" hidden="1">{#N/A,#N/A,FALSE,"Aging Summary";#N/A,#N/A,FALSE,"Ratio Analysis";#N/A,#N/A,FALSE,"Test 120 Day Accts";#N/A,#N/A,FALSE,"Tickmarks"}</definedName>
    <definedName name="asd">[9]Index!$C$5</definedName>
    <definedName name="asda">[10]TB!$D:$I</definedName>
    <definedName name="asdf" hidden="1">{#N/A,#N/A,FALSE,"Aging Summary";#N/A,#N/A,FALSE,"Ratio Analysis";#N/A,#N/A,FALSE,"Test 120 Day Accts";#N/A,#N/A,FALSE,"Tickmarks"}</definedName>
    <definedName name="asdfadsf" hidden="1">{#N/A,#N/A,FALSE,"Aging Summary";#N/A,#N/A,FALSE,"Ratio Analysis";#N/A,#N/A,FALSE,"Test 120 Day Accts";#N/A,#N/A,FALSE,"Tickmarks"}</definedName>
    <definedName name="asdfasdf" hidden="1">{#N/A,#N/A,FALSE,"Aging Summary";#N/A,#N/A,FALSE,"Ratio Analysis";#N/A,#N/A,FALSE,"Test 120 Day Accts";#N/A,#N/A,FALSE,"Tickmarks"}</definedName>
    <definedName name="asdfgasdf" hidden="1">{#N/A,#N/A,FALSE,"Aging Summary";#N/A,#N/A,FALSE,"Ratio Analysis";#N/A,#N/A,FALSE,"Test 120 Day Accts";#N/A,#N/A,FALSE,"Tickmarks"}</definedName>
    <definedName name="asdsf" hidden="1">{#N/A,#N/A,FALSE,"Aging Summary";#N/A,#N/A,FALSE,"Ratio Analysis";#N/A,#N/A,FALSE,"Test 120 Day Accts";#N/A,#N/A,FALSE,"Tickmarks"}</definedName>
    <definedName name="ASSL">[11]Index!$C$4</definedName>
    <definedName name="Audit_Cert">'[10]Note-P'!$F$123</definedName>
    <definedName name="Audit_Fees">'[10]Note-P'!$F$122</definedName>
    <definedName name="Audit_Firm">[12]Index!$C$22</definedName>
    <definedName name="Audit_Out_of_Pocket">'[10]Note-P'!$F$124</definedName>
    <definedName name="Audit_Partner">[13]Index!$C$20</definedName>
    <definedName name="Auditors">[13]Index!$C$19</definedName>
    <definedName name="av">[14]Sch!#REF!</definedName>
    <definedName name="b" hidden="1">{#N/A,#N/A,FALSE,"Aging Summary";#N/A,#N/A,FALSE,"Ratio Analysis";#N/A,#N/A,FALSE,"Test 120 Day Accts";#N/A,#N/A,FALSE,"Tickmarks"}</definedName>
    <definedName name="B10.DedFromUndertaking">'[4]10A'!$F$31</definedName>
    <definedName name="B10.TotalDedUs10Sub">'[4]10A'!$H$32</definedName>
    <definedName name="B10B">[4]Pre_XML!$E$3</definedName>
    <definedName name="BA10.DedFromUndertaking">'[4]10A'!$F$36</definedName>
    <definedName name="BA10.TotalDedUs10Sub">'[4]10A'!$H$37</definedName>
    <definedName name="BA10BA">[4]Pre_XML!$E$4</definedName>
    <definedName name="Bad_Debt_Recov">'[10]Note-P'!$F$51</definedName>
    <definedName name="Bal_Wback">'[10]Note-P'!$F$49</definedName>
    <definedName name="Bank_OD_Intt">'[10]Note-P'!$F$97</definedName>
    <definedName name="bb" hidden="1">{#N/A,#N/A,FALSE,"Aging Summary";#N/A,#N/A,FALSE,"Ratio Analysis";#N/A,#N/A,FALSE,"Test 120 Day Accts";#N/A,#N/A,FALSE,"Tickmarks"}</definedName>
    <definedName name="bdhgd" hidden="1">{#N/A,#N/A,FALSE,"Aging Summary";#N/A,#N/A,FALSE,"Ratio Analysis";#N/A,#N/A,FALSE,"Test 120 Day Accts";#N/A,#N/A,FALSE,"Tickmarks"}</definedName>
    <definedName name="BG_Del" hidden="1">15</definedName>
    <definedName name="BG_Ins" hidden="1">4</definedName>
    <definedName name="BG_Mod" hidden="1">6</definedName>
    <definedName name="BS.AccrIntNotDue">[4]BALANCE_SHEET!$H$91</definedName>
    <definedName name="BS.AccrIntonLeasedAsset">[4]BALANCE_SHEET!$H$90</definedName>
    <definedName name="BS.AccumultedLosses">[4]BALANCE_SHEET!$H$106</definedName>
    <definedName name="BS.AdvRecoverable">[4]BALANCE_SHEET!$H$78</definedName>
    <definedName name="BS.Authorised">[4]BALANCE_SHEET!$H$4</definedName>
    <definedName name="BS.BalWithRevAuth">[4]BALANCE_SHEET!$H$80</definedName>
    <definedName name="BS.BankBal">[4]BALANCE_SHEET!$H$72</definedName>
    <definedName name="BS.CapRedempResr">[4]BALANCE_SHEET!$H$11</definedName>
    <definedName name="BS.CapResr">[4]BALANCE_SHEET!$H$10</definedName>
    <definedName name="BS.CapWrkProg">[4]BALANCE_SHEET!$H$45</definedName>
    <definedName name="BS.CashBalAmt">[4]BALANCE_SHEET!$J$113</definedName>
    <definedName name="BS.CashinHand">[4]BALANCE_SHEET!$H$71</definedName>
    <definedName name="BS.Debenture">[4]BALANCE_SHEET!$H$55</definedName>
    <definedName name="BS.Debentures">[4]BALANCE_SHEET!$H$21</definedName>
    <definedName name="BS.DebunRedResr">[4]BALANCE_SHEET!$H$13</definedName>
    <definedName name="BS.DeferredTax">[4]BALANCE_SHEET!$J$39</definedName>
    <definedName name="BS.DefTaxAsset">[4]BALANCE_SHEET!$H$105</definedName>
    <definedName name="BS.Deposits">[4]BALANCE_SHEET!$H$79</definedName>
    <definedName name="BS.Depreciation">[4]BALANCE_SHEET!$H$43</definedName>
    <definedName name="BS.ELSuperAnnGratProvision">[4]BALANCE_SHEET!$H$97</definedName>
    <definedName name="BS.EquityShares">[4]BALANCE_SHEET!$H$53</definedName>
    <definedName name="BS.FBTProvision">[4]BALANCE_SHEET!$H$95</definedName>
    <definedName name="BS.FinOrTradGood">[4]BALANCE_SHEET!$H$64</definedName>
    <definedName name="BS.ForeignCurrLoan">[4]BALANCE_SHEET!$H$22</definedName>
    <definedName name="BS.FrmBank">[4]BALANCE_SHEET!$H$34</definedName>
    <definedName name="BS.FrmOthrs">[4]BALANCE_SHEET!$H$35</definedName>
    <definedName name="BS.GenResr">[4]BALANCE_SHEET!$H$15</definedName>
    <definedName name="BS.GovOthSecUnQoted">[4]BALANCE_SHEET!$H$50</definedName>
    <definedName name="BS.GovtOthSecQuoted">[4]BALANCE_SHEET!$H$49</definedName>
    <definedName name="BS.GrossBlock">[4]BALANCE_SHEET!$H$42</definedName>
    <definedName name="BS.IssuedSubsPaidUp">[4]BALANCE_SHEET!$H$5</definedName>
    <definedName name="BS.ITProvision">[4]BALANCE_SHEET!$H$94</definedName>
    <definedName name="BS.LiabForLeasedAsset">[4]BALANCE_SHEET!$H$86</definedName>
    <definedName name="BS.LoanToSubsComp">[4]BALANCE_SHEET!$H$77</definedName>
    <definedName name="BS.MiscExpndr">[4]BALANCE_SHEET!$H$104</definedName>
    <definedName name="BS.NetBlock">[4]BALANCE_SHEET!$H$44</definedName>
    <definedName name="BS.NetCurrAsset">[4]BALANCE_SHEET!$J$103</definedName>
    <definedName name="BS.OthCurrAsset">[4]BALANCE_SHEET!$J$74</definedName>
    <definedName name="BS.OthProvision">[4]BALANCE_SHEET!$H$98</definedName>
    <definedName name="BS.OthResr">[4]BALANCE_SHEET!$H$16</definedName>
    <definedName name="BS.OthSD">[4]BALANCE_SHEET!$H$68</definedName>
    <definedName name="BS.OverSixMonthSD">[4]BALANCE_SHEET!$H$67</definedName>
    <definedName name="BS.PartnerOrMemberCap">[4]BALANCE_SHEET!$J$3</definedName>
    <definedName name="BS.PreferShares">[4]BALANCE_SHEET!$H$54</definedName>
    <definedName name="BS.ProposedDividend">[4]BALANCE_SHEET!$H$99</definedName>
    <definedName name="BS.RawMatl">[4]BALANCE_SHEET!$H$62</definedName>
    <definedName name="BS.RevResr">[4]BALANCE_SHEET!$H$9</definedName>
    <definedName name="BS.SecurPremResr">[4]BALANCE_SHEET!$H$12</definedName>
    <definedName name="BS.ShareAppMoney">[4]BALANCE_SHEET!$H$6</definedName>
    <definedName name="BS.StatResr">[4]BALANCE_SHEET!$H$14</definedName>
    <definedName name="BS.StkInProcess">[4]BALANCE_SHEET!$H$63</definedName>
    <definedName name="BS.StoresConsumables">[4]BALANCE_SHEET!$H$61</definedName>
    <definedName name="BS.SundryCred">[4]BALANCE_SHEET!$H$85</definedName>
    <definedName name="BS.SundryDebtors">[4]BALANCE_SHEET!$J$66</definedName>
    <definedName name="BS.TaxOnDividend">[4]BALANCE_SHEET!$H$100</definedName>
    <definedName name="BS.TotCashOrBankBal">[4]BALANCE_SHEET!$J$73</definedName>
    <definedName name="BS.TotCurrAsset">[4]BALANCE_SHEET!$J$75</definedName>
    <definedName name="BS.TotCurrAssetLoanAdv">[4]BALANCE_SHEET!$J$82</definedName>
    <definedName name="BS.TotCurrLiabilities">[4]BALANCE_SHEET!$J$92</definedName>
    <definedName name="BS.TotCurrLiabilitiesProvision">[4]BALANCE_SHEET!$J$102</definedName>
    <definedName name="BS.TotFixedAsset">[4]BALANCE_SHEET!$J$46</definedName>
    <definedName name="BS.TotFundApply">[4]BALANCE_SHEET!$J$108</definedName>
    <definedName name="BS.TotFundSrc">[4]BALANCE_SHEET!$J$40</definedName>
    <definedName name="BS.TotInventries">[4]BALANCE_SHEET!$J$65</definedName>
    <definedName name="BS.TotInvestments">[4]BALANCE_SHEET!$J$57</definedName>
    <definedName name="BS.TotLoanAdv">[4]BALANCE_SHEET!$J$81</definedName>
    <definedName name="BS.TotLoanFund">[4]BALANCE_SHEET!$J$38</definedName>
    <definedName name="BS.TotLongTermInv">[4]BALANCE_SHEET!$J$51</definedName>
    <definedName name="BS.TotLongTermLoan">[4]BALANCE_SHEET!$J$32</definedName>
    <definedName name="BS.TotMiscAdjust">[4]BALANCE_SHEET!$J$107</definedName>
    <definedName name="BS.TotPartnerOrMemberFund">[4]BALANCE_SHEET!$J$18</definedName>
    <definedName name="BS.TotProvisions">[4]BALANCE_SHEET!$J$101</definedName>
    <definedName name="BS.TotResrNSurp">[4]BALANCE_SHEET!$J$17</definedName>
    <definedName name="BS.TotRupeeLoan">[4]BALANCE_SHEET!$H$26</definedName>
    <definedName name="BS.TotSecrLoan">[4]BALANCE_SHEET!$J$27</definedName>
    <definedName name="BS.TotShareCapital">[4]BALANCE_SHEET!$J$7</definedName>
    <definedName name="BS.TotShortTermLoan">[4]BALANCE_SHEET!$J$36</definedName>
    <definedName name="BS.TotStkInTradAmt">[4]BALANCE_SHEET!$J$112</definedName>
    <definedName name="BS.TotSundryCrdAmt">[4]BALANCE_SHEET!$J$111</definedName>
    <definedName name="BS.TotSundryDbtAmt">[4]BALANCE_SHEET!$J$110</definedName>
    <definedName name="BS.TotSundryDebtors">[4]BALANCE_SHEET!$J$69</definedName>
    <definedName name="BS.TotTradeInv">[4]BALANCE_SHEET!$J$56</definedName>
    <definedName name="BS.TotUnSecrLoan">[4]BALANCE_SHEET!$J$37</definedName>
    <definedName name="BS.UnpaidCallMoney">[4]BALANCE_SHEET!$H$89</definedName>
    <definedName name="BS.UnpaidDividend">[4]BALANCE_SHEET!$H$87</definedName>
    <definedName name="BS.UnpaidMatureDebenture">[4]BALANCE_SHEET!$H$88</definedName>
    <definedName name="BS.WTProvision">[4]BALANCE_SHEET!$H$96</definedName>
    <definedName name="BS_Date">[15]Index!$C$11</definedName>
    <definedName name="BS_Date_text">[11]Index!$C$9</definedName>
    <definedName name="BS_DT">[16]Index!$C$11</definedName>
    <definedName name="BS_DT_TEXT">[17]Index!$C$12</definedName>
    <definedName name="BSSec.FrmBank">[4]BALANCE_SHEET!$H$24</definedName>
    <definedName name="BSSec.FrmOthrs">[4]BALANCE_SHEET!$H$25</definedName>
    <definedName name="BSUnSec.FrmBank">[4]BALANCE_SHEET!$H$30</definedName>
    <definedName name="BSUnSec.FrmOthrs">[4]BALANCE_SHEET!$H$31</definedName>
    <definedName name="Business_Prom">'[10]Note-P'!$F$120</definedName>
    <definedName name="busipofincl.BFAllUs35Cl4Setoff2">'[4]CYLA BFLA'!$G$18</definedName>
    <definedName name="busipofincl.BFlossPrevYrUndSameHeadSetoff2">'[4]CYLA BFLA'!$E$18</definedName>
    <definedName name="busipofincl.BFUnabsorbedDeprSetoff2">'[4]CYLA BFLA'!$F$18</definedName>
    <definedName name="busipofincl.IncOfCurYrAfterSetOffBFLosses2">'[4]CYLA BFLA'!$H$18</definedName>
    <definedName name="busipofincl.IncOfCurYrUndHeadFromCYLA2">'[4]CYLA BFLA'!$D$18</definedName>
    <definedName name="busprof.BusLossSetoff">'[4]CYLA BFLA'!$F$7</definedName>
    <definedName name="busprof.HPlossCurYrSetoff">'[4]CYLA BFLA'!$E$7</definedName>
    <definedName name="busprof.IncOfCurYrAfterSetOff">'[4]CYLA BFLA'!$H$7</definedName>
    <definedName name="busprof.IncOfCurYrUnderThatHead">'[4]CYLA BFLA'!$D$7</definedName>
    <definedName name="busprof.OthSrcLossNoRaceHorseSetoff">'[4]CYLA BFLA'!$G$7</definedName>
    <definedName name="CAP_ADV_NET">'[10]Note-B'!$G$305</definedName>
    <definedName name="CBB">[10]BS!$H$55</definedName>
    <definedName name="cf" hidden="1">{#N/A,#N/A,FALSE,"Aging Summary";#N/A,#N/A,FALSE,"Ratio Analysis";#N/A,#N/A,FALSE,"Test 120 Day Accts";#N/A,#N/A,FALSE,"Tickmarks"}</definedName>
    <definedName name="cg.AmtDeemedCGSec54">[4]CG_OS!$J$54</definedName>
    <definedName name="cg.IncCharegeableHeadCapGains">[4]CG_OS!$J$56</definedName>
    <definedName name="cg.TotalLTCG">[4]CG_OS!$J$55</definedName>
    <definedName name="cglng.AquisitCostIndexed1">[4]CG_OS!$H$37</definedName>
    <definedName name="cglng.BalanceCG1">[4]CG_OS!$H$41</definedName>
    <definedName name="cglng.BalLTCGNo1121">[4]CG_OS!$J$43</definedName>
    <definedName name="cglng.CGSlumpSale2">[4]CG_OS!$H$30</definedName>
    <definedName name="cglng.DednUs54s2">[4]CG_OS!$H$31</definedName>
    <definedName name="cglng.ExemptionOrDednUs54s1">[4]CG_OS!$H$42</definedName>
    <definedName name="cglng.ExpOnTrans1">[4]CG_OS!$H$39</definedName>
    <definedName name="cglng.FullConsideration01">[4]CG_OS!$H$35</definedName>
    <definedName name="cglng.FullConsideration3">[4]CG_OS!$H$28</definedName>
    <definedName name="cglng.ImproveCostIndexed1">[4]CG_OS!$H$38</definedName>
    <definedName name="cglng.NetCGSlumpSale2">[4]CG_OS!$J$32</definedName>
    <definedName name="cglng.NetWorthOfUTDivn2">[4]CG_OS!$H$29</definedName>
    <definedName name="cglng.NRIAssetSec482">[4]CG_OS!$J$33</definedName>
    <definedName name="cglng.TotalDedn1">[4]CG_OS!$H$40</definedName>
    <definedName name="cglng.Up16Of12To15Of32">[4]CG_OS!$J$62</definedName>
    <definedName name="cglng.Up16Of3To31Of32">[4]CG_OS!$J$63</definedName>
    <definedName name="cglng.Up16Of9To15Of122">[4]CG_OS!$J$61</definedName>
    <definedName name="cglng.Upto15Of62">[4]CG_OS!$J$59</definedName>
    <definedName name="cglng.Upto15Of92">[4]CG_OS!$J$60</definedName>
    <definedName name="cgoth.AquisitCostIndexed2">[4]CG_OS!$H$47</definedName>
    <definedName name="cgoth.BalanceCG2">[4]CG_OS!$H$51</definedName>
    <definedName name="cgoth.BalLTCGNo1122">[4]CG_OS!$J$53</definedName>
    <definedName name="cgoth.ExemptionOrDednUs54s2">[4]CG_OS!$H$52</definedName>
    <definedName name="cgoth.ExpOnTrans2">[4]CG_OS!$H$49</definedName>
    <definedName name="cgoth.FullConsideration02">[4]CG_OS!$H$45</definedName>
    <definedName name="cgoth.ImproveCostIndexed2">[4]CG_OS!$H$48</definedName>
    <definedName name="cgoth.TotalDedn2">[4]CG_OS!$H$50</definedName>
    <definedName name="cgshrt.AmtDeemedCGSec54">[4]CG_OS!$J$22</definedName>
    <definedName name="cgshrt.AquisitCost">[4]CG_OS!$H$13</definedName>
    <definedName name="cgshrt.BalanceCG">[4]CG_OS!$H$17</definedName>
    <definedName name="cgshrt.BalCG">[4]CG_OS!$J$20</definedName>
    <definedName name="cgshrt.CGSlumpSale1">[4]CG_OS!$H$6</definedName>
    <definedName name="cgshrt.DednUs54s1">[4]CG_OS!$H$7</definedName>
    <definedName name="cgshrt.DeemedSTCGDeprAsset">[4]CG_OS!$J$21</definedName>
    <definedName name="cgshrt.ExemptionOrDednUs54s">[4]CG_OS!$H$19</definedName>
    <definedName name="cgshrt.ExpOnTrans">[4]CG_OS!$H$15</definedName>
    <definedName name="cgshrt.FullConsideration1">[4]CG_OS!$H$4</definedName>
    <definedName name="cgshrt.FullConsideration2">[4]CG_OS!$H$11</definedName>
    <definedName name="cgshrt.ImproveCost">[4]CG_OS!$H$14</definedName>
    <definedName name="cgshrt.LossSec94of7Or94of8">[4]CG_OS!$H$18</definedName>
    <definedName name="cgshrt.NetCGSlumpSale1">[4]CG_OS!$J$8</definedName>
    <definedName name="cgshrt.NetWorthOfUTDivn1">[4]CG_OS!$H$5</definedName>
    <definedName name="cgshrt.NRIAssetSec481">[4]CG_OS!$J$9</definedName>
    <definedName name="cgshrt.STCGNotSec111A">[4]CG_OS!$J$25</definedName>
    <definedName name="cgshrt.STCGSec111A">[4]CG_OS!$J$24</definedName>
    <definedName name="cgshrt.TotalDedn">[4]CG_OS!$H$16</definedName>
    <definedName name="cgshrt.TotalSTCG">[4]CG_OS!$J$23</definedName>
    <definedName name="cgshrt.Up16Of12To15Of31">[4]CG_OS!$H$62</definedName>
    <definedName name="cgshrt.Up16Of3To31Of31">[4]CG_OS!$H$63</definedName>
    <definedName name="cgshrt.Up16Of9To15Of121">[4]CG_OS!$H$61</definedName>
    <definedName name="cgshrt.Upto15Of61">[4]CG_OS!$H$59</definedName>
    <definedName name="cgshrt.Upto15Of91">[4]CG_OS!$H$60</definedName>
    <definedName name="check">[18]Sheet3!$A$1:$B$62</definedName>
    <definedName name="CI">[10]BS!$H$52</definedName>
    <definedName name="cmb_A_GEN1.AsseseeRepFlg">[4]GENERAL!$DH$54:$DH$55</definedName>
    <definedName name="cmb_A_GEN1.FBTSec">[4]GENERAL!$BJ$54:$BJ$58</definedName>
    <definedName name="cmb_A_GEN1.IncomeTaxSec">[4]GENERAL!$AJ$54:$AJ$58</definedName>
    <definedName name="cmb_A_GEN1.NRI_PE">[4]GENERAL!$DA$54:$DA$55</definedName>
    <definedName name="cmb_A_GEN1.ResidentialStatus">[4]GENERAL!$EM$54:$EM$56</definedName>
    <definedName name="cmb_A_GEN1.ReturnType">[4]GENERAL!$EB$54:$EB$55</definedName>
    <definedName name="cmb_A_GEN1.StateCode">[4]GENERAL!$B$54:$B$89</definedName>
    <definedName name="cmb_A_GEN1.StatusOrCompanyType">[4]GENERAL!$U$54:$U$55</definedName>
    <definedName name="cmb_A_GEN2.LiableSec44AAflg">[4]GENERAL!$DP$54:$DP$55</definedName>
    <definedName name="cmb_A_GEN2.LiableSec44ABflg">[4]GENERAL!$DS$54:$DS$55</definedName>
    <definedName name="cmb_DDT.RateDividPrevYrType">[19]DDT_TDS_TCS!$Z$3:$Z$4</definedName>
    <definedName name="cmb_FBI.EmployeesInOutIndiaFlg">[4]FRINGE_BENEFIT_INFO!$P$2:$P$3</definedName>
    <definedName name="cmb_FBI.SeparateAcntMaintainForIndiaForeignFlg">[4]FRINGE_BENEFIT_INFO!$Q$2:$Q$3</definedName>
    <definedName name="cmb_HP.ifLetOut1">[4]HOUSE_PROPERTY!$F$61:$F$62</definedName>
    <definedName name="cmb_HP.StateCode1">[4]HOUSE_PROPERTY!$D$61:$D$96</definedName>
    <definedName name="cmb_NOB.Code">[4]NATUREOFBUSINESS!$C$31:$C$104</definedName>
    <definedName name="cmb_OI.ChangeInAcctMethFlg">[4]OTHER_INFORMATION!$P$4:$P$5</definedName>
    <definedName name="cmb_OI.MethodOfAcct">[4]OTHER_INFORMATION!$O$4:$O$5</definedName>
    <definedName name="cmb_OIMethodofValClgStk.ChngStockValMetFlg">[4]OTHER_INFORMATION!$S$4:$S$5</definedName>
    <definedName name="cmb_OIMethodofValClgStk.ValFinishedGoods">[4]OTHER_INFORMATION!$R$4:$R$6</definedName>
    <definedName name="cmb_OIMethodofValClgStk.ValRawMaterial">[4]OTHER_INFORMATION!$Q$4:$Q$6</definedName>
    <definedName name="cmb_PAGBU2.BusOrgType">[4]GENERAL2!$D$51:$D$54</definedName>
    <definedName name="cmb_PAGH2.NatOfCompFlg">[4]GENERAL2!$C$51:$C$54</definedName>
    <definedName name="cmb_PAGH2.StateCode">[4]GENERAL2!$E$51:$E$86</definedName>
    <definedName name="cmb_PAGNA2.PubSectCompUs2_36AFlg">[4]GENERAL2!$G$51:$G$52</definedName>
    <definedName name="cmb_PAGS2.StateCode">'[4]SUBSIDIARY DETAILS'!$C$15:$C$50</definedName>
    <definedName name="cmb_Per10080G.StateCode">'[4]80G'!$F$50:$F$85</definedName>
    <definedName name="cmb_Per5080G.StateCode">'[4]80G'!$J$50:$J$85</definedName>
    <definedName name="cmb_PerNO5080G.StateCode">'[4]80G'!$H$50:$H$85</definedName>
    <definedName name="cmb_PMChange.PrevYrMemPartChange">[4]NATUREOFBUSINESS!$E$31:$E$32</definedName>
    <definedName name="cmb_PMInfo.StateCode">[4]NATUREOFBUSINESS!$I$31:$I$63</definedName>
    <definedName name="cmb_QDFinishrByProd.UnitOfMeasure">[4]QUANTITATIVE_DETAILS!$C$77:$C$99</definedName>
    <definedName name="cmb_QDRawMaterial.UnitOfMeasure">[4]QUANTITATIVE_DETAILS!$B$77:$B$99</definedName>
    <definedName name="cmb_QDTradingConcern.UnitOfMeasure">[4]QUANTITATIVE_DETAILS!$A$77:$A$99</definedName>
    <definedName name="cmb_SI.SecCode">[4]SI!$C$21:$C$41</definedName>
    <definedName name="cmb_SI.SplRatePercent">[4]SI!$D$21:$D$26</definedName>
    <definedName name="cmb_TCS.StateCode">[4]IT_FBT_DDTP!$J$70:$J$105</definedName>
    <definedName name="cmb_TDS2.StateCode">[20]IT_FBT_DDTP!$H$65:$H$100</definedName>
    <definedName name="cmbyn">#REF!</definedName>
    <definedName name="cntr.hprptfrm">[4]HOUSE_PROPERTY!$L$2</definedName>
    <definedName name="CODE">#REF!</definedName>
    <definedName name="Commission">'[10]Note-P'!$F$65</definedName>
    <definedName name="Communications">'[10]Note-P'!$F$114</definedName>
    <definedName name="Company">[13]Index!$C$4</definedName>
    <definedName name="Content">'[10]Note-P'!$F$72</definedName>
    <definedName name="contlac">'[2]Other notes'!#REF!</definedName>
    <definedName name="Contribution_to_PF">'[10]Note-P'!$F$82</definedName>
    <definedName name="cpsummary" hidden="1">{#N/A,#N/A,FALSE,"Aging Summary";#N/A,#N/A,FALSE,"Ratio Analysis";#N/A,#N/A,FALSE,"Test 120 Day Accts";#N/A,#N/A,FALSE,"Tickmarks"}</definedName>
    <definedName name="CS">[12]Index!$C$18</definedName>
    <definedName name="CS_PAN">[12]Index!$C$19</definedName>
    <definedName name="csheet">#REF!</definedName>
    <definedName name="cyla.TotBusLoss">'[4]CYLA BFLA'!$F$4</definedName>
    <definedName name="cyla.TotHPlossCurYr">'[4]CYLA BFLA'!$E$4</definedName>
    <definedName name="cyla.TotOthSrcLossNoRaceHorse">'[4]CYLA BFLA'!$G$4</definedName>
    <definedName name="d" hidden="1">{#N/A,#N/A,FALSE,"Aging Summary";#N/A,#N/A,FALSE,"Ratio Analysis";#N/A,#N/A,FALSE,"Test 120 Day Accts";#N/A,#N/A,FALSE,"Tickmarks"}</definedName>
    <definedName name="DAOB10.AdditionsGrThan180Days">[4]DPM_DOA!$E$27</definedName>
    <definedName name="DAOB10.AdditionsLessThan180Days">[4]DPM_DOA!$E$30</definedName>
    <definedName name="DAOB10.AddlnDeprDuringYearAdditions">[4]DPM_DOA!$E$36</definedName>
    <definedName name="DAOB10.AddlnDeprOnGT180DayAdditions">[4]DPM_DOA!$E$35</definedName>
    <definedName name="DAOB10.CapGainUs50">[4]DPM_DOA!$E$39</definedName>
    <definedName name="DAOB10.DepreciationAtFullRate">[4]DPM_DOA!$E$33</definedName>
    <definedName name="DAOB10.DepreciationAtHalfRate">[4]DPM_DOA!$E$34</definedName>
    <definedName name="DAOB10.ExpdrOnTrforSaleAsset">[4]DPM_DOA!$E$38</definedName>
    <definedName name="DAOB10.FullRateDeprAmt">[4]DPM_DOA!$E$29</definedName>
    <definedName name="DAOB10.HalfRateDeprAmt">[4]DPM_DOA!$E$32</definedName>
    <definedName name="DAOB10.RealizationPeriodDuringYear">[4]DPM_DOA!$E$31</definedName>
    <definedName name="DAOB10.RealizationTotalPeriod">[4]DPM_DOA!$E$28</definedName>
    <definedName name="DAOB10.TotalDepreciation">[4]DPM_DOA!$E$37</definedName>
    <definedName name="DAOB10.WDVFirstDay">[4]DPM_DOA!$E$26</definedName>
    <definedName name="DAOB10.WDVLastDay">[4]DPM_DOA!$E$40</definedName>
    <definedName name="DAOB100.AdditionsGrThan180Days">[4]DPM_DOA!$F$27</definedName>
    <definedName name="DAOB100.AdditionsLessThan180Days">[4]DPM_DOA!$F$30</definedName>
    <definedName name="DAOB100.AddlnDeprDuringYearAdditions">[4]DPM_DOA!$F$36</definedName>
    <definedName name="DAOB100.AddlnDeprOnGT180DayAdditions">[4]DPM_DOA!$F$35</definedName>
    <definedName name="DAOB100.CapGainUs50">[4]DPM_DOA!$F$39</definedName>
    <definedName name="DAOB100.DepreciationAtFullRate">[4]DPM_DOA!$F$33</definedName>
    <definedName name="DAOB100.DepreciationAtHalfRate">[4]DPM_DOA!$F$34</definedName>
    <definedName name="DAOB100.ExpdrOnTrforSaleAsset">[4]DPM_DOA!$F$38</definedName>
    <definedName name="DAOB100.FullRateDeprAmt">[4]DPM_DOA!$F$29</definedName>
    <definedName name="DAOB100.HalfRateDeprAmt">[4]DPM_DOA!$F$32</definedName>
    <definedName name="DAOB100.RealizationPeriodDuringYear">[4]DPM_DOA!$F$31</definedName>
    <definedName name="DAOB100.RealizationTotalPeriod">[4]DPM_DOA!$F$28</definedName>
    <definedName name="DAOB100.TotalDepreciation">[4]DPM_DOA!$F$37</definedName>
    <definedName name="DAOB100.WDVFirstDay">[4]DPM_DOA!$F$26</definedName>
    <definedName name="DAOB100.WDVLastDay">[4]DPM_DOA!$F$40</definedName>
    <definedName name="DAOB5.AdditionsGrThan180Days">[4]DPM_DOA!$D$27</definedName>
    <definedName name="DAOB5.AdditionsLessThan180Days">[4]DPM_DOA!$D$30</definedName>
    <definedName name="DAOB5.AddlnDeprDuringYearAdditions">[4]DPM_DOA!$D$36</definedName>
    <definedName name="DAOB5.AddlnDeprOnGT180DayAdditions">[4]DPM_DOA!$D$35</definedName>
    <definedName name="DAOB5.CapGainUs50">[4]DPM_DOA!$D$39</definedName>
    <definedName name="DAOB5.DepreciationAtFullRate">[4]DPM_DOA!$D$33</definedName>
    <definedName name="DAOB5.DepreciationAtHalfRate">[4]DPM_DOA!$D$34</definedName>
    <definedName name="DAOB5.ExpdrOnTrforSaleAsset">[4]DPM_DOA!$D$38</definedName>
    <definedName name="DAOB5.FullRateDeprAmt">[4]DPM_DOA!$D$29</definedName>
    <definedName name="DAOB5.HalfRateDeprAmt">[4]DPM_DOA!$D$32</definedName>
    <definedName name="DAOB5.RealizationPeriodDuringYear">[4]DPM_DOA!$D$31</definedName>
    <definedName name="DAOB5.RealizationTotalPeriod">[4]DPM_DOA!$D$28</definedName>
    <definedName name="DAOB5.TotalDepreciation">[4]DPM_DOA!$D$37</definedName>
    <definedName name="DAOB5.WDVFirstDay">[4]DPM_DOA!$D$26</definedName>
    <definedName name="DAOB5.WDVLastDay">[4]DPM_DOA!$D$40</definedName>
    <definedName name="DAOF10.AdditionsGrThan180Days">[4]DPM_DOA!$G$27</definedName>
    <definedName name="DAOF10.AdditionsLessThan180Days">[4]DPM_DOA!$G$30</definedName>
    <definedName name="DAOF10.AddlnDeprDuringYearAdditions">[4]DPM_DOA!$G$36</definedName>
    <definedName name="DAOF10.AddlnDeprOnGT180DayAdditions">[4]DPM_DOA!$G$35</definedName>
    <definedName name="DAOF10.CapGainUs50">[4]DPM_DOA!$G$39</definedName>
    <definedName name="DAOF10.DepreciationAtFullRate">[4]DPM_DOA!$G$33</definedName>
    <definedName name="DAOF10.DepreciationAtHalfRate">[4]DPM_DOA!$G$34</definedName>
    <definedName name="DAOF10.ExpdrOnTrforSaleAsset">[4]DPM_DOA!$G$38</definedName>
    <definedName name="DAOF10.FullRateDeprAmt">[4]DPM_DOA!$G$29</definedName>
    <definedName name="DAOF10.HalfRateDeprAmt">[4]DPM_DOA!$G$32</definedName>
    <definedName name="DAOF10.RealizationPeriodDuringYear">[4]DPM_DOA!$G$31</definedName>
    <definedName name="DAOF10.RealizationTotalPeriod">[4]DPM_DOA!$G$28</definedName>
    <definedName name="DAOF10.TotalDepreciation">[4]DPM_DOA!$G$37</definedName>
    <definedName name="DAOF10.WDVFirstDay">[4]DPM_DOA!$G$26</definedName>
    <definedName name="DAOF10.WDVLastDay">[4]DPM_DOA!$G$40</definedName>
    <definedName name="DAOI25.AdditionsGrThan180Days">[4]DPM_DOA!$H$27</definedName>
    <definedName name="DAOI25.AdditionsLessThan180Days">[4]DPM_DOA!$H$30</definedName>
    <definedName name="DAOI25.AddlnDeprDuringYearAdditions">[4]DPM_DOA!$H$36</definedName>
    <definedName name="DAOI25.AddlnDeprOnGT180DayAdditions">[4]DPM_DOA!$H$35</definedName>
    <definedName name="DAOI25.CapGainUs50">[4]DPM_DOA!$H$39</definedName>
    <definedName name="DAOI25.DepreciationAtFullRate">[4]DPM_DOA!$H$33</definedName>
    <definedName name="DAOI25.DepreciationAtHalfRate">[4]DPM_DOA!$H$34</definedName>
    <definedName name="DAOI25.ExpdrOnTrforSaleAsset">[4]DPM_DOA!$H$38</definedName>
    <definedName name="DAOI25.FullRateDeprAmt">[4]DPM_DOA!$H$29</definedName>
    <definedName name="DAOI25.HalfRateDeprAmt">[4]DPM_DOA!$H$32</definedName>
    <definedName name="DAOI25.RealizationPeriodDuringYear">[4]DPM_DOA!$H$31</definedName>
    <definedName name="DAOI25.RealizationTotalPeriod">[4]DPM_DOA!$H$28</definedName>
    <definedName name="DAOI25.TotalDepreciation">[4]DPM_DOA!$H$37</definedName>
    <definedName name="DAOI25.WDVFirstDay">[4]DPM_DOA!$H$26</definedName>
    <definedName name="DAOI25.WDVLastDay">[4]DPM_DOA!$H$40</definedName>
    <definedName name="DAOS20.AdditionsGrThan180Days">[4]DPM_DOA!$I$27</definedName>
    <definedName name="DAOS20.AdditionsLessThan180Days">[4]DPM_DOA!$I$30</definedName>
    <definedName name="DAOS20.AddlnDeprDuringYearAdditions">[4]DPM_DOA!$I$36</definedName>
    <definedName name="DAOS20.AddlnDeprOnGT180DayAdditions">[4]DPM_DOA!$I$35</definedName>
    <definedName name="DAOS20.CapGainUs50">[4]DPM_DOA!$I$39</definedName>
    <definedName name="DAOS20.DepreciationAtFullRate">[4]DPM_DOA!$I$33</definedName>
    <definedName name="DAOS20.DepreciationAtHalfRate">[4]DPM_DOA!$I$34</definedName>
    <definedName name="DAOS20.ExpdrOnTrforSaleAsset">[4]DPM_DOA!$I$38</definedName>
    <definedName name="DAOS20.FullRateDeprAmt">[4]DPM_DOA!$I$29</definedName>
    <definedName name="DAOS20.HalfRateDeprAmt">[4]DPM_DOA!$I$32</definedName>
    <definedName name="DAOS20.RealizationPeriodDuringYear">[4]DPM_DOA!$I$31</definedName>
    <definedName name="DAOS20.RealizationTotalPeriod">[4]DPM_DOA!$I$28</definedName>
    <definedName name="DAOS20.TotalDepreciation">[4]DPM_DOA!$I$37</definedName>
    <definedName name="DAOS20.WDVFirstDay">[4]DPM_DOA!$I$26</definedName>
    <definedName name="DAOS20.WDVLastDay">[4]DPM_DOA!$I$40</definedName>
    <definedName name="DATA1">[21]Trialsap!#REF!</definedName>
    <definedName name="DATA10">#REF!</definedName>
    <definedName name="DATA11">#REF!</definedName>
    <definedName name="DATA13">#REF!</definedName>
    <definedName name="DATA2">#REF!</definedName>
    <definedName name="DATA3">#REF!</definedName>
    <definedName name="DATA4">#REF!</definedName>
    <definedName name="DATA5">#REF!</definedName>
    <definedName name="DATA6">#REF!</definedName>
    <definedName name="DATA7">[22]Trailsap!#REF!</definedName>
    <definedName name="DATA8">[22]Trailsap!#REF!</definedName>
    <definedName name="DATA9">#REF!</definedName>
    <definedName name="DATE">#REF!</definedName>
    <definedName name="DCG.FurnitureSummary">[4]DEP_DCG!$H$36</definedName>
    <definedName name="DCG.IntangibleAssetSummary">[4]DEP_DCG!$H$37</definedName>
    <definedName name="DCG.ShipsSummary">[4]DEP_DCG!$H$38</definedName>
    <definedName name="DCG.TotalDepreciation">[4]DEP_DCG!$H$39</definedName>
    <definedName name="DCGB.DeprBlockTot100Percent">[4]DEP_DCG!$F$34</definedName>
    <definedName name="DCGB.DeprBlockTot10Percent">[4]DEP_DCG!$F$33</definedName>
    <definedName name="DCGB.DeprBlockTot5Percent">[4]DEP_DCG!$F$32</definedName>
    <definedName name="DCGB.TotBuildng">[4]DEP_DCG!$H$35</definedName>
    <definedName name="DCGP.DeprBlockTot100Percent">[4]DEP_DCG!$F$29</definedName>
    <definedName name="DCGP.DeprBlockTot15Percent">[4]DEP_DCG!$F$23</definedName>
    <definedName name="DCGP.DeprBlockTot30Percent">[4]DEP_DCG!$F$24</definedName>
    <definedName name="DCGP.DeprBlockTot40Percent">[4]DEP_DCG!$F$25</definedName>
    <definedName name="DCGP.DeprBlockTot50Percent">[4]DEP_DCG!$F$26</definedName>
    <definedName name="DCGP.DeprBlockTot60Percent">[4]DEP_DCG!$F$27</definedName>
    <definedName name="DCGP.DeprBlockTot80Percent">[4]DEP_DCG!$F$28</definedName>
    <definedName name="DCGP.TotPlntMach">[4]DEP_DCG!$H$30</definedName>
    <definedName name="DDT">[4]Pre_XML!$E$14</definedName>
    <definedName name="DDTP">[4]Pre_XML!$E$13</definedName>
    <definedName name="DDTP.Amt">[4]IT_FBT_DDTP!$H$49:$H$54</definedName>
    <definedName name="DDTP.BSRCode">[4]IT_FBT_DDTP!$E$49:$E$54</definedName>
    <definedName name="DDTP.DateDep">[4]IT_FBT_DDTP!$F$49:$F$54</definedName>
    <definedName name="DDTP.NameOfBank">[4]IT_FBT_DDTP!$C$49:$C$54</definedName>
    <definedName name="DDTP.NameOfBranch">[4]IT_FBT_DDTP!$D$49:$D$54</definedName>
    <definedName name="DDTP.SrlNoOfChaln">[4]IT_FBT_DDTP!$G$49:$G$54</definedName>
    <definedName name="Deffered">#REF!</definedName>
    <definedName name="Demat">'[10]Note-P'!$F$63</definedName>
    <definedName name="den">[12]Index!$G$7</definedName>
    <definedName name="dep" hidden="1">{#N/A,#N/A,FALSE,"Aging Summary";#N/A,#N/A,FALSE,"Ratio Analysis";#N/A,#N/A,FALSE,"Test 120 Day Accts";#N/A,#N/A,FALSE,"Tickmarks"}</definedName>
    <definedName name="DEP.FurnitureSummary">[4]DEP_DCG!$H$16</definedName>
    <definedName name="DEP.IntangibleAssetSummary">[4]DEP_DCG!$H$17</definedName>
    <definedName name="DEP.ShipsSummary">[4]DEP_DCG!$H$18</definedName>
    <definedName name="DEP.TotalDepreciation">[4]DEP_DCG!$H$19</definedName>
    <definedName name="DEPB.DeprBlockTot100Percent">[4]DEP_DCG!$F$14</definedName>
    <definedName name="DEPB.DeprBlockTot10Percent">[4]DEP_DCG!$F$13</definedName>
    <definedName name="DEPB.DeprBlockTot5Percent">[4]DEP_DCG!$F$12</definedName>
    <definedName name="DEPB.TotBuildng">[4]DEP_DCG!$H$15</definedName>
    <definedName name="DEPP.DeprBlockTot100Percent">[4]DEP_DCG!$F$9</definedName>
    <definedName name="DEPP.DeprBlockTot15Percent">[4]DEP_DCG!$F$3</definedName>
    <definedName name="DEPP.DeprBlockTot30Percent">[4]DEP_DCG!$F$4</definedName>
    <definedName name="DEPP.DeprBlockTot40Percent">[4]DEP_DCG!$F$5</definedName>
    <definedName name="DEPP.DeprBlockTot50Percent">[4]DEP_DCG!$F$6</definedName>
    <definedName name="DEPP.DeprBlockTot60Percent">[4]DEP_DCG!$F$7</definedName>
    <definedName name="DEPP.DeprBlockTot80Percent">[4]DEP_DCG!$F$8</definedName>
    <definedName name="DEPP.TotPlntMach">[4]DEP_DCG!$H$10</definedName>
    <definedName name="Depreciation">[10]PL!$G$17</definedName>
    <definedName name="dff">#REF!</definedName>
    <definedName name="diff">#REF!</definedName>
    <definedName name="Difference">#REF!</definedName>
    <definedName name="DIN_1">[12]Index!$C$14</definedName>
    <definedName name="DIN_2">[12]Index!$C$16</definedName>
    <definedName name="Director_1">[11]Index!$C$11</definedName>
    <definedName name="Director_2">[11]Index!$C$12</definedName>
    <definedName name="Director1">[17]Index!$C$13</definedName>
    <definedName name="Director2">[17]Index!$C$14</definedName>
    <definedName name="Disaggregations">#REF!</definedName>
    <definedName name="DPM100.AdditionsGrThan180Days">[4]DPM_DOA!$J$6</definedName>
    <definedName name="DPM100.AdditionsLessThan180Days">[4]DPM_DOA!$J$9</definedName>
    <definedName name="DPM100.AddlnDeprDuringYearAdditions">[4]DPM_DOA!$J$15</definedName>
    <definedName name="DPM100.AddlnDeprOnGT180DayAdditions">[4]DPM_DOA!$J$14</definedName>
    <definedName name="DPM100.CapGainUs50">[4]DPM_DOA!$J$18</definedName>
    <definedName name="DPM100.DepreciationAtFullRate">[4]DPM_DOA!$J$12</definedName>
    <definedName name="DPM100.DepreciationAtHalfRate">[4]DPM_DOA!$J$13</definedName>
    <definedName name="DPM100.ExpdrOnTrforSaleAsset">[4]DPM_DOA!$J$17</definedName>
    <definedName name="DPM100.FullRateDeprAmt">[4]DPM_DOA!$J$8</definedName>
    <definedName name="DPM100.HalfRateDeprAmt">[4]DPM_DOA!$J$11</definedName>
    <definedName name="DPM100.RealizationPeriodDuringYear">[4]DPM_DOA!$J$10</definedName>
    <definedName name="DPM100.RealizationTotalPeriod">[4]DPM_DOA!$J$7</definedName>
    <definedName name="DPM100.TotalDepreciation">[4]DPM_DOA!$J$16</definedName>
    <definedName name="DPM100.WDVFirstDay">[4]DPM_DOA!$J$5</definedName>
    <definedName name="DPM100.WDVLastDay">[4]DPM_DOA!$J$19</definedName>
    <definedName name="DPM15.AdditionsGrThan180Days">[4]DPM_DOA!$D$6</definedName>
    <definedName name="DPM15.AdditionsLessThan180Days">[4]DPM_DOA!$D$9</definedName>
    <definedName name="DPM15.AddlnDeprDuringYearAdditions">[4]DPM_DOA!$D$15</definedName>
    <definedName name="DPM15.AddlnDeprOnGT180DayAdditions">[4]DPM_DOA!$D$14</definedName>
    <definedName name="DPM15.CapGainUs50">[4]DPM_DOA!$D$18</definedName>
    <definedName name="DPM15.DepreciationAtFullRate">[4]DPM_DOA!$D$12</definedName>
    <definedName name="DPM15.DepreciationAtHalfRate">[4]DPM_DOA!$D$13</definedName>
    <definedName name="DPM15.ExpdrOnTrforSaleAsset">[4]DPM_DOA!$D$17</definedName>
    <definedName name="DPM15.FullRateDeprAmt">[4]DPM_DOA!$D$8</definedName>
    <definedName name="DPM15.HalfRateDeprAmt">[4]DPM_DOA!$D$11</definedName>
    <definedName name="DPM15.RealizationPeriodDuringYear">[4]DPM_DOA!$D$10</definedName>
    <definedName name="DPM15.RealizationTotalPeriod">[4]DPM_DOA!$D$7</definedName>
    <definedName name="DPM15.TotalDepreciation">[4]DPM_DOA!$D$16</definedName>
    <definedName name="DPM15.WDVFirstDay">[4]DPM_DOA!$D$5</definedName>
    <definedName name="DPM15.WDVLastDay">[4]DPM_DOA!$D$19</definedName>
    <definedName name="DPM30.AdditionsGrThan180Days">[4]DPM_DOA!$E$6</definedName>
    <definedName name="DPM30.AdditionsLessThan180Days">[4]DPM_DOA!$E$9</definedName>
    <definedName name="DPM30.AddlnDeprDuringYearAdditions">[4]DPM_DOA!$E$15</definedName>
    <definedName name="DPM30.AddlnDeprOnGT180DayAdditions">[4]DPM_DOA!$E$14</definedName>
    <definedName name="DPM30.CapGainUs50">[4]DPM_DOA!$E$18</definedName>
    <definedName name="DPM30.DepreciationAtFullRate">[4]DPM_DOA!$E$12</definedName>
    <definedName name="DPM30.DepreciationAtHalfRate">[4]DPM_DOA!$E$13</definedName>
    <definedName name="DPM30.ExpdrOnTrforSaleAsset">[4]DPM_DOA!$E$17</definedName>
    <definedName name="DPM30.FullRateDeprAmt">[4]DPM_DOA!$E$8</definedName>
    <definedName name="DPM30.HalfRateDeprAmt">[4]DPM_DOA!$E$11</definedName>
    <definedName name="DPM30.RealizationPeriodDuringYear">[4]DPM_DOA!$E$10</definedName>
    <definedName name="DPM30.RealizationTotalPeriod">[4]DPM_DOA!$E$7</definedName>
    <definedName name="DPM30.TotalDepreciation">[4]DPM_DOA!$E$16</definedName>
    <definedName name="DPM30.WDVFirstDay">[4]DPM_DOA!$E$5</definedName>
    <definedName name="DPM30.WDVLastDay">[4]DPM_DOA!$E$19</definedName>
    <definedName name="DPM40.AdditionsGrThan180Days">[4]DPM_DOA!$F$6</definedName>
    <definedName name="DPM40.AdditionsLessThan180Days">[4]DPM_DOA!$F$9</definedName>
    <definedName name="DPM40.AddlnDeprDuringYearAdditions">[4]DPM_DOA!$F$15</definedName>
    <definedName name="DPM40.AddlnDeprOnGT180DayAdditions">[4]DPM_DOA!$F$14</definedName>
    <definedName name="DPM40.CapGainUs50">[4]DPM_DOA!$F$18</definedName>
    <definedName name="DPM40.DepreciationAtFullRate">[4]DPM_DOA!$F$12</definedName>
    <definedName name="DPM40.DepreciationAtHalfRate">[4]DPM_DOA!$F$13</definedName>
    <definedName name="DPM40.ExpdrOnTrforSaleAsset">[4]DPM_DOA!$F$17</definedName>
    <definedName name="DPM40.FullRateDeprAmt">[4]DPM_DOA!$F$8</definedName>
    <definedName name="DPM40.HalfRateDeprAmt">[4]DPM_DOA!$F$11</definedName>
    <definedName name="DPM40.RealizationPeriodDuringYear">[4]DPM_DOA!$F$10</definedName>
    <definedName name="DPM40.RealizationTotalPeriod">[4]DPM_DOA!$F$7</definedName>
    <definedName name="DPM40.TotalDepreciation">[4]DPM_DOA!$F$16</definedName>
    <definedName name="DPM40.WDVFirstDay">[4]DPM_DOA!$F$5</definedName>
    <definedName name="DPM40.WDVLastDay">[4]DPM_DOA!$F$19</definedName>
    <definedName name="DPM50.AdditionsGrThan180Days">[4]DPM_DOA!$G$6</definedName>
    <definedName name="DPM50.AdditionsLessThan180Days">[4]DPM_DOA!$G$9</definedName>
    <definedName name="DPM50.AddlnDeprDuringYearAdditions">[4]DPM_DOA!$G$15</definedName>
    <definedName name="DPM50.AddlnDeprOnGT180DayAdditions">[4]DPM_DOA!$G$14</definedName>
    <definedName name="DPM50.CapGainUs50">[4]DPM_DOA!$G$18</definedName>
    <definedName name="DPM50.DepreciationAtFullRate">[4]DPM_DOA!$G$12</definedName>
    <definedName name="DPM50.DepreciationAtHalfRate">[4]DPM_DOA!$G$13</definedName>
    <definedName name="DPM50.ExpdrOnTrforSaleAsset">[4]DPM_DOA!$G$17</definedName>
    <definedName name="DPM50.FullRateDeprAmt">[4]DPM_DOA!$G$8</definedName>
    <definedName name="DPM50.HalfRateDeprAmt">[4]DPM_DOA!$G$11</definedName>
    <definedName name="DPM50.RealizationPeriodDuringYear">[4]DPM_DOA!$G$10</definedName>
    <definedName name="DPM50.RealizationTotalPeriod">[4]DPM_DOA!$G$7</definedName>
    <definedName name="DPM50.TotalDepreciation">[4]DPM_DOA!$G$16</definedName>
    <definedName name="DPM50.WDVFirstDay">[4]DPM_DOA!$G$5</definedName>
    <definedName name="DPM50.WDVLastDay">[4]DPM_DOA!$G$19</definedName>
    <definedName name="DPM60.AdditionsGrThan180Days">[4]DPM_DOA!$H$6</definedName>
    <definedName name="DPM60.AdditionsLessThan180Days">[4]DPM_DOA!$H$9</definedName>
    <definedName name="DPM60.AddlnDeprDuringYearAdditions">[4]DPM_DOA!$H$15</definedName>
    <definedName name="DPM60.AddlnDeprOnGT180DayAdditions">[4]DPM_DOA!$H$14</definedName>
    <definedName name="DPM60.CapGainUs50">[4]DPM_DOA!$H$18</definedName>
    <definedName name="DPM60.DepreciationAtFullRate">[4]DPM_DOA!$H$12</definedName>
    <definedName name="DPM60.DepreciationAtHalfRate">[4]DPM_DOA!$H$13</definedName>
    <definedName name="DPM60.ExpdrOnTrforSaleAsset">[4]DPM_DOA!$H$17</definedName>
    <definedName name="DPM60.FullRateDeprAmt">[4]DPM_DOA!$H$8</definedName>
    <definedName name="DPM60.HalfRateDeprAmt">[4]DPM_DOA!$H$11</definedName>
    <definedName name="DPM60.RealizationPeriodDuringYear">[4]DPM_DOA!$H$10</definedName>
    <definedName name="DPM60.RealizationTotalPeriod">[4]DPM_DOA!$H$7</definedName>
    <definedName name="DPM60.TotalDepreciation">[4]DPM_DOA!$H$16</definedName>
    <definedName name="DPM60.WDVFirstDay">[4]DPM_DOA!$H$5</definedName>
    <definedName name="DPM60.WDVLastDay">[4]DPM_DOA!$H$19</definedName>
    <definedName name="DPM80.AdditionsGrThan180Days">[4]DPM_DOA!$I$6</definedName>
    <definedName name="DPM80.AdditionsLessThan180Days">[4]DPM_DOA!$I$9</definedName>
    <definedName name="DPM80.AddlnDeprDuringYearAdditions">[4]DPM_DOA!$I$15</definedName>
    <definedName name="DPM80.AddlnDeprOnGT180DayAdditions">[4]DPM_DOA!$I$14</definedName>
    <definedName name="DPM80.CapGainUs50">[4]DPM_DOA!$I$18</definedName>
    <definedName name="DPM80.DepreciationAtFullRate">[4]DPM_DOA!$I$12</definedName>
    <definedName name="DPM80.DepreciationAtHalfRate">[4]DPM_DOA!$I$13</definedName>
    <definedName name="DPM80.ExpdrOnTrforSaleAsset">[4]DPM_DOA!$I$17</definedName>
    <definedName name="DPM80.FullRateDeprAmt">[4]DPM_DOA!$I$8</definedName>
    <definedName name="DPM80.HalfRateDeprAmt">[4]DPM_DOA!$I$11</definedName>
    <definedName name="DPM80.RealizationPeriodDuringYear">[4]DPM_DOA!$I$10</definedName>
    <definedName name="DPM80.RealizationTotalPeriod">[4]DPM_DOA!$I$7</definedName>
    <definedName name="DPM80.TotalDepreciation">[4]DPM_DOA!$I$16</definedName>
    <definedName name="DPM80.WDVFirstDay">[4]DPM_DOA!$I$5</definedName>
    <definedName name="DPM80.WDVLastDay">[4]DPM_DOA!$I$19</definedName>
    <definedName name="dr">#REF!</definedName>
    <definedName name="dt">#REF!</definedName>
    <definedName name="DTA">[10]BS!$H$46</definedName>
    <definedName name="dtax">#REF!</definedName>
    <definedName name="e" hidden="1">{#N/A,#N/A,FALSE,"Aging Summary";#N/A,#N/A,FALSE,"Ratio Analysis";#N/A,#N/A,FALSE,"Test 120 Day Accts";#N/A,#N/A,FALSE,"Tickmarks"}</definedName>
    <definedName name="EAFX">'[10]Note-P'!$F$133</definedName>
    <definedName name="ec" hidden="1">{#N/A,#N/A,FALSE,"Aging Summary";#N/A,#N/A,FALSE,"Ratio Analysis";#N/A,#N/A,FALSE,"Test 120 Day Accts";#N/A,#N/A,FALSE,"Tickmarks"}</definedName>
    <definedName name="efr" hidden="1">{#N/A,#N/A,FALSE,"Aging Summary";#N/A,#N/A,FALSE,"Ratio Analysis";#N/A,#N/A,FALSE,"Test 120 Day Accts";#N/A,#N/A,FALSE,"Tickmarks"}</definedName>
    <definedName name="EHTPA10">[4]Pre_XML!$B$11</definedName>
    <definedName name="EHTPA10.DedFromUndertaking">'[4]10A'!$F$7:$F$7</definedName>
    <definedName name="EHTPA10.TotalDedUs10Sub">'[4]10A'!$H$8</definedName>
    <definedName name="eilink">[4]EI!$A$1</definedName>
    <definedName name="Elec">'[10]Note-P'!$F$112</definedName>
    <definedName name="ell">'[23]Note-P'!$E$119</definedName>
    <definedName name="END">#REF!</definedName>
    <definedName name="EPZA10">[4]Pre_XML!$B$13</definedName>
    <definedName name="EPZA10.DedFromUndertaking">'[4]10A'!$F$15</definedName>
    <definedName name="EPZA10.TotalDedUs10Sub">'[4]10A'!$H$16</definedName>
    <definedName name="Erroneous_Loss">'[10]Note-P'!$F$125</definedName>
    <definedName name="ESR1i.AmtDebPL">[4]ESR!$C$3</definedName>
    <definedName name="ESR1i.AmtUs35Allowable">[4]ESR!$D$3</definedName>
    <definedName name="ESR1i.ExcessAmtOverDebPL">[4]ESR!$E$3</definedName>
    <definedName name="ESR1ii.AmtDebPL">[4]ESR!$C$4</definedName>
    <definedName name="ESR1ii.AmtUs35Allowable">[4]ESR!$D$4</definedName>
    <definedName name="ESR1ii.ExcessAmtOverDebPL">[4]ESR!$E$4</definedName>
    <definedName name="ESR1iii.AmtDebPL">[4]ESR!$C$5</definedName>
    <definedName name="ESR1iii.AmtUs35Allowable">[4]ESR!$D$5</definedName>
    <definedName name="ESR1iii.ExcessAmtOverDebPL">[4]ESR!$E$5</definedName>
    <definedName name="ESR1iv.AmtDebPL">[4]ESR!$C$6</definedName>
    <definedName name="ESR1iv.AmtUs35Allowable">[4]ESR!$D$6</definedName>
    <definedName name="ESR1iv.ExcessAmtOverDebPL">[4]ESR!$E$6</definedName>
    <definedName name="ESR2AA.AmtDebPL">[4]ESR!$C$7</definedName>
    <definedName name="ESR2AA.AmtUs35Allowable">[4]ESR!$D$7</definedName>
    <definedName name="ESR2AA.ExcessAmtOverDebPL">[4]ESR!$E$7</definedName>
    <definedName name="ESR2AB.AmtDebPL">[4]ESR!$C$8</definedName>
    <definedName name="ESR2AB.AmtUs35Allowable">[4]ESR!$D$8</definedName>
    <definedName name="ESR2AB.ExcessAmtOverDebPL">[4]ESR!$E$8</definedName>
    <definedName name="ESRTOT.AmtDebPL">[4]ESR!$C$9</definedName>
    <definedName name="ESRTOT.AmtUs35Allowable">[4]ESR!$D$9</definedName>
    <definedName name="ESRTOT.ExcessAmtOverDebPL">[4]ESR!$E$9</definedName>
    <definedName name="excel">[4]Instructions!$B$1</definedName>
    <definedName name="Expected_balance">#REF!</definedName>
    <definedName name="F.A." hidden="1">{#N/A,#N/A,FALSE,"Aging Summary";#N/A,#N/A,FALSE,"Ratio Analysis";#N/A,#N/A,FALSE,"Test 120 Day Accts";#N/A,#N/A,FALSE,"Tickmarks"}</definedName>
    <definedName name="FA">[10]BS!$H$43</definedName>
    <definedName name="FA_Diff">#REF!</definedName>
    <definedName name="FBBusOfAircraft.AmtOrValueOfExpenditure">[4]FRINGE_BENEFIT_INFO!$F$17</definedName>
    <definedName name="FBBusOfAircraft.ValueOfFB">[4]FRINGE_BENEFIT_INFO!$J$17</definedName>
    <definedName name="FBBusOfHotel.AmtOrValueOfExpenditure">[4]FRINGE_BENEFIT_INFO!$F$16</definedName>
    <definedName name="FBBusOfHotel.ValueOfFB">[4]FRINGE_BENEFIT_INFO!$J$16</definedName>
    <definedName name="FBBusOfShip.AmtOrValueOfExpenditure">[4]FRINGE_BENEFIT_INFO!$F$18</definedName>
    <definedName name="FBBusOfShip.ValueOfFB">[4]FRINGE_BENEFIT_INFO!$J$18</definedName>
    <definedName name="FBBusOthThan4bcd.AmtOrValueOfExpenditure">[4]FRINGE_BENEFIT_INFO!$F$15</definedName>
    <definedName name="FBBusOthThan4bcd.ValueOfFB">[4]FRINGE_BENEFIT_INFO!$J$15</definedName>
    <definedName name="FBCnvyBus.AmtOrValueOfExpenditure">[4]FRINGE_BENEFIT_INFO!$F$22</definedName>
    <definedName name="FBCnvyBus.ValueOfFB">[4]FRINGE_BENEFIT_INFO!$J$22</definedName>
    <definedName name="FBCnvyConst.AmtOrValueOfExpenditure">[4]FRINGE_BENEFIT_INFO!$F$23</definedName>
    <definedName name="FBCnvyConst.ValueOfFB">[4]FRINGE_BENEFIT_INFO!$J$23</definedName>
    <definedName name="FBCnvyManPhrama.AmtOrValueOfExpenditure">[4]FRINGE_BENEFIT_INFO!$F$24</definedName>
    <definedName name="FBCnvyManPhrama.ValueOfFB">[4]FRINGE_BENEFIT_INFO!$J$24</definedName>
    <definedName name="FBCnvyMANProd.AmtOrValueOfExpenditure">[4]FRINGE_BENEFIT_INFO!$F$25</definedName>
    <definedName name="FBCnvyMANProd.ValueOfFB">[4]FRINGE_BENEFIT_INFO!$J$25</definedName>
    <definedName name="FBConf.AmtOrValueOfExpenditure">[4]FRINGE_BENEFIT_INFO!$F$19</definedName>
    <definedName name="FBConf.ValueOfFB">[4]FRINGE_BENEFIT_INFO!$J$19</definedName>
    <definedName name="FBEmplSper.AmtOrValueOfExpenditure">[4]FRINGE_BENEFIT_INFO!$F$13</definedName>
    <definedName name="FBEmplSper.ValueOfFB">[4]FRINGE_BENEFIT_INFO!$J$13</definedName>
    <definedName name="FBEMPWel.AmtOrValueOfExpenditure">[4]FRINGE_BENEFIT_INFO!$F$21</definedName>
    <definedName name="FBEMPWel.ValueOfFB">[4]FRINGE_BENEFIT_INFO!$J$21</definedName>
    <definedName name="FBEnter.AmtOrValueOfExpenditure">[4]FRINGE_BENEFIT_INFO!$F$14</definedName>
    <definedName name="FBEnter.ValueOfFB">[4]FRINGE_BENEFIT_INFO!$J$14</definedName>
    <definedName name="FBFesti.AmtOrValueOfExpenditure">[4]FRINGE_BENEFIT_INFO!$F$36</definedName>
    <definedName name="FBFesti.ValueOfFB">[4]FRINGE_BENEFIT_INFO!$J$36</definedName>
    <definedName name="FBFree.AmtOrValueOfExpenditure">[4]FRINGE_BENEFIT_INFO!$F$12</definedName>
    <definedName name="FBFree.ValueOfFB">[4]FRINGE_BENEFIT_INFO!$J$12</definedName>
    <definedName name="FBGift.AmtOrValueOfExpenditure">[4]FRINGE_BENEFIT_INFO!$F$39</definedName>
    <definedName name="FBGift.ValueOfFB">[4]FRINGE_BENEFIT_INFO!$J$39</definedName>
    <definedName name="FBHealth.AmtOrValueOfExpenditure">[4]FRINGE_BENEFIT_INFO!$F$37</definedName>
    <definedName name="FBHealth.ValueOfFB">[4]FRINGE_BENEFIT_INFO!$J$37</definedName>
    <definedName name="FBHotelBRdAir.AmtOrValueOfExpenditure">[4]FRINGE_BENEFIT_INFO!$F$29</definedName>
    <definedName name="FBHotelBRdAir.ValueOfFB">[4]FRINGE_BENEFIT_INFO!$J$29</definedName>
    <definedName name="FBHotelBRdBus.AmtOrValueOfExpenditure">[4]FRINGE_BENEFIT_INFO!$F$26</definedName>
    <definedName name="FBHotelBRdBus.ValueOfFB">[4]FRINGE_BENEFIT_INFO!$J$26</definedName>
    <definedName name="FBHotelBRdMANPhrama.AmtOrValueOfExpenditure">[4]FRINGE_BENEFIT_INFO!$F$27</definedName>
    <definedName name="FBHotelBRdMANPhrama.ValueOfFB">[4]FRINGE_BENEFIT_INFO!$J$27</definedName>
    <definedName name="FBHotelBRdMANProd.AmtOrValueOfExpenditure">[4]FRINGE_BENEFIT_INFO!$F$28</definedName>
    <definedName name="FBHotelBRdMANProd.ValueOfFB">[4]FRINGE_BENEFIT_INFO!$J$28</definedName>
    <definedName name="FBHotelBRdShip.AmtOrValueOfExpenditure">[4]FRINGE_BENEFIT_INFO!$F$30</definedName>
    <definedName name="FBHotelBRdShip.ValueOfFB">[4]FRINGE_BENEFIT_INFO!$J$30</definedName>
    <definedName name="FBI.EmployeesInOutIndiaFlg">[4]FRINGE_BENEFIT_INFO!$F$2</definedName>
    <definedName name="FBI.NoOfIndianEmps">[4]FRINGE_BENEFIT_INFO!$F$5</definedName>
    <definedName name="FBI.NoOfOutsideIndiaEmps">[4]FRINGE_BENEFIT_INFO!$F$6</definedName>
    <definedName name="FBI.SeparateAcntMaintainForIndiaForeignFlg">[4]FRINGE_BENEFIT_INFO!$F$3</definedName>
    <definedName name="FBI.TotNoOfEmps">[4]FRINGE_BENEFIT_INFO!$F$7</definedName>
    <definedName name="FBMainAcc.AmtOrValueOfExpenditure">[4]FRINGE_BENEFIT_INFO!$F$35</definedName>
    <definedName name="FBMainAcc.ValueOfFB">[4]FRINGE_BENEFIT_INFO!$J$35</definedName>
    <definedName name="FBMainAir.AmtOrValueOfExpenditure">[4]FRINGE_BENEFIT_INFO!$F$33</definedName>
    <definedName name="FBMainAir.ValueOfFB">[4]FRINGE_BENEFIT_INFO!$J$33</definedName>
    <definedName name="FBOthr.AmtOrValueOfExpenditure">[4]FRINGE_BENEFIT_INFO!$F$38</definedName>
    <definedName name="FBOthr.ValueOfFB">[4]FRINGE_BENEFIT_INFO!$J$38</definedName>
    <definedName name="FBReprDep.AmtOrValueOfExpenditure">[4]FRINGE_BENEFIT_INFO!$F$31</definedName>
    <definedName name="FBReprDep.ValueOfFB">[4]FRINGE_BENEFIT_INFO!$J$31</definedName>
    <definedName name="FBReprDEPCry.AmtOrValueOfExpenditure">[4]FRINGE_BENEFIT_INFO!$F$32</definedName>
    <definedName name="FBReprDEPCry.ValueOfFB">[4]FRINGE_BENEFIT_INFO!$J$32</definedName>
    <definedName name="FBSales.AmtOrValueOfExpenditure">[4]FRINGE_BENEFIT_INFO!$F$20</definedName>
    <definedName name="FBSales.ValueOfFB">[4]FRINGE_BENEFIT_INFO!$J$20</definedName>
    <definedName name="FBSchlr.AmtOrValueOfExpenditure">[4]FRINGE_BENEFIT_INFO!$F$40</definedName>
    <definedName name="FBSchlr.ValueOfFB">[4]FRINGE_BENEFIT_INFO!$J$40</definedName>
    <definedName name="FBT">[4]Pre_XML!$E$12</definedName>
    <definedName name="FBT.Amt">[4]IT_FBT_DDTP!$H$30:$H$40</definedName>
    <definedName name="FBT.BSRCode">[4]IT_FBT_DDTP!$E$30:$E$40</definedName>
    <definedName name="FBT.DateDep">[4]IT_FBT_DDTP!$F$30:$F$40</definedName>
    <definedName name="FBT.FormulaOfS">[4]IT_FBT_DDTP!$R$30:$R$40</definedName>
    <definedName name="FBT.NameOfBank">[4]IT_FBT_DDTP!$C$30:$C$40</definedName>
    <definedName name="FBT.NameOfBranch">[4]IT_FBT_DDTP!$D$30:$D$40</definedName>
    <definedName name="FBT.SrlNoOfChaln">[4]IT_FBT_DDTP!$G$30:$G$40</definedName>
    <definedName name="FBTele.AmtOrValueOfExpenditure">[4]FRINGE_BENEFIT_INFO!$F$34</definedName>
    <definedName name="FBTele.ValueOfFB">[4]FRINGE_BENEFIT_INFO!$J$34</definedName>
    <definedName name="FBTot.TotValueOfFB">[4]FRINGE_BENEFIT_INFO!$J$46</definedName>
    <definedName name="FBTour.AmtOrValueOfExpenditure">[4]FRINGE_BENEFIT_INFO!$F$41</definedName>
    <definedName name="FBTour.ValueOfFB">[4]FRINGE_BENEFIT_INFO!$J$41</definedName>
    <definedName name="FBValBIF1.ValueOfFBIf1OfSchFBIisNo">[4]FRINGE_BENEFIT_INFO!$J$43</definedName>
    <definedName name="FBValBIF2N.ValueOfFBIf2OfSchFBIisNo">[4]FRINGE_BENEFIT_INFO!$J$45</definedName>
    <definedName name="FBValBIF2Y.ValueOfFBIf2OfSchFBIisYes">[4]FRINGE_BENEFIT_INFO!$J$44</definedName>
    <definedName name="FBValFrgBen.ValueOfFringeBenefit">[4]FRINGE_BENEFIT_INFO!$J$42</definedName>
    <definedName name="FFFF">[7]IO!$I$3:$I$657</definedName>
    <definedName name="focus_bal">'[10]TB - Focus'!$F:$F</definedName>
    <definedName name="focus_code">'[24]TB - Focus'!$A:$A</definedName>
    <definedName name="focus_trial">'[10]TB - Focus'!$A:$F</definedName>
    <definedName name="Forex_Gain">'[10]Note-P'!$F$50</definedName>
    <definedName name="fsdfsf" hidden="1">{#N/A,#N/A,FALSE,"Aging Summary";#N/A,#N/A,FALSE,"Ratio Analysis";#N/A,#N/A,FALSE,"Test 120 Day Accts";#N/A,#N/A,FALSE,"Tickmarks"}</definedName>
    <definedName name="ftpe">[24]Index!$C$26</definedName>
    <definedName name="ftye">[24]Index!$D$26</definedName>
    <definedName name="FTZA10">[4]Pre_XML!$B$12</definedName>
    <definedName name="FTZA10.DedFromUndertaking">'[4]10A'!$F$11:$F$11</definedName>
    <definedName name="FTZA10.TotalDedUs10Sub">'[4]10A'!$H$12</definedName>
    <definedName name="fund" hidden="1">{#N/A,#N/A,FALSE,"Aging Summary";#N/A,#N/A,FALSE,"Ratio Analysis";#N/A,#N/A,FALSE,"Test 120 Day Accts";#N/A,#N/A,FALSE,"Tickmarks"}</definedName>
    <definedName name="g" hidden="1">{#N/A,#N/A,FALSE,"Aging Summary";#N/A,#N/A,FALSE,"Ratio Analysis";#N/A,#N/A,FALSE,"Test 120 Day Accts";#N/A,#N/A,FALSE,"Tickmarks"}</definedName>
    <definedName name="GENERAL_VALID">[8]General!$B$3,[8]General!$B$6:$B$7</definedName>
    <definedName name="gg" hidden="1">{#N/A,#N/A,FALSE,"Aging Summary";#N/A,#N/A,FALSE,"Ratio Analysis";#N/A,#N/A,FALSE,"Test 120 Day Accts";#N/A,#N/A,FALSE,"Tickmarks"}</definedName>
    <definedName name="GH">#REF!</definedName>
    <definedName name="GLCODE">[10]TB!$D:$D</definedName>
    <definedName name="Grat_Leave_Encash_Exp.">'[10]Note-P'!$F$84</definedName>
    <definedName name="Group_Code">#REF!</definedName>
    <definedName name="h" hidden="1">{#N/A,#N/A,FALSE,"Aging Summary";#N/A,#N/A,FALSE,"Ratio Analysis";#N/A,#N/A,FALSE,"Test 120 Day Accts";#N/A,#N/A,FALSE,"Tickmarks"}</definedName>
    <definedName name="HDFC_A_C_NO">[25]VALIDATION_LIST!$A$2:$A$249</definedName>
    <definedName name="himanshu">#REF!</definedName>
    <definedName name="Hitech1" hidden="1">{#N/A,#N/A,FALSE,"Aging Summary";#N/A,#N/A,FALSE,"Ratio Analysis";#N/A,#N/A,FALSE,"Test 120 Day Accts";#N/A,#N/A,FALSE,"Tickmarks"}</definedName>
    <definedName name="HP.AddrDetail1">[4]HOUSE_PROPERTY!$D$3</definedName>
    <definedName name="HP.AddrDetail2">[4]HOUSE_PROPERTY!$D$16</definedName>
    <definedName name="HP.AddrDetail3">[4]HOUSE_PROPERTY!$D$29</definedName>
    <definedName name="HP.AnnualLetableValue1">[4]HOUSE_PROPERTY!$J$6</definedName>
    <definedName name="HP.AnnualLetableValue2">[4]HOUSE_PROPERTY!$J$19</definedName>
    <definedName name="HP.AnnualLetableValue3">[4]HOUSE_PROPERTY!$J$32</definedName>
    <definedName name="HP.BalanceALV1">[4]HOUSE_PROPERTY!$J$10</definedName>
    <definedName name="HP.BalanceALV2">[4]HOUSE_PROPERTY!$J$23</definedName>
    <definedName name="HP.BalanceALV3">[4]HOUSE_PROPERTY!$J$36</definedName>
    <definedName name="hp.BFAllUs35Cl4Setoff1">'[4]CYLA BFLA'!$G$17</definedName>
    <definedName name="hp.BFlossPrevYrUndSameHeadSetoff1">'[4]CYLA BFLA'!$E$17</definedName>
    <definedName name="hp.BFUnabsorbedDeprSetoff1">'[4]CYLA BFLA'!$F$17</definedName>
    <definedName name="hp.BusLossSetoff2">'[4]CYLA BFLA'!$F$6</definedName>
    <definedName name="HP.CityOrTownOrDistrict1">[4]HOUSE_PROPERTY!$E$3</definedName>
    <definedName name="HP.CityOrTownOrDistrict2">[4]HOUSE_PROPERTY!$E$16</definedName>
    <definedName name="HP.CityOrTownOrDistrict3">[4]HOUSE_PROPERTY!$E$29</definedName>
    <definedName name="hp.HPlossCurYrSetoff2">'[4]CYLA BFLA'!$E$6</definedName>
    <definedName name="HP.ifLetOut1">[4]HOUSE_PROPERTY!$D$5</definedName>
    <definedName name="HP.ifLetOut2">[4]HOUSE_PROPERTY!$D$18</definedName>
    <definedName name="HP.ifLetOut3">[4]HOUSE_PROPERTY!$D$31</definedName>
    <definedName name="hp.IncOfCurYrAfterSetOff2">'[4]CYLA BFLA'!$H$6</definedName>
    <definedName name="hp.IncOfCurYrAfterSetOffBFLosses1">'[4]CYLA BFLA'!$H$17</definedName>
    <definedName name="hp.IncOfCurYrUnderThatHead2">'[4]CYLA BFLA'!$D$6</definedName>
    <definedName name="hp.IncOfCurYrUndHeadFromCYLA1">'[4]CYLA BFLA'!$D$17</definedName>
    <definedName name="HP.IncomeOfHP1">[4]HOUSE_PROPERTY!$J$14</definedName>
    <definedName name="HP.IncomeOfHP2">[4]HOUSE_PROPERTY!$J$27</definedName>
    <definedName name="HP.IncomeOfHP3">[4]HOUSE_PROPERTY!$J$40</definedName>
    <definedName name="HP.IntOnBorwCap1">[4]HOUSE_PROPERTY!$H$12</definedName>
    <definedName name="HP.IntOnBorwCap2">[4]HOUSE_PROPERTY!$H$25</definedName>
    <definedName name="HP.IntOnBorwCap3">[4]HOUSE_PROPERTY!$H$38</definedName>
    <definedName name="HP.LocalTaxes1">[4]HOUSE_PROPERTY!$H$8</definedName>
    <definedName name="HP.LocalTaxes2">[4]HOUSE_PROPERTY!$H$21</definedName>
    <definedName name="HP.LocalTaxes3">[4]HOUSE_PROPERTY!$H$34</definedName>
    <definedName name="HP.NameofTenant1">[4]HOUSE_PROPERTY!$E$5</definedName>
    <definedName name="HP.NameofTenant2">[4]HOUSE_PROPERTY!$E$18</definedName>
    <definedName name="HP.NameofTenant3">[4]HOUSE_PROPERTY!$E$31</definedName>
    <definedName name="hp.OthSrcLossNoRaceHorseSetoff2">'[4]CYLA BFLA'!$G$6</definedName>
    <definedName name="HP.PANofTenant1">[4]HOUSE_PROPERTY!$H$5</definedName>
    <definedName name="HP.PANofTenant2">[4]HOUSE_PROPERTY!$H$18</definedName>
    <definedName name="HP.PANofTenant3">[4]HOUSE_PROPERTY!$H$31</definedName>
    <definedName name="HP.PinCode1">[4]HOUSE_PROPERTY!$H$3</definedName>
    <definedName name="HP.PinCode2">[4]HOUSE_PROPERTY!$H$16</definedName>
    <definedName name="HP.PinCode3">[4]HOUSE_PROPERTY!$H$29</definedName>
    <definedName name="HP.RentArearsSec25BAfter30pcDeduct">[4]HOUSE_PROPERTY!$J$43</definedName>
    <definedName name="HP.RentNotRealized1">[4]HOUSE_PROPERTY!$H$7</definedName>
    <definedName name="HP.RentNotRealized2">[4]HOUSE_PROPERTY!$H$20</definedName>
    <definedName name="HP.RentNotRealized3">[4]HOUSE_PROPERTY!$H$33</definedName>
    <definedName name="HP.RentOfEarlierYrSec25AandAA">[4]HOUSE_PROPERTY!$J$42</definedName>
    <definedName name="HP.StateCode1">[4]HOUSE_PROPERTY!$F$3</definedName>
    <definedName name="HP.StateCode2">[4]HOUSE_PROPERTY!$F$16</definedName>
    <definedName name="HP.StateCode3">[4]HOUSE_PROPERTY!$F$29</definedName>
    <definedName name="HP.ThirtyPercentOfBalance1">[4]HOUSE_PROPERTY!$H$11</definedName>
    <definedName name="HP.ThirtyPercentOfBalance2">[4]HOUSE_PROPERTY!$H$24</definedName>
    <definedName name="HP.ThirtyPercentOfBalance3">[4]HOUSE_PROPERTY!$H$37</definedName>
    <definedName name="HP.TotalDeduct1">[4]HOUSE_PROPERTY!$J$13</definedName>
    <definedName name="HP.TotalDeduct2">[4]HOUSE_PROPERTY!$J$26</definedName>
    <definedName name="HP.TotalDeduct3">[4]HOUSE_PROPERTY!$J$39</definedName>
    <definedName name="HP.TotalIncomeChargeableUnHP">[4]HOUSE_PROPERTY!$J$44</definedName>
    <definedName name="HP.TotalUnrealizedAndTax1">[4]HOUSE_PROPERTY!$H$9</definedName>
    <definedName name="HP.TotalUnrealizedAndTax2">[4]HOUSE_PROPERTY!$H$22</definedName>
    <definedName name="HP.TotalUnrealizedAndTax3">[4]HOUSE_PROPERTY!$H$35</definedName>
    <definedName name="hprptfrm">[4]Pre_XML!$B$9</definedName>
    <definedName name="hprptfrm.size">[4]HOUSE_PROPERTY!$L$3</definedName>
    <definedName name="hprptfrm1">[4]HOUSE_PROPERTY!$A$2:$J$14</definedName>
    <definedName name="hprptfrm2">[4]HOUSE_PROPERTY!$A$15:$J$27</definedName>
    <definedName name="hprptfrm3">[4]HOUSE_PROPERTY!$A$28:$J$40</definedName>
    <definedName name="i_10a">[4]Instructions!$B$373</definedName>
    <definedName name="i_80">[4]Instructions!$B$411</definedName>
    <definedName name="i_80g">[4]Instructions!$B$393</definedName>
    <definedName name="i_bp">[4]Instructions!$B$260</definedName>
    <definedName name="i_bs">[4]Instructions!$B$148</definedName>
    <definedName name="i_cfl">[4]Instructions!$B$363</definedName>
    <definedName name="i_cgos">[4]Instructions!$B$296</definedName>
    <definedName name="i_cyla">[4]Instructions!$B$342</definedName>
    <definedName name="i_ddt">[4]Instructions!$B$545</definedName>
    <definedName name="i_dep">[4]Instructions!$B$281</definedName>
    <definedName name="i_dpm">[4]Instructions!$B$274</definedName>
    <definedName name="i_ei">[4]Instructions!$B$473</definedName>
    <definedName name="i_esr">[4]Instructions!$B$289</definedName>
    <definedName name="i_fb">[4]Instructions!$B$492</definedName>
    <definedName name="i_fbt">[4]Instructions!$B$485</definedName>
    <definedName name="i_general">[4]Instructions!$B$120</definedName>
    <definedName name="i_general2">[4]Instructions!$B$136</definedName>
    <definedName name="i_hp">[4]Instructions!$B$243</definedName>
    <definedName name="i_it">[4]Instructions!$B$526</definedName>
    <definedName name="i_nob">[4]Instructions!$B$143</definedName>
    <definedName name="i_oi">[4]Instructions!$B$167</definedName>
    <definedName name="i_overall">[4]Instructions!$B$554</definedName>
    <definedName name="i_overall2">[4]Instructions!$B$575</definedName>
    <definedName name="i_partb">[4]Instructions!$B$187</definedName>
    <definedName name="i_partc">[4]Instructions!$B$212</definedName>
    <definedName name="i_pl">[4]Instructions!$B$157</definedName>
    <definedName name="i_qd">[4]Instructions!$B$179</definedName>
    <definedName name="i_si">[4]Instructions!$B$444</definedName>
    <definedName name="i_subdetail">[4]Instructions!$B$139</definedName>
    <definedName name="IA">[10]BS!$H$40</definedName>
    <definedName name="IA80.DeductProfUs80_IA_4_i">'[4]80_'!$G$3</definedName>
    <definedName name="IA80.DeductProfUs80_IA_4_ii">'[4]80_'!$G$4</definedName>
    <definedName name="IA80.DeductProfUs80_IA_4_iii">'[4]80_'!$G$5</definedName>
    <definedName name="IA80.DeductProfUs80_IA_4_iv">'[4]80_'!$G$6</definedName>
    <definedName name="IA80.DeductProfUs80_IA_4_v">'[4]80_'!$G$7</definedName>
    <definedName name="IA80.TotSchedule80_IA">'[4]80_'!$I$8</definedName>
    <definedName name="IB80.DeductBackDisttUs80_IB_5">'[4]80_'!$G$14</definedName>
    <definedName name="IB80.DeductBackStatesUs80_IB_4">'[4]80_'!$G$13</definedName>
    <definedName name="IB80.DeductColdChainUs80_IB_11">'[4]80_'!$G$20</definedName>
    <definedName name="IB80.DeductConvCentUs80_IB_7B">'[4]80_'!$G$16</definedName>
    <definedName name="IB80.DeductFoodGrainUs80_IB_11A">'[4]80_'!$G$22</definedName>
    <definedName name="IB80.DeductFruitVegUs80_IB_11A">'[4]80_'!$G$21</definedName>
    <definedName name="IB80.DeductHousUs80_IB_10">'[4]80_'!$G$19</definedName>
    <definedName name="IB80.DeductJKLocUs80_IB_4">'[4]80_'!$G$12</definedName>
    <definedName name="IB80.DeductMinOilUs80_IB_9">'[4]80_'!$G$18</definedName>
    <definedName name="IB80.DeductMultiplexUs80_IB_7A">'[4]80_'!$G$15</definedName>
    <definedName name="IB80.DeductRurHospUs80_IB_11B">'[4]80_'!$G$23</definedName>
    <definedName name="IB80.DeductScientificResUs80_IB_8A">'[4]80_'!$G$17</definedName>
    <definedName name="IB80.DeductSSIUs80_IB_3">'[4]80_'!$G$11</definedName>
    <definedName name="IB80.TotSchedule80_IB">'[4]80_'!$I$24</definedName>
    <definedName name="IC80.ArunachalPradesh">'[4]80_'!$G$32</definedName>
    <definedName name="IC80.Assam">'[4]80_'!$G$31</definedName>
    <definedName name="IC80.DeductInHimachalP">'[4]80_'!$I$28</definedName>
    <definedName name="IC80.DeductInSikkim">'[4]80_'!$I$27</definedName>
    <definedName name="IC80.DeductInUttaranchal">'[4]80_'!$I$29</definedName>
    <definedName name="IC80.Manipur">'[4]80_'!$G$33</definedName>
    <definedName name="IC80.Meghalaya">'[4]80_'!$G$35</definedName>
    <definedName name="IC80.Mizoram">'[4]80_'!$G$34</definedName>
    <definedName name="IC80.Nagaland">'[4]80_'!$G$36</definedName>
    <definedName name="IC80.TotDeductInNorthEast">'[4]80_'!$I$38</definedName>
    <definedName name="IC80.TotSchedule80_IC">'[4]80_'!$I$39</definedName>
    <definedName name="IC80.Tripura">'[4]80_'!$G$37</definedName>
    <definedName name="ICD_Int_Income">'[10]Note-P'!$F$36</definedName>
    <definedName name="ICD_Interest_Exp">'[10]Note-P'!$F$96</definedName>
    <definedName name="ilhl">#REF!</definedName>
    <definedName name="im">#REF!</definedName>
    <definedName name="in">[12]Index!$F$8</definedName>
    <definedName name="Insurance">'[10]Note-P'!$F$113</definedName>
    <definedName name="Int_IT_Refund">'[10]Note-P'!$F$37</definedName>
    <definedName name="inter">#REF!</definedName>
    <definedName name="Interest">#REF!</definedName>
    <definedName name="Interest_Others">'[10]Note-P'!$F$102</definedName>
    <definedName name="Intt_on_Taxes">'[10]Note-P'!$F$101</definedName>
    <definedName name="ISL">#REF!</definedName>
    <definedName name="ISL_TRIAL">'[26]ISL Trial'!$C$1:$K$65536</definedName>
    <definedName name="IT">[4]Pre_XML!$E$9</definedName>
    <definedName name="IT.Amt">[4]IT_FBT_DDTP!$H$4:$H$9</definedName>
    <definedName name="IT.BSRCode">[4]IT_FBT_DDTP!$E$4:$E$9</definedName>
    <definedName name="IT.DateDep">[4]IT_FBT_DDTP!$F$4:$F$9</definedName>
    <definedName name="IT.FormulaOFS">[4]IT_FBT_DDTP!$S$4:$S$9</definedName>
    <definedName name="IT.NameOfBank">[4]IT_FBT_DDTP!$C$4:$C$9</definedName>
    <definedName name="IT.NameOfBranch">[4]IT_FBT_DDTP!$D$4:$D$9</definedName>
    <definedName name="IT.SrlNoOfChaln">[4]IT_FBT_DDTP!$G$4:$G$9</definedName>
    <definedName name="jm">#REF!</definedName>
    <definedName name="kk" hidden="1">{#N/A,#N/A,FALSE,"Aging Summary";#N/A,#N/A,FALSE,"Ratio Analysis";#N/A,#N/A,FALSE,"Test 120 Day Accts";#N/A,#N/A,FALSE,"Tickmarks"}</definedName>
    <definedName name="l" hidden="1">{#N/A,#N/A,FALSE,"Aging Summary";#N/A,#N/A,FALSE,"Ratio Analysis";#N/A,#N/A,FALSE,"Test 120 Day Accts";#N/A,#N/A,FALSE,"Tickmarks"}</definedName>
    <definedName name="Last_BS_Date">[15]Index!$D$11</definedName>
    <definedName name="Last_BS_Date_text">[11]Index!$D$9</definedName>
    <definedName name="Last_BS_DT">[24]Index!$D$11</definedName>
    <definedName name="Last_BS_DT_TEXT">[17]Index!$D$12</definedName>
    <definedName name="lkfjdl" hidden="1">{#N/A,#N/A,FALSE,"Aging Summary";#N/A,#N/A,FALSE,"Ratio Analysis";#N/A,#N/A,FALSE,"Test 120 Day Accts";#N/A,#N/A,FALSE,"Tickmarks"}</definedName>
    <definedName name="lnkschbs">'[2]Other notes'!#REF!</definedName>
    <definedName name="LNKSCHPL">'[2]Other notes'!#REF!</definedName>
    <definedName name="lp">'[3]Other notes'!$A$1</definedName>
    <definedName name="LR">[12]Index!$F$11</definedName>
    <definedName name="LTB">[10]BS!$H$20</definedName>
    <definedName name="ltcg.BFAllUs35Cl4Setoff4">'[4]CYLA BFLA'!$G$20</definedName>
    <definedName name="ltcg.BFlossPrevYrUndSameHeadSetoff4">'[4]CYLA BFLA'!$E$20</definedName>
    <definedName name="ltcg.BFUnabsorbedDeprSetoff4">'[4]CYLA BFLA'!$F$20</definedName>
    <definedName name="ltcg.BusLossSetoff2">'[4]CYLA BFLA'!$F$9</definedName>
    <definedName name="ltcg.HPlossCurYrSetoff2">'[4]CYLA BFLA'!$E$9</definedName>
    <definedName name="ltcg.IncOfCurYrAfterSetOff2">'[4]CYLA BFLA'!$H$9</definedName>
    <definedName name="ltcg.IncOfCurYrAfterSetOffBFLosses4">'[4]CYLA BFLA'!$H$20</definedName>
    <definedName name="ltcg.IncOfCurYrUnderThatHead2">'[4]CYLA BFLA'!$D$9</definedName>
    <definedName name="ltcg.IncOfCurYrUndHeadFromCYLA4">'[4]CYLA BFLA'!$D$20</definedName>
    <definedName name="ltcg.OthSrcLossNoRaceHorseSetoff2">'[4]CYLA BFLA'!$G$9</definedName>
    <definedName name="LTLA">[10]BS!$H$47</definedName>
    <definedName name="LTP">[10]BS!$H$23</definedName>
    <definedName name="Membership">'[10]Note-P'!$F$68</definedName>
    <definedName name="Misc_Exp">'[10]Note-P'!$F$134</definedName>
    <definedName name="Monetary_Precision">#REF!</definedName>
    <definedName name="Month_Days">[26]Provisions!$B$2</definedName>
    <definedName name="mutual">#REF!</definedName>
    <definedName name="mydata">[27]F1ACS!#REF!</definedName>
    <definedName name="NCI">[10]BS!$H$45</definedName>
    <definedName name="NOB.Code">[4]NATUREOFBUSINESS!$C$19:$C$21</definedName>
    <definedName name="NOB.TradeNameOrDescription">[4]NATUREOFBUSINESS!$D$19:$D$21</definedName>
    <definedName name="NOB.TradeNameOrDescription2">[4]NATUREOFBUSINESS!$E$19:$E$21</definedName>
    <definedName name="NOB.TradeNameOrDescription3">[4]NATUREOFBUSINESS!$F$19:$F$21</definedName>
    <definedName name="OCA">[10]BS!$H$57</definedName>
    <definedName name="OCL">[10]BS!$H$29</definedName>
    <definedName name="Office_Maint">'[10]Note-P'!$F$118</definedName>
    <definedName name="OI.ChangeInAcctMethFlg">[4]OTHER_INFORMATION!$J$3</definedName>
    <definedName name="OI.DeemedProfUs33ABs">[4]OTHER_INFORMATION!$J$83</definedName>
    <definedName name="OI.MethodOfAcct">[4]OTHER_INFORMATION!$J$2</definedName>
    <definedName name="OI.PriorAmtIncCrDrPL">[4]OTHER_INFORMATION!$J$85</definedName>
    <definedName name="OI.ProfDeviatDueAcctMeth">[4]OTHER_INFORMATION!$J$4</definedName>
    <definedName name="OI.ProfTaxAmtUs41">[4]OTHER_INFORMATION!$J$84</definedName>
    <definedName name="OIAmtDisall43B.ContToEmpPFSFGF">[4]OTHER_INFORMATION!$H$71</definedName>
    <definedName name="OIAmtDisall43B.EmpBonusComm">[4]OTHER_INFORMATION!$H$72</definedName>
    <definedName name="OIAmtDisall43B.IntPayaleToFI">[4]OTHER_INFORMATION!$H$73</definedName>
    <definedName name="OIAmtDisall43B.IntPayaleToFISchBank">[4]OTHER_INFORMATION!$H$74</definedName>
    <definedName name="OIAmtDisall43B.LeaveEncashPayable">[4]OTHER_INFORMATION!$H$75</definedName>
    <definedName name="OIAmtDisall43B.TaxDutyCesAmt">[4]OTHER_INFORMATION!$H$70</definedName>
    <definedName name="OIAmtDisall43B.TotAmtUs43b">[4]OTHER_INFORMATION!$J$76</definedName>
    <definedName name="OIAmtDisallIs40A.AmtGT20kCash">[4]OTHER_INFORMATION!$H$56</definedName>
    <definedName name="OIAmtDisallIs40A.AmtPaidUs40A2b">[4]OTHER_INFORMATION!$H$55</definedName>
    <definedName name="OIAmtDisallIs40A.AnyOthDisallowance">[4]OTHER_INFORMATION!$H$59</definedName>
    <definedName name="OIAmtDisallIs40A.ContToSetupTrust">[4]OTHER_INFORMATION!$H$58</definedName>
    <definedName name="OIAmtDisallIs40A.ProvPmtGrat">[4]OTHER_INFORMATION!$H$57</definedName>
    <definedName name="OIAmtDisallIs40A.TotAmtDisallUs40A">[4]OTHER_INFORMATION!$J$60</definedName>
    <definedName name="OIAmtDisallUs36.AnyOthDisallowance">[4]OTHER_INFORMATION!$H$32</definedName>
    <definedName name="OIAmtDisallUs36.AppGratFundAmt">[4]OTHER_INFORMATION!$H$25</definedName>
    <definedName name="OIAmtDisallUs36.AppSuperAnnFundAmt">[4]OTHER_INFORMATION!$H$24</definedName>
    <definedName name="OIAmtDisallUs36.BadDebtDoubtAmt">[4]OTHER_INFORMATION!$H$27</definedName>
    <definedName name="OIAmtDisallUs36.BadDebtDoubtProvn">[4]OTHER_INFORMATION!$H$28</definedName>
    <definedName name="OIAmtDisallUs36.EmpBonusCommSum">[4]OTHER_INFORMATION!$H$20</definedName>
    <definedName name="OIAmtDisallUs36.EmpContributionCredits">[4]OTHER_INFORMATION!$H$31</definedName>
    <definedName name="OIAmtDisallUs36.EmpHealthInsurPrem">[4]OTHER_INFORMATION!$H$19</definedName>
    <definedName name="OIAmtDisallUs36.FamPlanPromoExp">[4]OTHER_INFORMATION!$H$30</definedName>
    <definedName name="OIAmtDisallUs36.IntOnBorrCap">[4]OTHER_INFORMATION!$H$21</definedName>
    <definedName name="OIAmtDisallUs36.OthFundAmt">[4]OTHER_INFORMATION!$H$26</definedName>
    <definedName name="OIAmtDisallUs36.RecogPFContribAmt">[4]OTHER_INFORMATION!$H$23</definedName>
    <definedName name="OIAmtDisallUs36.SpecResrvTranfr">[4]OTHER_INFORMATION!$H$29</definedName>
    <definedName name="OIAmtDisallUs36.StkInsurPrem">[4]OTHER_INFORMATION!$H$18</definedName>
    <definedName name="OIAmtDisallUs36.TotAmtDisallUs36">[4]OTHER_INFORMATION!$J$33</definedName>
    <definedName name="OIAmtDisallUs36.ZeroCoupBondDisc">[4]OTHER_INFORMATION!$H$22</definedName>
    <definedName name="OIAmtDisallUs37.AmtNotPartTotInc">[4]OTHER_INFORMATION!$H$41</definedName>
    <definedName name="OIAmtDisallUs37.ContigentLiability">[4]OTHER_INFORMATION!$H$40</definedName>
    <definedName name="OIAmtDisallUs37.LawVoilatPenalExp">[4]OTHER_INFORMATION!$H$37</definedName>
    <definedName name="OIAmtDisallUs37.OffenceExp">[4]OTHER_INFORMATION!$H$39</definedName>
    <definedName name="OIAmtDisallUs37.OthAmtNotAllowUs37">[4]OTHER_INFORMATION!$H$42</definedName>
    <definedName name="OIAmtDisallUs37.OthPenalFineExp">[4]OTHER_INFORMATION!$H$38</definedName>
    <definedName name="OIAmtDisallUs37.PersonalExp">[4]OTHER_INFORMATION!$H$35</definedName>
    <definedName name="OIAmtDisallUs37.PoliticPartyExp">[4]OTHER_INFORMATION!$H$36</definedName>
    <definedName name="OIAmtDisallUs37.TotAmtDisallUs37">[4]OTHER_INFORMATION!$J$43</definedName>
    <definedName name="OIAmtDisallUs40.AnyAmtOfSec40AllowPrevYr">[4]OTHER_INFORMATION!$J$53</definedName>
    <definedName name="OIAmtDisallUs40.AnyOthDisallowance">[4]OTHER_INFORMATION!$H$51</definedName>
    <definedName name="OIAmtDisallUs40.FBTAmt">[4]OTHER_INFORMATION!$H$47</definedName>
    <definedName name="OIAmtDisallUs40.IntSalBonPartner">[4]OTHER_INFORMATION!$H$50</definedName>
    <definedName name="OIAmtDisallUs40.NonCompChapXVIIBAmt">[4]OTHER_INFORMATION!$H$45</definedName>
    <definedName name="OIAmtDisallUs40.STTAmt">[4]OTHER_INFORMATION!$H$46</definedName>
    <definedName name="OIAmtDisallUs40.TaxAmtOnProfits">[4]OTHER_INFORMATION!$H$48</definedName>
    <definedName name="OIAmtDisallUs40.TotAmtDisallUs40">[4]OTHER_INFORMATION!$J$52</definedName>
    <definedName name="OIAmtDisallUs40.WTAmt">[4]OTHER_INFORMATION!$H$49</definedName>
    <definedName name="OIAmtDisallUs43BPyNowAll.ContToEmpPFSFGF">[4]OTHER_INFORMATION!$H$63</definedName>
    <definedName name="OIAmtDisallUs43BPyNowAll.EmpBonusComm">[4]OTHER_INFORMATION!$H$64</definedName>
    <definedName name="OIAmtDisallUs43BPyNowAll.IntPayaleToFI">[4]OTHER_INFORMATION!$H$65</definedName>
    <definedName name="OIAmtDisallUs43BPyNowAll.IntPayaleToFISchBank">[4]OTHER_INFORMATION!$H$66</definedName>
    <definedName name="OIAmtDisallUs43BPyNowAll.LeaveEncashPayable">[4]OTHER_INFORMATION!$H$67</definedName>
    <definedName name="OIAmtDisallUs43BPyNowAll.TaxDutyCesAmt">[4]OTHER_INFORMATION!$H$62</definedName>
    <definedName name="OIAmtDisallUs43BPyNowAll.TotAmtUs43b">[4]OTHER_INFORMATION!$J$68</definedName>
    <definedName name="OIAmtExciseCustomsVATOutstanding.OthDutyTaxCess">[4]OTHER_INFORMATION!$H$81</definedName>
    <definedName name="OIAmtExciseCustomsVATOutstanding.ServiceTax">[4]OTHER_INFORMATION!$H$79</definedName>
    <definedName name="OIAmtExciseCustomsVATOutstanding.TotExciseCustomsVAT">[4]OTHER_INFORMATION!$J$82</definedName>
    <definedName name="OIAmtExciseCustomsVATOutstanding.UnionExciseDuty">[4]OTHER_INFORMATION!$H$78</definedName>
    <definedName name="OIAmtExciseCustomsVATOutstanding.VATorSaleTax">[4]OTHER_INFORMATION!$H$80</definedName>
    <definedName name="OIMethodofValClgStk.ChngStockValMetFlg">[4]OTHER_INFORMATION!$J$8</definedName>
    <definedName name="OIMethodofValClgStk.EffectOnPL">[4]OTHER_INFORMATION!$J$9</definedName>
    <definedName name="OIMethodofValClgStk.ValFinishedGoods">[4]OTHER_INFORMATION!$J$7</definedName>
    <definedName name="OIMethodofValClgStk.ValRawMaterial">[4]OTHER_INFORMATION!$J$6</definedName>
    <definedName name="OINoCredToPLAmt.CapReceipt">[4]OTHER_INFORMATION!$H$15</definedName>
    <definedName name="OINoCredToPLAmt.OthItemInc">[4]OTHER_INFORMATION!$H$14</definedName>
    <definedName name="OINoCredToPLAmt.PrevYrEscalClaim">[4]OTHER_INFORMATION!$H$13</definedName>
    <definedName name="OINoCredToPLAmt.ProformaCreditsDue">[4]OTHER_INFORMATION!$H$12</definedName>
    <definedName name="OINoCredToPLAmt.Section28Items">[4]OTHER_INFORMATION!$H$11</definedName>
    <definedName name="OINoCredToPLAmt.TotNoCredToPLAmt">[4]OTHER_INFORMATION!$J$16</definedName>
    <definedName name="Old_company">[24]Index!$D$4</definedName>
    <definedName name="OLTL">[10]BS!$H$22</definedName>
    <definedName name="ONCA">[10]BS!$H$48</definedName>
    <definedName name="os.BalanceNoRaceHorse">[4]CG_OS!$J$75</definedName>
    <definedName name="os.BalanceOwnRaceHorse">[4]CG_OS!$J$81</definedName>
    <definedName name="os.DeductSec57">[4]CG_OS!$H$80</definedName>
    <definedName name="os.Depreciation">[4]CG_OS!$H$73</definedName>
    <definedName name="os.DividendGross">[4]CG_OS!$H$66</definedName>
    <definedName name="os.Expenses">[4]CG_OS!$H$72</definedName>
    <definedName name="os.IncChargeable">[4]CG_OS!$J$82</definedName>
    <definedName name="os.InterestGross">[4]CG_OS!$H$67</definedName>
    <definedName name="os.OthersGross">[4]CG_OS!$H$69</definedName>
    <definedName name="os.Receipts">[4]CG_OS!$H$79</definedName>
    <definedName name="os.RentFromMachPlantBldgs">[4]CG_OS!$H$68</definedName>
    <definedName name="os.TotalOSGross">[4]CG_OS!$J$70</definedName>
    <definedName name="os.TotDeductions">[4]CG_OS!$H$74</definedName>
    <definedName name="os.TotOthSrcNoRaceHorse">[4]CG_OS!$J$77</definedName>
    <definedName name="os.WinLottRacePuzz">[4]CG_OS!$J$76</definedName>
    <definedName name="othSecinclnlhrs.BusLossSetoff3">'[4]CYLA BFLA'!$F$10</definedName>
    <definedName name="othSecinclnlhrs.HPlossCurYrSetoff3">'[4]CYLA BFLA'!$E$10</definedName>
    <definedName name="othSecinclnlhrs.IncOfCurYrAfterSetOff3">'[4]CYLA BFLA'!$H$10</definedName>
    <definedName name="othSecinclnlhrs.IncOfCurYrUnderThatHead3">'[4]CYLA BFLA'!$D$10</definedName>
    <definedName name="othSecinclnlhrs.OthSrcLossNoRaceHorseSetoff3">'[4]CYLA BFLA'!$G$10</definedName>
    <definedName name="othsrcincl.BFAllUs35Cl4Setoff5">'[4]CYLA BFLA'!$G$21</definedName>
    <definedName name="othsrcincl.BFlossPrevYrUndSameHeadSetoff5">'[4]CYLA BFLA'!$E$21</definedName>
    <definedName name="othsrcincl.BFUnabsorbedDeprSetoff5">'[4]CYLA BFLA'!$F$21</definedName>
    <definedName name="othsrcincl.IncOfCurYrAfterSetOffBFLosses5">'[4]CYLA BFLA'!$H$21</definedName>
    <definedName name="othsrcincl.IncOfCurYrUndHeadFromCYLA5">'[4]CYLA BFLA'!$D$21</definedName>
    <definedName name="PAGBU2">[4]Pre_XML!$B$2</definedName>
    <definedName name="PAGBU2.BusOrgType">[4]GENERAL2!$C$10:$C$15</definedName>
    <definedName name="PAGBU2.CompName">[4]GENERAL2!$D$10:$D$15</definedName>
    <definedName name="PAGH2.AddrDetail">[4]GENERAL2!$D$6</definedName>
    <definedName name="PAGH2.CityOrTownOrDistrict">[4]GENERAL2!$E$6</definedName>
    <definedName name="PAGH2.CompName">[4]GENERAL2!$C$6</definedName>
    <definedName name="PAGH2.CompPAN">[4]GENERAL2!$H$6</definedName>
    <definedName name="PAGH2.NatOfCompFlg">[4]GENERAL2!$E$1</definedName>
    <definedName name="PAGH2.PinCode">[4]GENERAL2!$G$6</definedName>
    <definedName name="PAGH2.StateCode">[4]GENERAL2!$F$6</definedName>
    <definedName name="PAGKE2">[4]Pre_XML!$B$3</definedName>
    <definedName name="PAGKE2.AddrDetail">[4]GENERAL2!$E$21:$E$29</definedName>
    <definedName name="PAGKE2.CityOrTownOrDistrict">[4]GENERAL2!$F$21:$F$29</definedName>
    <definedName name="PAGKE2.Designation">[4]GENERAL2!$D$21:$D$29</definedName>
    <definedName name="PAGKE2.KeyPerPAN">[4]GENERAL2!$I$21:$I$29</definedName>
    <definedName name="PAGKE2.PersonName">[4]GENERAL2!$C$21:$C$29</definedName>
    <definedName name="PAGKE2.PinCode">[4]GENERAL2!$H$21:$H$29</definedName>
    <definedName name="PAGKE2.StateCode">[4]GENERAL2!$G$21:$G$29</definedName>
    <definedName name="PAGNA2.BankCompUs5Flg">[4]GENERAL2!$G$45</definedName>
    <definedName name="PAGNA2.CompLes40PercSharGovRBIFlg">[4]GENERAL2!$G$44</definedName>
    <definedName name="PAGNA2.CompWithIRDARegisterFlg">[4]GENERAL2!$G$47</definedName>
    <definedName name="PAGNA2.NonBankFIICompFlg">[4]GENERAL2!$G$48</definedName>
    <definedName name="PAGNA2.PubSectCompUs2_36AFlg">[4]GENERAL2!$G$42</definedName>
    <definedName name="PAGNA2.RBICompFlg">[4]GENERAL2!$G$43</definedName>
    <definedName name="PAGNA2.SchedBankOfRBIActFlg">[4]GENERAL2!$G$46</definedName>
    <definedName name="PAGS2">[4]Pre_XML!$B$5</definedName>
    <definedName name="PAGS2.AddrDetail">'[4]SUBSIDIARY DETAILS'!$D$2:$D$11</definedName>
    <definedName name="PAGS2.CityOrTownOrDistrict">'[4]SUBSIDIARY DETAILS'!$E$2:$E$11</definedName>
    <definedName name="PAGS2.CompName">'[4]SUBSIDIARY DETAILS'!$C$2:$C$11</definedName>
    <definedName name="PAGS2.CompPAN">'[4]SUBSIDIARY DETAILS'!$B$2:$B$11</definedName>
    <definedName name="PAGS2.PinCode">'[4]SUBSIDIARY DETAILS'!$G$2:$G$11</definedName>
    <definedName name="PAGS2.StateCode">'[4]SUBSIDIARY DETAILS'!$F$2:$F$11</definedName>
    <definedName name="PAGSH2">[4]Pre_XML!$B$4</definedName>
    <definedName name="PAGSH2.AddrDetail">[4]GENERAL2!$D$35:$D$39</definedName>
    <definedName name="PAGSH2.CityOrTownOrDistrict">[4]GENERAL2!$E$35:$E$39</definedName>
    <definedName name="PAGSH2.PercentageOfShare">[4]GENERAL2!$H$35:$H$39</definedName>
    <definedName name="PAGSH2.PinCode">[4]GENERAL2!$G$35:$G$39</definedName>
    <definedName name="PAGSH2.ShareHolderInfoName">[4]GENERAL2!$C$35:$C$39</definedName>
    <definedName name="PAGSH2.ShareHolderPAN">[4]GENERAL2!$I$35:$I$39</definedName>
    <definedName name="PAGSH2.StateCode">[4]GENERAL2!$F$35:$F$39</definedName>
    <definedName name="PART1_110">'[8]PART-1'!$B$11:$B$21</definedName>
    <definedName name="PART1_111">'[8]PART-1'!$B$6,'[8]PART-1'!$B$8,'[8]PART-1'!$B$9</definedName>
    <definedName name="PART1_120">'[8]PART-1'!$B$24,'[8]PART-1'!$B$29,'[8]PART-1'!$B$30,'[8]PART-1'!$B$35,'[8]PART-1'!$B$36,'[8]PART-1'!$B$37,'[8]PART-1'!$B$38,'[8]PART-1'!$B$39,'[8]PART-1'!$B$40,'[8]PART-1'!$B$41</definedName>
    <definedName name="PART1_121">'[8]PART-1'!$B$25:$B$28</definedName>
    <definedName name="PART1_123">'[8]PART-1'!$B$31:$B$34</definedName>
    <definedName name="PART1_130">'[8]PART-1'!$B$44,'[8]PART-1'!$B$45,'[8]PART-1'!$B$46,'[8]PART-1'!$B$51,'[8]PART-1'!$B$52,'[8]PART-1'!$B$57,'[8]PART-1'!$B$62,'[8]PART-1'!$B$63,'[8]PART-1'!$B$64,'[8]PART-1'!$B$65,'[8]PART-1'!$B$66,'[8]PART-1'!$B$67,'[8]PART-1'!$B$68,'[8]PART-1'!$B$69,'[8]PART-1'!$B$70</definedName>
    <definedName name="PART1_133">'[8]PART-1'!$B$47:$B$50</definedName>
    <definedName name="PART1_135">'[8]PART-1'!$B$53:$B$56</definedName>
    <definedName name="PART1_136">'[8]PART-1'!$B$58:$B$61</definedName>
    <definedName name="PART1_140">'[8]PART-1'!$B$73:$B$77</definedName>
    <definedName name="PART1_150">'[8]PART-1'!$B$5,'[8]PART-1'!$B$22,'[8]PART-1'!$B$42,'[8]PART-1'!$B$78,'[8]PART-1'!$B$71,'[8]PART-1'!$B$88</definedName>
    <definedName name="PART1_154">'[8]PART-1'!$B$83</definedName>
    <definedName name="PART1_156B">'[8]PART-1'!$B$87</definedName>
    <definedName name="PART1_157">'[8]PART-1'!$B$80:$B$87</definedName>
    <definedName name="PART1_CANBENEGATIVE">'[8]PART-1'!$B$18:$B$19,'[8]PART-1'!$B$21,'[8]PART-1'!$B$86</definedName>
    <definedName name="PART1_GREATERTHANEQUALTO0">'[8]PART-1'!$B$6:$B$9,'[8]PART-1'!$B$11:$B$17,'[8]PART-1'!$B$20,'[8]PART-1'!$B$25:$B$29,'[8]PART-1'!$B$31:$B$41,'[8]PART-1'!$B$44:$B$45,'[8]PART-1'!$B$47:$B$51,'[8]PART-1'!$B$53:$B$56,'[8]PART-1'!$B$58:$B$70,'[8]PART-1'!$B$73:$B$77,'[8]PART-1'!$B$80:$B$85,'[8]PART-1'!$B$87</definedName>
    <definedName name="PART1_READONLYNEGATIVE">'[8]PART-1'!$B$88:$B$89,'[8]PART-1'!$B$22</definedName>
    <definedName name="PART1_READONLYPOSITIVE">'[8]PART-1'!$B$5,'[8]PART-1'!$B$24,'[8]PART-1'!$B$30,'[8]PART-1'!$B$42,'[8]PART-1'!$B$46,'[8]PART-1'!$B$52,'[8]PART-1'!$B$57,'[8]PART-1'!$B$71,'[8]PART-1'!$B$78</definedName>
    <definedName name="PART10_ANNEX1">#REF!</definedName>
    <definedName name="PART10_ANNEX2">#REF!</definedName>
    <definedName name="PART10_B210">#REF!</definedName>
    <definedName name="PART10_GREATERTHANEQUALTO0">#REF!,#REF!,#REF!</definedName>
    <definedName name="PART10_NOTBLANK">#REF!,#REF!,#REF!</definedName>
    <definedName name="PART10_READONLY">#REF!,#REF!,#REF!</definedName>
    <definedName name="PART11_READONLY">'[8]PART-11'!$C$5:$C$14,'[8]PART-11'!$E$5:$E$14,'[8]PART-11'!$G$5:$G$14,'[8]PART-11'!$I$5:$I$14,'[8]PART-11'!$K$5:$K$14,'[8]PART-11'!$M$5:$M$14,'[8]PART-11'!$O$5:$O$14,'[8]PART-11'!$A$16:$M$16,'[8]PART-11'!$O$16:$Z$16</definedName>
    <definedName name="PART2_200">'[8]PART-2'!$B$12,'[8]PART-2'!$B$14,'[8]PART-2'!$B$15,'[8]PART-2'!$B$33,'[8]PART-2'!$B$48,'[8]PART-2'!$B$50,'[8]PART-2'!$B$51,'[8]PART-2'!$B$52,'[8]PART-2'!$B$53</definedName>
    <definedName name="PART2_210">'[8]PART-2'!$B$8:$B$11</definedName>
    <definedName name="PART2_210A">'[8]PART-2'!$B$4:$B$5</definedName>
    <definedName name="PART2_211">'[8]PART-2'!$B$14</definedName>
    <definedName name="PART2_221">'[8]PART-2'!$B$23,'[8]PART-2'!$B$32</definedName>
    <definedName name="PART2_230">'[8]PART-2'!$B$17:$B$22</definedName>
    <definedName name="PART2_240">'[8]PART-2'!$B$25:$B$31</definedName>
    <definedName name="PART2_251">'[8]PART-2'!$B$34,'[8]PART-2'!$B$35</definedName>
    <definedName name="PART2_252">'[8]PART-2'!$B$37:$B$47</definedName>
    <definedName name="PART2_GREATERTHANOREQUALTO0">'[8]PART-2'!$B$50:$B$52,'[8]PART-2'!$B$55,'[8]PART-2'!$B$37:$B$47,'[8]PART-2'!$B$34:$B$35,'[8]PART-2'!$B$25:$B$31,'[8]PART-2'!$B$17:$B$22,'[8]PART-2'!$B$14,'[8]PART-2'!$B$8:$B$11,'[8]PART-2'!$B$4:$B$5</definedName>
    <definedName name="PART2_READONLYPOSITIVE">'[8]PART-2'!$B$6,'[8]PART-2'!$B$12,'[8]PART-2'!$B$15,'[8]PART-2'!$B$23,'[8]PART-2'!$B$32,'[8]PART-2'!$B$33,'[8]PART-2'!$B$48</definedName>
    <definedName name="PART3_GREATEREQUALTO00">'[8]PART-3'!$E$51,'[8]PART-3'!$E$50,'[8]PART-3'!$E$44,'[8]PART-3'!$E$17</definedName>
    <definedName name="PART4_B450">'[8]PART-4'!$B$8:$B$10</definedName>
    <definedName name="PART4_B460">'[8]PART-4'!$B$6,'[8]PART-4'!$B$11</definedName>
    <definedName name="PART4_GREATERTHANEQUALTO0">'[8]PART-4'!$B$6,'[8]PART-4'!$B$8:$B$10,'[8]PART-4'!$E$6,'[8]PART-4'!$E$8:$E$10,'[8]PART-4'!$H$8:$H$10</definedName>
    <definedName name="PART4_H450">'[8]PART-4'!$H$8:$H$10</definedName>
    <definedName name="PART4_R450">'[8]PART-4'!$E$8:$E$10</definedName>
    <definedName name="PART4A_READONLY">'[8]PART-4'!$H$6,'[8]PART-4'!$H$11,'[8]PART-4'!$E$11,'[8]PART-4'!$B$11,'[8]PART-4'!$B$12</definedName>
    <definedName name="PART5_BILLS">'[8]PART-5'!$I$15:$I$16</definedName>
    <definedName name="PART5_COMMERCIALPAPERS">'[8]PART-5'!$L$6:$L$7</definedName>
    <definedName name="PART5_CONTRACTS">'[8]PART-5'!$L$15:$L$16</definedName>
    <definedName name="PART5_CREDIT">'[8]PART-5'!$C$15:$C$16</definedName>
    <definedName name="PART5_DEBENTURES">'[8]PART-5'!$I$6:$I$7</definedName>
    <definedName name="PART5_EXCHANGE">'[8]PART-5'!$O$15:$O$16</definedName>
    <definedName name="PART5_FINANCIAL">'[8]PART-5'!$F$15:$F$16</definedName>
    <definedName name="PART5_GREATERTHANOREQUALTO0">'[8]PART-5'!$C$6:$C$6,'[8]PART-5'!$F$6:$F$6,'[8]PART-5'!$I$6:$I$6,'[8]PART-5'!$L$6:$L$6,'[8]PART-5'!$O$6:$O$6,'[8]PART-5'!$C$15:$C$15,'[8]PART-5'!$F$15:$F$15,'[8]PART-5'!$I$15:$I$15,'[8]PART-5'!$L$15:$L$15,'[8]PART-5'!$O$15:$O$15,'[8]PART-5'!$R$15:$R$15,'[8]PART-5'!$U$15:$U$15</definedName>
    <definedName name="PART5_INTEREST">'[8]PART-5'!$R$15:$R$16</definedName>
    <definedName name="PART5_LIABILITIES">'[8]PART-5'!$U$15:$U$16</definedName>
    <definedName name="PART5_NOTBLANK">'[8]PART-5'!$F$6,'[8]PART-5'!$I$6,'[8]PART-5'!$L$6,'[8]PART-5'!$O$6,'[8]PART-5'!$F$15,'[8]PART-5'!$I$15,'[8]PART-5'!$L$15,'[8]PART-5'!$O$15,'[8]PART-5'!$R$15</definedName>
    <definedName name="PART5_OTHERS">'[8]PART-5'!$O$6:$O$7</definedName>
    <definedName name="PART5_READONLY">'[8]PART-5'!$R$6:$R$8,'[8]PART-5'!$O$8,'[8]PART-5'!$L$8,'[8]PART-5'!$I$8,'[8]PART-5'!$F$8,'[8]PART-5'!$C$8,'[8]PART-5'!$C$17,'[8]PART-5'!$F$17,'[8]PART-5'!$I$17,'[8]PART-5'!$L$17,'[8]PART-5'!$O$17,'[8]PART-5'!$R$17,'[8]PART-5'!$U$17</definedName>
    <definedName name="PART5_TERMLOAN">'[8]PART-5'!$C$6:$C$7</definedName>
    <definedName name="PART5_WORKINGCAPITAL">'[8]PART-5'!$F$6:$F$7</definedName>
    <definedName name="PART6_DEBENTURES">'[8]PART-6'!$L$5:$L$6</definedName>
    <definedName name="PART6_EQUITY">'[8]PART-6'!$F$5:$F$6</definedName>
    <definedName name="PART6_GURANTEES">'[8]PART-6'!$F$13:$F$14</definedName>
    <definedName name="PART6_ICDS">'[8]PART-6'!$O$5:$O$6</definedName>
    <definedName name="PART6_LCS">'[8]PART-6'!$C$13:$C$14</definedName>
    <definedName name="PART6_LOANS">'[8]PART-6'!$C$5:$C$6</definedName>
    <definedName name="PART6_OTHERS">'[8]PART-6'!$I$13:$I$14</definedName>
    <definedName name="PART6_PREFERENCE">'[8]PART-6'!$I$5:$I$6</definedName>
    <definedName name="PART6_RAEDONLY">'[8]PART-6'!$R$5:$R$7,'[8]PART-6'!$O$7,'[8]PART-6'!$L$7,'[8]PART-6'!$I$7,'[8]PART-6'!$F$7,'[8]PART-6'!$C$7,'[8]PART-6'!$C$15,'[8]PART-6'!$F$15,'[8]PART-6'!$I$15,'[8]PART-6'!$L$13:$L$15</definedName>
    <definedName name="PART7_GREATERTHANEQUALTO0">'[8]PART-7'!$B$6:$B$9,'[8]PART-7'!$B$11,'[8]PART-7'!$B$13,'[8]PART-7'!$B$17,'[8]PART-7'!$B$18,'[8]PART-7'!$B$22,'[8]PART-7'!$B$23,'[8]PART-7'!$B$24,'[8]PART-7'!$B$25,'[8]PART-7'!$B$33,'[8]PART-7'!$B$34,'[8]PART-7'!$B$36,'[8]PART-7'!$B$37,'[8]PART-7'!$B$38,'[8]PART-7'!$B$40,'[8]PART-7'!$B$41,'[8]PART-7'!$B$44,'[8]PART-7'!$B$45,'[8]PART-7'!$B$46,'[8]PART-7'!$B$47,'[8]PART-7'!$B$48,'[8]PART-7'!$B$50,'[8]PART-7'!$B$51,'[8]PART-7'!$B$55,'[8]PART-7'!$B$56,'[8]PART-7'!$B$57,'[8]PART-7'!$B$58</definedName>
    <definedName name="PART7_READONLY">'[8]PART-7'!$B$12,'[8]PART-7'!$B$19,'[8]PART-7'!$B$26,'[8]PART-7'!$B$27,'[8]PART-7'!$B$30,'[8]PART-7'!$B$31,'[8]PART-7'!$B$32,'[8]PART-7'!$B$35,'[8]PART-7'!$B$39,'[8]PART-7'!$B$42,'[8]PART-7'!$B$43,'[8]PART-7'!$B$49,'[8]PART-7'!$B$52,'[8]PART-7'!$B$53,'[8]PART-7'!$B$54</definedName>
    <definedName name="PART8_901">'[8]PART-8'!$B$4:$B$5</definedName>
    <definedName name="PART8_905">'[8]PART-8'!$B$3,'[8]PART-8'!$B$6,'[8]PART-8'!$B$7,'[8]PART-8'!$B$8</definedName>
    <definedName name="PART8_READONLY">'[8]PART-8'!$B$3,'[8]PART-8'!$B$9</definedName>
    <definedName name="PART9_GREATERTHANEQUALTO0">'[8]PART-9'!$B$7:$B$9,'[8]PART-9'!$B$11:$B$12,'[8]PART-9'!$B$14,'[8]PART-9'!$B$16:$B$17,'[8]PART-9'!$B$23:$B$24,'[8]PART-9'!$B$26:$B$27</definedName>
    <definedName name="partc.AdvanceFBT">[4]PART_C!$H$19</definedName>
    <definedName name="partc.AggreFBTLiability">[4]PART_C!$J$17</definedName>
    <definedName name="partc.BalFBTLiability">[4]PART_C!$J$22</definedName>
    <definedName name="partc.DefaultFileUs115WK">[4]PART_C!$H$15</definedName>
    <definedName name="partc.DefaultPayUs115WJ3">[4]PART_C!$H$14</definedName>
    <definedName name="partc.EducationCess">[4]PART_C!$J$11</definedName>
    <definedName name="partc.FBTPayable">[4]PART_C!$J$9</definedName>
    <definedName name="partc.FirstQuarter">[4]PART_C!$H$4</definedName>
    <definedName name="partc.FourthQuarter">[4]PART_C!$H$7</definedName>
    <definedName name="partc.RefundFBT">[4]PART_C!$J$23</definedName>
    <definedName name="partc.SecondQuarter">[4]PART_C!$H$5</definedName>
    <definedName name="partc.SelfAssessmentFBT">[4]PART_C!$H$20</definedName>
    <definedName name="partc.SurchargeOnFBT">[4]PART_C!$J$10</definedName>
    <definedName name="partc.ThirdQuarter">[4]PART_C!$H$6</definedName>
    <definedName name="partc.TotalTaxesPaid">[4]PART_C!$J$21</definedName>
    <definedName name="partc.TotFBTInterestPayable">[4]PART_C!$J$16</definedName>
    <definedName name="partc.TotFBTLiability">[4]PART_C!$J$12</definedName>
    <definedName name="partc.TotValueOfFBT">[4]PART_C!$J$8</definedName>
    <definedName name="PARTE_OS1080">'[8]PART-7'!#REF!</definedName>
    <definedName name="Partner">[12]Index!$C$23</definedName>
    <definedName name="past">[15]Index!$C$30</definedName>
    <definedName name="Per10080G">[4]Pre_XML!$E$5</definedName>
    <definedName name="Per10080G.AddrDetail">'[4]80G'!$E$4:$E$7</definedName>
    <definedName name="Per10080G.CityOrTownOrDistrict">'[4]80G'!$F$4:$F$7</definedName>
    <definedName name="Per10080G.DonationAmt">'[4]80G'!$J$4:$J$7</definedName>
    <definedName name="Per10080G.DoneeName">'[4]80G'!$D$4:$D$7</definedName>
    <definedName name="Per10080G.PinCode">'[4]80G'!$H$4:$H$7</definedName>
    <definedName name="Per10080G.StateCode">'[4]80G'!$G$4:$G$7</definedName>
    <definedName name="Per10080G.TotDon100Percent">'[4]80G'!$J$9</definedName>
    <definedName name="Per5080G">[4]Pre_XML!$E$7</definedName>
    <definedName name="Per5080G.AddrDetail">'[4]80G'!$F$19</definedName>
    <definedName name="Per5080G.CityOrTownOrDistrict">'[4]80G'!$G$19</definedName>
    <definedName name="Per5080G.DonationAmt">'[4]80G'!$K$19</definedName>
    <definedName name="Per5080G.DoneePAN">'[4]80G'!$E$19</definedName>
    <definedName name="Per5080G.DoneeWithPanName">'[4]80G'!$D$19</definedName>
    <definedName name="Per5080G.PinCode">'[4]80G'!$I$19</definedName>
    <definedName name="Per5080G.StateCode">'[4]80G'!$H$19</definedName>
    <definedName name="Per5080G.TotalDonationsUs80G">'[4]80G'!$K$23</definedName>
    <definedName name="Per5080G.TotDon50PercentApprReqd">'[4]80G'!$K$21</definedName>
    <definedName name="PerNO5080G">[4]Pre_XML!$E$6</definedName>
    <definedName name="PerNO5080G.AddrDetail">'[4]80G'!$E$13</definedName>
    <definedName name="PerNO5080G.CityOrTownOrDistrict">'[4]80G'!$F$13</definedName>
    <definedName name="PerNO5080G.DonationAmt">'[4]80G'!$J$13</definedName>
    <definedName name="PerNO5080G.DoneeName">'[4]80G'!$D$13</definedName>
    <definedName name="PerNO5080G.PinCode">'[4]80G'!$H$13</definedName>
    <definedName name="PerNO5080G.StateCode">'[4]80G'!$G$13</definedName>
    <definedName name="PerNO5080G.TotDon50PercentNoApprReqd">'[4]80G'!$J$15</definedName>
    <definedName name="PFSPL">#REF!</definedName>
    <definedName name="PL.Advertisement">[4]PROFIT_LOSS!$J$64</definedName>
    <definedName name="PL.AmtAvlAppr">[4]PROFIT_LOSS!$J$97</definedName>
    <definedName name="PL.AuditFee">[4]PROFIT_LOSS!$J$83</definedName>
    <definedName name="PL.BadDebt">[4]PROFIT_LOSS!$J$85</definedName>
    <definedName name="PL.BalBFPrevYr">[4]PROFIT_LOSS!$J$96</definedName>
    <definedName name="PL.Bonus">[4]PROFIT_LOSS!$H$42</definedName>
    <definedName name="PL.BusinessReceipts">[4]PROFIT_LOSS!$J$2</definedName>
    <definedName name="PL.ClosingStock">[4]PROFIT_LOSS!$J$21</definedName>
    <definedName name="PL.ClubExp">[4]PROFIT_LOSS!$J$71</definedName>
    <definedName name="PL.Comissions">[4]PROFIT_LOSS!$H$11</definedName>
    <definedName name="PL.CommissionExpdr">[4]PROFIT_LOSS!$J$65</definedName>
    <definedName name="PL.Conference">[4]PROFIT_LOSS!$J$62</definedName>
    <definedName name="PL.ConsumptionOfStores">[4]PROFIT_LOSS!$J$35</definedName>
    <definedName name="PL.ContToGratFund">[4]PROFIT_LOSS!$H$48</definedName>
    <definedName name="PL.ContToOthFund">[4]PROFIT_LOSS!$H$49</definedName>
    <definedName name="PL.ContToPF">[4]PROFIT_LOSS!$H$47</definedName>
    <definedName name="PL.ContToSuperAnnFund">[4]PROFIT_LOSS!$H$46</definedName>
    <definedName name="PL.ConveyanceExp">[4]PROFIT_LOSS!$J$68</definedName>
    <definedName name="PL.DepreciationAmort">[4]PROFIT_LOSS!$J$90</definedName>
    <definedName name="PL.Dividends">[4]PROFIT_LOSS!$H$12</definedName>
    <definedName name="PL.Donation">[4]PROFIT_LOSS!$J$75</definedName>
    <definedName name="PL.Entertainment">[4]PROFIT_LOSS!$J$60</definedName>
    <definedName name="PL.Expenses">[4]PROFIT_LOSS!$J$108</definedName>
    <definedName name="PL.FBTPay">[4]PROFIT_LOSS!$H$51</definedName>
    <definedName name="PL.FestivalCelebExp">[4]PROFIT_LOSS!$J$72</definedName>
    <definedName name="PL.Freight">[4]PROFIT_LOSS!$J$34</definedName>
    <definedName name="PL.Gift">[4]PROFIT_LOSS!$J$74</definedName>
    <definedName name="PL.GrossProfit">[4]PROFIT_LOSS!$J$107</definedName>
    <definedName name="PL.GrossReceipt">[4]PROFIT_LOSS!$J$106</definedName>
    <definedName name="PL.GuestHouseExp">[4]PROFIT_LOSS!$J$70</definedName>
    <definedName name="PL.Hospitality">[4]PROFIT_LOSS!$J$61</definedName>
    <definedName name="PL.HotelBoardLodge">[4]PROFIT_LOSS!$J$66</definedName>
    <definedName name="PL.InterestExpdr">[4]PROFIT_LOSS!$J$89</definedName>
    <definedName name="PL.InterestInc">[4]PROFIT_LOSS!$H$13</definedName>
    <definedName name="PL.KeyManInsur">[4]PROFIT_LOSS!$H$56</definedName>
    <definedName name="PL.LeaveEncash">[4]PROFIT_LOSS!$H$44</definedName>
    <definedName name="PL.LeaveTravelBenft">[4]PROFIT_LOSS!$H$45</definedName>
    <definedName name="PL.LifeInsur">[4]PROFIT_LOSS!$H$55</definedName>
    <definedName name="PL.MedExpReimb">[4]PROFIT_LOSS!$H$43</definedName>
    <definedName name="PL.MedInsur">[4]PROFIT_LOSS!$H$54</definedName>
    <definedName name="PL.MiscOthIncome">[4]PROFIT_LOSS!$H$19</definedName>
    <definedName name="PL.NetProfit">[4]PROFIT_LOSS!$J$109</definedName>
    <definedName name="PL.OpeningStock">[4]PROFIT_LOSS!$J$23</definedName>
    <definedName name="PL.OthEmpBenftExpdr">[4]PROFIT_LOSS!$H$50</definedName>
    <definedName name="PL.OtherExpenses">[4]PROFIT_LOSS!$J$84</definedName>
    <definedName name="PL.OthInsur">[4]PROFIT_LOSS!$H$57</definedName>
    <definedName name="PL.OthProvisionsExpdr">[4]PROFIT_LOSS!$J$87</definedName>
    <definedName name="PL.PartnerAccBalTrf">[4]PROFIT_LOSS!$J$104</definedName>
    <definedName name="PL.PBIDTA">[4]PROFIT_LOSS!$J$88</definedName>
    <definedName name="PL.PBT">[4]PROFIT_LOSS!$J$91</definedName>
    <definedName name="PL.PowerFuel">[4]PROFIT_LOSS!$J$36</definedName>
    <definedName name="PL.ProfitAfterTax">[4]PROFIT_LOSS!$J$95</definedName>
    <definedName name="PL.ProfitOnAgriIncome">[4]PROFIT_LOSS!$H$18</definedName>
    <definedName name="PL.ProfitOnCurrFluct">[4]PROFIT_LOSS!$H$17</definedName>
    <definedName name="PL.ProfitOnInvChrSTT">[4]PROFIT_LOSS!$H$15</definedName>
    <definedName name="PL.ProfitOnOthInv">[4]PROFIT_LOSS!$H$16</definedName>
    <definedName name="PL.ProfitOnSaleFixedAsset">[4]PROFIT_LOSS!$H$14</definedName>
    <definedName name="PL.ProposedDividend">[4]PROFIT_LOSS!$H$100</definedName>
    <definedName name="PL.ProvDefTax">[4]PROFIT_LOSS!$J$94</definedName>
    <definedName name="PL.ProvFBT">[4]PROFIT_LOSS!$J$93</definedName>
    <definedName name="PL.ProvForBadDoubtDebt">[4]PROFIT_LOSS!$J$86</definedName>
    <definedName name="PL.ProvForCurrTax">[4]PROFIT_LOSS!$J$92</definedName>
    <definedName name="PL.Purchases">[4]PROFIT_LOSS!$J$24</definedName>
    <definedName name="PL.RentExpdr">[4]PROFIT_LOSS!$J$37</definedName>
    <definedName name="PL.RentInc">[4]PROFIT_LOSS!$H$10</definedName>
    <definedName name="PL.RepairMach">[4]PROFIT_LOSS!$J$39</definedName>
    <definedName name="PL.RepairsBldg">[4]PROFIT_LOSS!$J$38</definedName>
    <definedName name="PL.SalePromoExp">[4]PROFIT_LOSS!$J$63</definedName>
    <definedName name="PL.SalsWages">[4]PROFIT_LOSS!$H$41</definedName>
    <definedName name="PL.Scholarship">[4]PROFIT_LOSS!$J$73</definedName>
    <definedName name="PL.StaffWelfareExp">[4]PROFIT_LOSS!$J$59</definedName>
    <definedName name="PL.TaxOnDividend">[4]PROFIT_LOSS!$H$101</definedName>
    <definedName name="PL.TaxOnDividendForEarYr">[4]PROFIT_LOSS!$H$102</definedName>
    <definedName name="PL.TelephoneExp">[4]PROFIT_LOSS!$J$69</definedName>
    <definedName name="PL.TotAppropriations">[4]PROFIT_LOSS!$J$103</definedName>
    <definedName name="PL.TotCreditsToPL">[4]PROFIT_LOSS!$J$22</definedName>
    <definedName name="PL.TotEmployeeComp">[4]PROFIT_LOSS!$J$52</definedName>
    <definedName name="PL.TotInsurances">[4]PROFIT_LOSS!$J$58</definedName>
    <definedName name="PL.TotOthIncome">[4]PROFIT_LOSS!$J$20</definedName>
    <definedName name="PL.TravelExp">[4]PROFIT_LOSS!$J$67</definedName>
    <definedName name="PL.TrfToReserves">[4]PROFIT_LOSS!$H$99</definedName>
    <definedName name="Place">[17]Index!$C$21</definedName>
    <definedName name="PLCrEx.OthDutyTaxCess">[4]PROFIT_LOSS!$H$7</definedName>
    <definedName name="PLCrEx.ServiceTax">[4]PROFIT_LOSS!$H$5</definedName>
    <definedName name="PLCrEx.TotExciseCustomsVAT">[4]PROFIT_LOSS!$J$8</definedName>
    <definedName name="PLCrEx.UnionExciseDuty">[4]PROFIT_LOSS!$H$4</definedName>
    <definedName name="PLCrEx.VATorSaleTax">[4]PROFIT_LOSS!$H$6</definedName>
    <definedName name="PLDutiEx.CounterVailDuty">[4]PROFIT_LOSS!$H$27</definedName>
    <definedName name="PLDutiEx.CustomDuty">[4]PROFIT_LOSS!$H$26</definedName>
    <definedName name="PLDutiEx.OthDutyTaxCess">[4]PROFIT_LOSS!$H$32</definedName>
    <definedName name="PLDutiEx.ServiceTax">[4]PROFIT_LOSS!$H$30</definedName>
    <definedName name="PLDutiEx.SplAddDuty">[4]PROFIT_LOSS!$H$28</definedName>
    <definedName name="PLDutiEx.TotExciseCustomsVAT">[4]PROFIT_LOSS!$J$33</definedName>
    <definedName name="PLDutiEx.UnionExciseDuty">[4]PROFIT_LOSS!$H$29</definedName>
    <definedName name="PLDutiEx.VATorSaleTax">[4]PROFIT_LOSS!$H$31</definedName>
    <definedName name="PLRateEx.Cess">[4]PROFIT_LOSS!$H$80</definedName>
    <definedName name="PLRateEx.OthDutyTaxCess">[4]PROFIT_LOSS!$H$81</definedName>
    <definedName name="PLRateEx.ServiceTax">[4]PROFIT_LOSS!$H$78</definedName>
    <definedName name="PLRateEx.TotExciseCustomsVAT">[4]PROFIT_LOSS!$J$82</definedName>
    <definedName name="PLRateEx.UnionExciseDuty">[4]PROFIT_LOSS!$H$77</definedName>
    <definedName name="PLRateEx.VATorSaleTax">[4]PROFIT_LOSS!$H$79</definedName>
    <definedName name="PMChange.PrevYrMemPartChange">[4]NATUREOFBUSINESS!$I$1</definedName>
    <definedName name="PMInfo.AddrDetail">[4]NATUREOFBUSINESS!$D$6:$D$15</definedName>
    <definedName name="PMInfo.CityOrTownOrDistrict">[4]NATUREOFBUSINESS!$E$6:$E$15</definedName>
    <definedName name="PMInfo.PAN">[4]NATUREOFBUSINESS!$I$6:$I$15</definedName>
    <definedName name="PMInfo.PartnerOrMemberName">[4]NATUREOFBUSINESS!$C$6:$C$15</definedName>
    <definedName name="PMInfo.PinCode">[4]NATUREOFBUSINESS!$G$6:$G$15</definedName>
    <definedName name="PMInfo.SharePercentage">[4]NATUREOFBUSINESS!$H$6:$H$15</definedName>
    <definedName name="PMInfo.StateCode">[4]NATUREOFBUSINESS!$F$6:$F$15</definedName>
    <definedName name="PPY">[12]Index!$G$11</definedName>
    <definedName name="prepaid" hidden="1">{#N/A,#N/A,FALSE,"Aging Summary";#N/A,#N/A,FALSE,"Ratio Analysis";#N/A,#N/A,FALSE,"Test 120 Day Accts";#N/A,#N/A,FALSE,"Tickmarks"}</definedName>
    <definedName name="prepaidcpinterest" hidden="1">{#N/A,#N/A,FALSE,"Aging Summary";#N/A,#N/A,FALSE,"Ratio Analysis";#N/A,#N/A,FALSE,"Test 120 Day Accts";#N/A,#N/A,FALSE,"Tickmarks"}</definedName>
    <definedName name="prexmlchecks">[4]Instructions!$A$774</definedName>
    <definedName name="_xlnm.Print_Area" localSheetId="0">'April '!$B$1:$I$65</definedName>
    <definedName name="_xlnm.Print_Area" localSheetId="4">'Aug 24'!$B$1:$I$65</definedName>
    <definedName name="_xlnm.Print_Area" localSheetId="3">'July 24'!$B$1:$I$65</definedName>
    <definedName name="_xlnm.Print_Area" localSheetId="2">'June '!$B$1:$I$65</definedName>
    <definedName name="_xlnm.Print_Area" localSheetId="1">'May '!$B$1:$I$65</definedName>
    <definedName name="_xlnm.Print_Area" localSheetId="5">'Sep 24'!$B$1:$I$65</definedName>
    <definedName name="_xlnm.Print_Area">#REF!</definedName>
    <definedName name="PRINT_AREA_MI">#REF!</definedName>
    <definedName name="Print_n_Stationery">'[10]Note-P'!$F$117</definedName>
    <definedName name="_xlnm.Print_Titles">#REF!</definedName>
    <definedName name="PRINT_TITLES_MI">#REF!</definedName>
    <definedName name="PrintMacro">'[2]Other notes'!$A$1</definedName>
    <definedName name="products">[28]Sheet3!$A$1:$B$5</definedName>
    <definedName name="Professional">'[10]Note-P'!$F$115</definedName>
    <definedName name="Prov_for_DDebt_Exp">'[10]Note-P'!$F$129</definedName>
    <definedName name="Prov_Wback">'[10]Note-P'!$F$47</definedName>
    <definedName name="Publish" hidden="1">{#N/A,#N/A,FALSE,"Aging Summary";#N/A,#N/A,FALSE,"Ratio Analysis";#N/A,#N/A,FALSE,"Test 120 Day Accts";#N/A,#N/A,FALSE,"Tickmarks"}</definedName>
    <definedName name="q">[29]BS!$H$13</definedName>
    <definedName name="QDFinishrByProd">[4]Pre_XML!$B$8</definedName>
    <definedName name="QDFinishrByProd.AnyShortExces">[4]QUANTITATIVE_DETAILS!$H$54:$H$73</definedName>
    <definedName name="QDFinishrByProd.ClgStock">[4]QUANTITATIVE_DETAILS!$G$54:$G$73</definedName>
    <definedName name="QDFinishrByProd.ItemName">[4]QUANTITATIVE_DETAILS!$A$54:$A$73</definedName>
    <definedName name="QDFinishrByProd.OpeningStock">[4]QUANTITATIVE_DETAILS!$C$54:$C$73</definedName>
    <definedName name="QDFinishrByProd.PrevYrConsum">[4]QUANTITATIVE_DETAILS!$E$54:$E$73</definedName>
    <definedName name="QDFinishrByProd.PurchaseQty">[4]QUANTITATIVE_DETAILS!$D$54:$D$73</definedName>
    <definedName name="QDFinishrByProd.SaleQty">[4]QUANTITATIVE_DETAILS!$F$54:$F$73</definedName>
    <definedName name="QDFinishrByProd.UnitOfMeasure">[4]QUANTITATIVE_DETAILS!$B$54:$B$73</definedName>
    <definedName name="QDRawMaterial">[4]Pre_XML!$B$7</definedName>
    <definedName name="QDRawMaterial.AnyShortExces">[4]QUANTITATIVE_DETAILS!$J$29:$J$48</definedName>
    <definedName name="QDRawMaterial.ClgStock">[4]QUANTITATIVE_DETAILS!$G$29:$G$48</definedName>
    <definedName name="QDRawMaterial.ItemName">[4]QUANTITATIVE_DETAILS!$A$29:$A$48</definedName>
    <definedName name="QDRawMaterial.OpeningStock">[4]QUANTITATIVE_DETAILS!$C$29:$C$48</definedName>
    <definedName name="QDRawMaterial.PercentYld">[4]QUANTITATIVE_DETAILS!$I$29:$I$48</definedName>
    <definedName name="QDRawMaterial.PrevYrConsum">[4]QUANTITATIVE_DETAILS!$E$29:$E$48</definedName>
    <definedName name="QDRawMaterial.PurchaseQty">[4]QUANTITATIVE_DETAILS!$D$29:$D$48</definedName>
    <definedName name="QDRawMaterial.SaleQty">[4]QUANTITATIVE_DETAILS!$F$29:$F$48</definedName>
    <definedName name="QDRawMaterial.UnitOfMeasure">[4]QUANTITATIVE_DETAILS!$B$29:$B$48</definedName>
    <definedName name="QDRawMaterial.yldFinisProd">[4]QUANTITATIVE_DETAILS!$H$29:$H$48</definedName>
    <definedName name="QDTradingConcern">[4]Pre_XML!$B$6</definedName>
    <definedName name="QDTradingConcern.AnyShortExces">[4]QUANTITATIVE_DETAILS!$G$5:$G$23</definedName>
    <definedName name="QDTradingConcern.ClgStock">[4]QUANTITATIVE_DETAILS!$F$5:$F$23</definedName>
    <definedName name="QDTradingConcern.ItemName">[4]QUANTITATIVE_DETAILS!$A$5:$A$23</definedName>
    <definedName name="QDTradingConcern.OpeningStock">[4]QUANTITATIVE_DETAILS!$C$5:$C$23</definedName>
    <definedName name="QDTradingConcern.PurchaseQty">[4]QUANTITATIVE_DETAILS!$D$5:$D$23</definedName>
    <definedName name="QDTradingConcern.SaleQty">[4]QUANTITATIVE_DETAILS!$E$5:$E$23</definedName>
    <definedName name="QDTradingConcern.UnitOfMeasure">[4]QUANTITATIVE_DETAILS!$B$5:$B$23</definedName>
    <definedName name="QUOTEHOME">#REF!</definedName>
    <definedName name="R_Factor">#REF!</definedName>
    <definedName name="Rates_n_Taxes">'[10]Note-P'!$F$111</definedName>
    <definedName name="Record1">'[2]Other notes'!$A$1</definedName>
    <definedName name="rel">#REF!</definedName>
    <definedName name="remain">[15]Index!$C$31</definedName>
    <definedName name="Rent">#REF!</definedName>
    <definedName name="Repair_n_Maint">'[10]Note-P'!$F$119</definedName>
    <definedName name="Report_Date">[17]Index!$C$22</definedName>
    <definedName name="Residual_difference">#REF!</definedName>
    <definedName name="rr" hidden="1">{#N/A,#N/A,FALSE,"Aging Summary";#N/A,#N/A,FALSE,"Ratio Analysis";#N/A,#N/A,FALSE,"Test 120 Day Accts";#N/A,#N/A,FALSE,"Tickmarks"}</definedName>
    <definedName name="rrr">[30]Index!$C$23</definedName>
    <definedName name="rrrrrr">[30]Index!$C$22</definedName>
    <definedName name="RS">[10]BS!$H$13</definedName>
    <definedName name="s" hidden="1">{#N/A,#N/A,FALSE,"Aging Summary";#N/A,#N/A,FALSE,"Ratio Analysis";#N/A,#N/A,FALSE,"Test 120 Day Accts";#N/A,#N/A,FALSE,"Tickmarks"}</definedName>
    <definedName name="s_10a">'[4]10A'!$A$1</definedName>
    <definedName name="s_10aa">'[4]10A'!$A$24</definedName>
    <definedName name="s_10b">'[4]10A'!$A$29</definedName>
    <definedName name="s_10ba">'[4]10A'!$A$34</definedName>
    <definedName name="s_80g">'[4]80G'!$B$1</definedName>
    <definedName name="s_80ia">'[4]80_'!$A$2</definedName>
    <definedName name="s_80ib">'[4]80_'!$A$10</definedName>
    <definedName name="s_80ic">'[4]80_'!$A$26</definedName>
    <definedName name="s_ba">[4]PART_C!$A$36</definedName>
    <definedName name="s_bfla">'[4]CYLA BFLA'!$A$14</definedName>
    <definedName name="s_bp">[4]BP!$A$1</definedName>
    <definedName name="s_bs">[4]BALANCE_SHEET!$A$1</definedName>
    <definedName name="s_cfl">[4]CFL!$A$1</definedName>
    <definedName name="s_cg">[4]CG_OS!$A$1</definedName>
    <definedName name="s_cyla">'[4]CYLA BFLA'!$A$1</definedName>
    <definedName name="s_dcg">[4]DEP_DCG!$A$21</definedName>
    <definedName name="s_ddtp">[4]IT_FBT_DDTP!$C$47</definedName>
    <definedName name="s_dep">[4]DEP_DCG!$A$1</definedName>
    <definedName name="s_doa">[4]DPM_DOA!$A$21</definedName>
    <definedName name="s_dpm">[4]DPM_DOA!$A$1</definedName>
    <definedName name="s_esr">[4]ESR!$A$1</definedName>
    <definedName name="s_fb">[4]FRINGE_BENEFIT_INFO!$A$9</definedName>
    <definedName name="s_fbi">[4]FRINGE_BENEFIT_INFO!$A$1</definedName>
    <definedName name="s_fbt">[4]IT_FBT_DDTP!$A$28</definedName>
    <definedName name="s_general">[4]GENERAL!$C$5</definedName>
    <definedName name="s_general2">[4]GENERAL2!$B$1</definedName>
    <definedName name="s_hp">[4]HOUSE_PROPERTY!$A$1</definedName>
    <definedName name="s_it">[4]IT_FBT_DDTP!$A$1</definedName>
    <definedName name="s_mat">[4]EI!$A$14</definedName>
    <definedName name="s_matc">[4]EI!$A$39</definedName>
    <definedName name="s_nob">[4]NATUREOFBUSINESS!$A$17</definedName>
    <definedName name="s_oi">[4]OTHER_INFORMATION!$A$1</definedName>
    <definedName name="s_os">[4]CG_OS!$A$64</definedName>
    <definedName name="s_partbti">[4]PART_B!$A$1</definedName>
    <definedName name="s_partbtti">[4]PART_B!$A$30</definedName>
    <definedName name="s_partc">[4]PART_C!$A$2</definedName>
    <definedName name="s_pl">[4]PROFIT_LOSS!$A$1</definedName>
    <definedName name="s_qd">[4]QUANTITATIVE_DETAILS!$A$1</definedName>
    <definedName name="s_qd2">[4]QUANTITATIVE_DETAILS!$A$26</definedName>
    <definedName name="s_qd3">[4]QUANTITATIVE_DETAILS!$A$51</definedName>
    <definedName name="s_si">[4]SI!$B$1</definedName>
    <definedName name="s_sttc">'[4]80_'!$A$56</definedName>
    <definedName name="s_subdetail">'[4]SUBSIDIARY DETAILS'!$A$1</definedName>
    <definedName name="s_verification">[4]PART_C!$A$27</definedName>
    <definedName name="s_via">'[4]80_'!$A$41</definedName>
    <definedName name="sad" hidden="1">{#N/A,#N/A,FALSE,"Aging Summary";#N/A,#N/A,FALSE,"Ratio Analysis";#N/A,#N/A,FALSE,"Test 120 Day Accts";#N/A,#N/A,FALSE,"Tickmarks"}</definedName>
    <definedName name="Salaries">'[10]Note-P'!$F$81</definedName>
    <definedName name="Sale_of_FA_Loss">'[10]Note-P'!$F$128</definedName>
    <definedName name="Sale_of_Invest_Loss">'[10]Note-P'!$F$127</definedName>
    <definedName name="sap_bal">[10]TB!$I:$I</definedName>
    <definedName name="sap_trial">#REF!</definedName>
    <definedName name="SAPBEXdnldView" hidden="1">"EL1RNBIW6SAPHO69EV4N13PHH"</definedName>
    <definedName name="SAPBEXsysID" hidden="1">"LBC"</definedName>
    <definedName name="saptbl">[10]TB!$D:$I</definedName>
    <definedName name="SC">[10]BS!$H$12</definedName>
    <definedName name="Sch">'[31]Results PL'!#REF!</definedName>
    <definedName name="Schedule_12">[32]PL!#REF!</definedName>
    <definedName name="sd" hidden="1">{#N/A,#N/A,FALSE,"Aging Summary";#N/A,#N/A,FALSE,"Ratio Analysis";#N/A,#N/A,FALSE,"Test 120 Day Accts";#N/A,#N/A,FALSE,"Tickmarks"}</definedName>
    <definedName name="sda" hidden="1">{#N/A,#N/A,FALSE,"Aging Summary";#N/A,#N/A,FALSE,"Ratio Analysis";#N/A,#N/A,FALSE,"Test 120 Day Accts";#N/A,#N/A,FALSE,"Tickmarks"}</definedName>
    <definedName name="se" hidden="1">{#N/A,#N/A,FALSE,"Aging Summary";#N/A,#N/A,FALSE,"Ratio Analysis";#N/A,#N/A,FALSE,"Test 120 Day Accts";#N/A,#N/A,FALSE,"Tickmarks"}</definedName>
    <definedName name="Sebi">'[10]Note-P'!$F$64</definedName>
    <definedName name="section.DCG">[4]DEP_DCG!$A$21:$H$39</definedName>
    <definedName name="section.DEP">[4]DEP_DCG!$A$1:$H$19</definedName>
    <definedName name="section.DOA">[4]DPM_DOA!$A$21:$I$40</definedName>
    <definedName name="section.DPM">[4]DPM_DOA!$A$1:$J$19</definedName>
    <definedName name="section.ESR">[4]ESR!$A$1:$E$9</definedName>
    <definedName name="section.NatOfBus">[4]NATUREOFBUSINESS!$A$17:$D$21</definedName>
    <definedName name="section.SheduleBFT">[4]IT_FBT_DDTP!$A$30:$K$43</definedName>
    <definedName name="section.SheduleFB">[4]FRINGE_BENEFIT_INFO!$A$9:$J$47</definedName>
    <definedName name="section.SheduleFBI">[4]FRINGE_BENEFIT_INFO!$A$1:$F$7</definedName>
    <definedName name="section.SheduleIT">[4]IT_FBT_DDTP!$A$1:$H$11</definedName>
    <definedName name="section.SheduleTCS">[4]IT_FBT_DDTP!$A$27:$L$28</definedName>
    <definedName name="section.SI">[4]SI!$A$1:$F$15</definedName>
    <definedName name="section.STTC">'[4]80_'!$A$56:$I$63</definedName>
    <definedName name="Segment" hidden="1">{#N/A,#N/A,FALSE,"Aging Summary";#N/A,#N/A,FALSE,"Ratio Analysis";#N/A,#N/A,FALSE,"Test 120 Day Accts";#N/A,#N/A,FALSE,"Tickmarks"}</definedName>
    <definedName name="send">#REF!</definedName>
    <definedName name="SEZA10">[4]Pre_XML!$B$14</definedName>
    <definedName name="SEZA10.DedFromUndertaking">'[4]10A'!$F$19</definedName>
    <definedName name="SEZA10.TotalDedUs10A">'[4]10A'!$H$22</definedName>
    <definedName name="SEZA10.TotalDedUs10Sub">'[4]10A'!$H$20</definedName>
    <definedName name="sf" hidden="1">{#N/A,#N/A,FALSE,"Aging Summary";#N/A,#N/A,FALSE,"Ratio Analysis";#N/A,#N/A,FALSE,"Test 120 Day Accts";#N/A,#N/A,FALSE,"Tickmarks"}</definedName>
    <definedName name="sheet1.swversionno">[4]GENERAL!$AJ$60</definedName>
    <definedName name="sheet10.IncRecCredPLOthHeads">[4]BP!$H$5</definedName>
    <definedName name="sheet10.NetPLFromSpecBus">[4]BP!$H$4</definedName>
    <definedName name="sheet10.PLUs44sChapXIIG">[4]BP!$H$6</definedName>
    <definedName name="sheet10.ProfBfrTaxPL">[4]BP!$J$3</definedName>
    <definedName name="sheet11.AdjustedPLOthThanSpecBus">[4]BP!$J$16</definedName>
    <definedName name="sheet11.AdjustPLAfterDeprOthSpecInc">[4]BP!$J$22</definedName>
    <definedName name="sheet11.AmtAllowUs35ACt">[4]BP!$H$40</definedName>
    <definedName name="sheet11.AmtDebPLDisallowUs36">[4]BP!$H$23</definedName>
    <definedName name="sheet11.AmtDebPLDisallowUs37">[4]BP!$H$24</definedName>
    <definedName name="sheet11.AmtDebPLDisallowUs40">[4]BP!$H$25</definedName>
    <definedName name="sheet11.AmtDebPLDisallowUs40A">[4]BP!$H$26</definedName>
    <definedName name="sheet11.AmtDebPLDisallowUs43B">[4]BP!$H$27</definedName>
    <definedName name="sheet11.AmtDisallUs40NowAllow">[4]BP!$H$36</definedName>
    <definedName name="sheet11.AmtDisallUs43BNowAllow">[4]BP!$H$37</definedName>
    <definedName name="sheet11.AnyOthAmtAllDeduct">[4]BP!$H$42</definedName>
    <definedName name="sheet11.AnyOthIncNotInclInExpDisallowPL">[4]BP!$H$32</definedName>
    <definedName name="sheet11.AOPBOISharInc">[4]BP!$H$9</definedName>
    <definedName name="sheet11.BalancePLOthThanSpecBus">[4]BP!$J$12</definedName>
    <definedName name="sheet11.DebPL35ACAmt">[4]BP!$H$39</definedName>
    <definedName name="sheet11.DebPLUs35ExcessAmt">[4]BP!$H$35</definedName>
    <definedName name="sheet11.DeductUs32_1_iii">[4]BP!$H$34</definedName>
    <definedName name="sheet11.DeemIncUs3380HHD80IA">[4]BP!$H$30</definedName>
    <definedName name="sheet11.DeemIncUs41">[4]BP!$H$29</definedName>
    <definedName name="sheet11.DepreciationAllowUs32_1_i">[4]BP!$H$20</definedName>
    <definedName name="sheet11.DepreciationAllowUs32_1_ii">[4]BP!$H$19</definedName>
    <definedName name="sheet11.DepreciationDebPLCosAct">[4]BP!$J$17</definedName>
    <definedName name="sheet11.ExcessAmtDeduct35AC">[4]BP!$H$41</definedName>
    <definedName name="sheet11.ExpDebToPLExemptInc">[4]BP!$H$14</definedName>
    <definedName name="sheet11.ExpDebToPLOthHeads">[4]BP!$H$13</definedName>
    <definedName name="sheet11.FirmShareInc">[4]BP!$H$8</definedName>
    <definedName name="sheet11.InterestDisAllowUs23SMEAct">[4]BP!$H$28</definedName>
    <definedName name="sheet11.OthExempInc">[4]BP!$H$10</definedName>
    <definedName name="sheet11.OthItemDisallowUs28To44DA">[4]BP!$H$31</definedName>
    <definedName name="sheet11.PLAftAdjDedBusOthThanSpec">[4]BP!$J$44</definedName>
    <definedName name="sheet11.Section44AD">[4]BP!$H$46</definedName>
    <definedName name="sheet11.Section44AE">[4]BP!$H$47</definedName>
    <definedName name="sheet11.Section44AF">[4]BP!$H$48</definedName>
    <definedName name="sheet11.Section44B">[4]BP!$H$49</definedName>
    <definedName name="sheet11.Section44BB">[4]BP!$H$50</definedName>
    <definedName name="sheet11.Section44BBA">[4]BP!$H$51</definedName>
    <definedName name="sheet11.TotAfterAddToPLDeprOthSpecInc">[4]BP!$J$33</definedName>
    <definedName name="sheet11.TotDeductionAmts">[4]BP!$J$43</definedName>
    <definedName name="sheet11.TotDeprAllowITAct">[4]BP!$J$21</definedName>
    <definedName name="sheet11.TotExempIncPL">[4]BP!$H$11</definedName>
    <definedName name="sheet11.TotExpDebPL">[4]BP!$H$15</definedName>
    <definedName name="sheet12.AdditionUs28to44DA">[4]BP!$J$69</definedName>
    <definedName name="sheet12.AdjustedPLFrmSpecuBus">[4]BP!$J$71</definedName>
    <definedName name="sheet12.ChapterXIIG">[4]BP!$H$55</definedName>
    <definedName name="sheet12.DeductUs28to44DA">[4]BP!$J$70</definedName>
    <definedName name="sheet12.FirstSchTAct">[4]BP!$H$56</definedName>
    <definedName name="sheet12.IncChrgUnHdProftGain">[4]BP!$J$72</definedName>
    <definedName name="sheet12.NetPLAftAdjBusOthThanSpec">[4]BP!$J$65</definedName>
    <definedName name="sheet12.NetPLBusOthThanSpec7A7B7C">[4]BP!$J$66</definedName>
    <definedName name="sheet12.NetPLFrmSpecBus">[4]BP!$J$68</definedName>
    <definedName name="sheet12.ProfitLossBfrDeductUs10s">[4]BP!$J$58</definedName>
    <definedName name="sheet12.Section10A">[4]BP!$H$60</definedName>
    <definedName name="sheet12.Section10AA">[4]BP!$H$61</definedName>
    <definedName name="sheet12.Section10B">[4]BP!$H$62</definedName>
    <definedName name="sheet12.Section10BA">[4]BP!$H$63</definedName>
    <definedName name="sheet12.Section44BBB">[4]BP!$H$52</definedName>
    <definedName name="sheet12.Section44D">[4]BP!$H$53</definedName>
    <definedName name="sheet12.Section44DA">[4]BP!$H$54</definedName>
    <definedName name="sheet12.TotDeductionUs10s">[4]BP!$J$64</definedName>
    <definedName name="sheet12.TotDeemedProfitBusUs">[4]BP!$J$57</definedName>
    <definedName name="sheet16.BalBusLossAftSetoff">'[4]CYLA BFLA'!$F$12</definedName>
    <definedName name="sheet16.BalHPlossCurYrAftSetoff">'[4]CYLA BFLA'!$E$12</definedName>
    <definedName name="sheet16.BalOthSrcLossNoRaceHorseAftSetoff">'[4]CYLA BFLA'!$G$12</definedName>
    <definedName name="sheet16.IncomeOfCurrYrAftCYLABFLA">'[4]CYLA BFLA'!$H$23</definedName>
    <definedName name="sheet16.TotAllUs35cl4Setoff">'[4]CYLA BFLA'!$G$22</definedName>
    <definedName name="sheet16.TotBFLossSetoff">'[4]CYLA BFLA'!$E$22</definedName>
    <definedName name="sheet16.TotBusLossSetoff">'[4]CYLA BFLA'!$F$11</definedName>
    <definedName name="sheet16.TotHPlossCurYrSetoff">'[4]CYLA BFLA'!$E$11</definedName>
    <definedName name="sheet16.TotOthSrcLossNoRaceHorseSetoff">'[4]CYLA BFLA'!$G$11</definedName>
    <definedName name="sheet16.TotUnabsorbedDeprSetoff">'[4]CYLA BFLA'!$F$22</definedName>
    <definedName name="Sheet20.scei.DividendInc">[4]EI!$F$3</definedName>
    <definedName name="Sheet20.scei.InterestInc">[4]EI!$F$2</definedName>
    <definedName name="Sheet20.scei.LTCGWhereSTTPaid">[4]EI!$F$4</definedName>
    <definedName name="Sheet20.scei.NetAgriIncOrOthrIncRule7">[4]EI!$F$5</definedName>
    <definedName name="Sheet20.scei.Others">[4]EI!$F$7</definedName>
    <definedName name="Sheet20.scei.ShareOfProfitFirmAOP">[4]EI!$F$6</definedName>
    <definedName name="Sheet20.scei.TotalExemptInc">[4]EI!$F$8</definedName>
    <definedName name="sheet22.AccountType">'[33]PART C'!$J$46:$J$47</definedName>
    <definedName name="sheet22.YesNo">[4]PART_C!$IV$9:$IV$10</definedName>
    <definedName name="sheet8b.AggregateIncome">[4]PART_B!$J$26</definedName>
    <definedName name="sheet8b.BalanceAfterSetoffLosses">[4]PART_B!$J$20</definedName>
    <definedName name="sheet8b.BroughtFwdLossesSetoff">[4]PART_B!$J$21</definedName>
    <definedName name="sheet8b.CurrentYearLoss">[4]PART_B!$J$19</definedName>
    <definedName name="sheet8b.DeductionsUnderScheduleVIA">[4]PART_B!$J$23</definedName>
    <definedName name="sheet8b.FromOwnRaceHorse">[4]PART_B!$H$16</definedName>
    <definedName name="sheet8b.GrossTotalIncome">[4]PART_B!$J$22</definedName>
    <definedName name="sheet8b.IncomeFromHP">[4]PART_B!$J$2</definedName>
    <definedName name="sheet8b.LongTerm">[4]PART_B!$H$12</definedName>
    <definedName name="sheet8b.LossesOfCurrentYearCarriedFwd">[4]PART_B!$J$27</definedName>
    <definedName name="sheet8b.NetAgricultureIncomeOrOtherIncomeForRate">[4]PART_B!$J$25</definedName>
    <definedName name="sheet8b.OtherSrcThanOwnRaceHorse">[4]PART_B!$H$15</definedName>
    <definedName name="sheet8b.ProfGainNoSpecBus">[4]PART_B!$H$4</definedName>
    <definedName name="sheet8b.ProfGainSpecBus">[4]PART_B!$H$5</definedName>
    <definedName name="sheet8b.ShortTermOther">[4]PART_B!$H$10</definedName>
    <definedName name="sheet8b.ShortTermUs111A">[4]PART_B!$H$9</definedName>
    <definedName name="sheet8b.TotalCapGains">[4]PART_B!$J$13</definedName>
    <definedName name="sheet8b.TotalIncome">[4]PART_B!$J$24</definedName>
    <definedName name="sheet8b.TotalShortTerm">[4]PART_B!$H$11</definedName>
    <definedName name="sheet8b.TotalTI">[4]PART_B!$J$18</definedName>
    <definedName name="sheet8b.TotIncFromOS">[4]PART_B!$J$17</definedName>
    <definedName name="sheet8b.TotProfBusGain">[4]PART_B!$J$6</definedName>
    <definedName name="sheet9.AdvanceTax">[4]PART_B!$H$56</definedName>
    <definedName name="sheet9.AggregateTaxInterestLiability">[4]PART_B!$J$54</definedName>
    <definedName name="sheet9.AssesseeVerName">[4]PART_C!$F$28</definedName>
    <definedName name="sheet9.BalTaxPayable">[4]PART_B!$J$40</definedName>
    <definedName name="sheet9.BalTaxPayable1">[4]PART_B!$J$61</definedName>
    <definedName name="sheet9.BankAccountNumber">[4]PART_C!$J$37</definedName>
    <definedName name="sheet9.BankAccountType1">[4]PART_C!$J$40</definedName>
    <definedName name="sheet9.Capacity">[4]PART_C!$F$33</definedName>
    <definedName name="sheet9.Date">[4]PART_C!$F$35</definedName>
    <definedName name="sheet9.EcsRequired">[4]PART_C!$J$38</definedName>
    <definedName name="sheet9.EducationCess">[4]PART_B!$J$42</definedName>
    <definedName name="sheet9.FatherName">[4]PART_C!$F$29</definedName>
    <definedName name="sheet9.GrossTaxLiability">[4]PART_B!$J$43</definedName>
    <definedName name="sheet9.IntrstPayUs234A">[4]PART_B!$H$50</definedName>
    <definedName name="sheet9.IntrstPayUs234B">[4]PART_B!$H$51</definedName>
    <definedName name="sheet9.IntrstPayUs234C">[4]PART_B!$H$52</definedName>
    <definedName name="sheet9.MICRCode">[4]PART_C!$J$39</definedName>
    <definedName name="sheet9.NetTaxLiability">[4]PART_B!$J$48</definedName>
    <definedName name="sheet9.Place">[4]PART_C!$F$34</definedName>
    <definedName name="sheet9.RebateUs88E">[4]PART_B!$J$39</definedName>
    <definedName name="sheet9.RefundDue">[4]PART_B!$J$62</definedName>
    <definedName name="sheet9.Section90">[4]PART_B!$H$45</definedName>
    <definedName name="sheet9.Section91">[4]PART_B!$H$46</definedName>
    <definedName name="sheet9.SelfAssessmentTax">[4]PART_B!$H$59</definedName>
    <definedName name="sheet9.SurchargeOnTaxPayable">[4]PART_B!$J$41</definedName>
    <definedName name="sheet9.TaxAtNormalRatesOnAggrInc">[4]PART_B!$H$33</definedName>
    <definedName name="sheet9.TaxAtSpecialRates">[4]PART_B!$H$34</definedName>
    <definedName name="sheet9.TaxPayableOnTotInc">[4]PART_B!$J$35</definedName>
    <definedName name="sheet9.TCS">[4]PART_B!$H$58</definedName>
    <definedName name="sheet9.TDS">[4]PART_B!$H$57</definedName>
    <definedName name="sheet9.TotalIntrstPay">[4]PART_B!$J$53</definedName>
    <definedName name="sheet9.TotalTaxesPaid">[4]PART_B!$J$60</definedName>
    <definedName name="sheet9.TotTaxRelief">[4]PART_B!$J$47</definedName>
    <definedName name="SHHET4">#REF!</definedName>
    <definedName name="SI">[4]Pre_XML!$E$8</definedName>
    <definedName name="SI.SecCode">[4]SI!$C$3:$C$12</definedName>
    <definedName name="SI.SplRateInc">[4]SI!$E$3:$E$12</definedName>
    <definedName name="SI.SplRateIncTax">[4]SI!$F$3:$F$12</definedName>
    <definedName name="SI.SplRatePercent">[4]SI!$D$3:$D$12</definedName>
    <definedName name="SI.TotSplRateIncTax">[4]SI!$F$13</definedName>
    <definedName name="Software">'[10]Note-P'!$F$73</definedName>
    <definedName name="Staff_Welfare">'[10]Note-P'!$F$83</definedName>
    <definedName name="Stamp">'[10]Note-P'!$F$62</definedName>
    <definedName name="states">'[34]Part A General'!$F$3:$F$38</definedName>
    <definedName name="STB">[10]BS!$H$27</definedName>
    <definedName name="stcg.BFAllUs35Cl4Setoff3">'[4]CYLA BFLA'!$G$19</definedName>
    <definedName name="stcg.BFlossPrevYrUndSameHeadSetoff3">'[4]CYLA BFLA'!$E$19</definedName>
    <definedName name="stcg.BFUnabsorbedDeprSetoff3">'[4]CYLA BFLA'!$F$19</definedName>
    <definedName name="stcg.BusLossSetoff1">'[4]CYLA BFLA'!$F$8</definedName>
    <definedName name="stcg.HPlossCurYrSetoff1">'[4]CYLA BFLA'!$E$8</definedName>
    <definedName name="stcg.IncOfCurYrAfterSetOff1">'[4]CYLA BFLA'!$H$8</definedName>
    <definedName name="stcg.IncOfCurYrAfterSetOffBFLosses3">'[4]CYLA BFLA'!$H$19</definedName>
    <definedName name="stcg.IncOfCurYrUnderThatHead1">'[4]CYLA BFLA'!$D$8</definedName>
    <definedName name="stcg.IncOfCurYrUndHeadFromCYLA3">'[4]CYLA BFLA'!$D$19</definedName>
    <definedName name="stcg.OthSrcLossNoRaceHorseSetoff1">'[4]CYLA BFLA'!$G$8</definedName>
    <definedName name="STL">[10]BS!$H$56</definedName>
    <definedName name="STP">[10]BS!$H$30</definedName>
    <definedName name="STPA10">[4]Pre_XML!$B$10</definedName>
    <definedName name="STPA10.DedFromUndertaking">'[4]10A'!$F$3</definedName>
    <definedName name="STPA10.TotalDedUs10Sub">'[4]10A'!$H$4</definedName>
    <definedName name="STTC.RebateUs88E">'[4]80_'!$I$63</definedName>
    <definedName name="STTC.STTNonSpecBusUsA34">'[4]80_'!$G$58</definedName>
    <definedName name="STTC.STTPaid">'[4]80_'!$G$62</definedName>
    <definedName name="STTC.STTSpecBusUsB38">'[4]80_'!$G$59</definedName>
    <definedName name="STTC.TaxPaySTTAvgRate">'[4]80_'!$G$61</definedName>
    <definedName name="STTC.TotChrgAmtSTT">'[4]80_'!$I$60</definedName>
    <definedName name="t_ben">[4]GENERAL2!$B$31</definedName>
    <definedName name="t_bo">[4]GENERAL2!$B$8</definedName>
    <definedName name="t_md">[4]GENERAL2!$B$17</definedName>
    <definedName name="TA">[10]BS!$H$39</definedName>
    <definedName name="Tax_CY">[15]Index!$G$5</definedName>
    <definedName name="Tax_NY">[15]Index!$G$6</definedName>
    <definedName name="Tax_Prov_c.g" hidden="1">{#N/A,#N/A,FALSE,"Aging Summary";#N/A,#N/A,FALSE,"Ratio Analysis";#N/A,#N/A,FALSE,"Test 120 Day Accts";#N/A,#N/A,FALSE,"Tickmarks"}</definedName>
    <definedName name="TB_Date">[35]Trial!$A$1</definedName>
    <definedName name="tcs">'[3]Other notes'!#REF!</definedName>
    <definedName name="TEST0">#REF!</definedName>
    <definedName name="TEST1">#REF!</definedName>
    <definedName name="TEST2">#REF!</definedName>
    <definedName name="TEST3">#REF!</definedName>
    <definedName name="TESTHKEY">#REF!</definedName>
    <definedName name="TESTKEYS">#REF!</definedName>
    <definedName name="TESTVKEY">#REF!</definedName>
    <definedName name="TextRefCopyRangeCount" hidden="1">1</definedName>
    <definedName name="Threshold">#REF!</definedName>
    <definedName name="TL">[10]BS!$H$60</definedName>
    <definedName name="Today">[26]Provisions!$C$1</definedName>
    <definedName name="totcfloss.BusLossOthThanSpecLossCF11">[4]CFL!$F$14</definedName>
    <definedName name="totcfloss.HPLossCF11">[4]CFL!$E$14</definedName>
    <definedName name="totcfloss.LossFrmSpecBusCF11">[4]CFL!$G$14</definedName>
    <definedName name="totcfloss.LTCGLossCF11">[4]CFL!$I$14</definedName>
    <definedName name="totcfloss.OthSrcLossNotRaceHorseCF11">[4]CFL!$J$14</definedName>
    <definedName name="totcfloss.OthSrcLossRaceHorseCF11">[4]CFL!$K$14</definedName>
    <definedName name="totcfloss.STCGLossCF11">[4]CFL!$H$14</definedName>
    <definedName name="totofbfloss.BusLossOthThanSpecLossCF8">[4]CFL!$F$11</definedName>
    <definedName name="totofbfloss.HPLossCF8">[4]CFL!$E$11</definedName>
    <definedName name="totofbfloss.LossFrmSpecBusCF8">[4]CFL!$G$11</definedName>
    <definedName name="totofbfloss.LTCGLossCF8">[4]CFL!$I$11</definedName>
    <definedName name="totofbfloss.OthSrcLossNotRaceHorseCF8">[4]CFL!$J$11</definedName>
    <definedName name="totofbfloss.OthSrcLossRaceHorseCF8">[4]CFL!$K$11</definedName>
    <definedName name="totofbfloss.STCGLossCF8">[4]CFL!$H$11</definedName>
    <definedName name="TP">[10]BS!$H$28</definedName>
    <definedName name="TR">[10]BS!$H$54</definedName>
    <definedName name="Trans_BS_DT">[12]Index!$E$11</definedName>
    <definedName name="Travelling">'[10]Note-P'!$F$116</definedName>
    <definedName name="Trial">[26]Trial!$A$1:$B$65536</definedName>
    <definedName name="TYPE">[25]VALIDATION_LIST!$A$252:$A$256</definedName>
    <definedName name="VIA.Section80G">'[4]80_'!$G$42</definedName>
    <definedName name="VIA.Section80GGA">'[4]80_'!$G$43</definedName>
    <definedName name="VIA.Section80GGC">'[4]80_'!$G$45</definedName>
    <definedName name="VIA.Section80IA">'[4]80_'!$G$46</definedName>
    <definedName name="VIA.Section80IAB">'[4]80_'!$G$47</definedName>
    <definedName name="VIA.Section80IB">'[4]80_'!$G$48</definedName>
    <definedName name="VIA.Section80IC">'[4]80_'!$G$49</definedName>
    <definedName name="VIA.Section80JJA">'[4]80_'!$G$50</definedName>
    <definedName name="VIA.Section80JJAA">'[4]80_'!$G$51</definedName>
    <definedName name="VIA.Section80LA">'[4]80_'!$G$53</definedName>
    <definedName name="VIA.Section80P">'[4]80_'!$G$52</definedName>
    <definedName name="VIA.SectionGGB">'[4]80_'!$G$44</definedName>
    <definedName name="VIA.TotalChapVIADeductions">'[4]80_'!$I$54</definedName>
    <definedName name="VL_Intt">'[10]Note-P'!$F$99</definedName>
    <definedName name="w">[30]BS!$H$13</definedName>
    <definedName name="WCL_Intt">'[10]Note-P'!$F$98</definedName>
    <definedName name="we"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T">[10]BS!$H$14</definedName>
    <definedName name="wwww">[30]BS!$H$13</definedName>
    <definedName name="x_color">[4]Instructions!$B$34</definedName>
    <definedName name="x_dataentry">[36]Instructions!#REF!</definedName>
    <definedName name="x_formulae">[4]Instructions!$B$31</definedName>
    <definedName name="x_navigation">[4]Instructions!$B$25</definedName>
    <definedName name="x_rows">[4]Instructions!$B$40</definedName>
    <definedName name="X255QTY">[37]xSeries255!$D$13:$D$42,[37]xSeries255!$D$45:$D$448</definedName>
    <definedName name="xd" hidden="1">{#N/A,#N/A,FALSE,"Aging Summary";#N/A,#N/A,FALSE,"Ratio Analysis";#N/A,#N/A,FALSE,"Test 120 Day Accts";#N/A,#N/A,FALSE,"Tickmarks"}</definedName>
    <definedName name="xls_1">[4]Instructions!$C$13</definedName>
    <definedName name="xls_2">[4]Instructions!$B$28</definedName>
    <definedName name="xls_3">[4]Instructions!$B$41</definedName>
    <definedName name="xls_4">[4]Instructions!$B$47</definedName>
    <definedName name="xls_5">[4]Instructions!$B$54</definedName>
    <definedName name="xls_6">[4]Instructions!$B$74</definedName>
    <definedName name="xls_7">[4]Instructions!$B$77</definedName>
    <definedName name="xls_8">[4]Instructions!$B$82</definedName>
    <definedName name="xls_9">[4]Instructions!$B$86</definedName>
    <definedName name="XSER255">[37]xSeries255!$A$13:$M$42,[37]xSeries255!$A$45:$M$448</definedName>
    <definedName name="yr1999.BusLossOthThanSpecLossCF">[4]CFL!$F$3</definedName>
    <definedName name="yr1999.DateOfFiling">[4]CFL!$D$3</definedName>
    <definedName name="yr1999.HPLossCF">[4]CFL!$E$3</definedName>
    <definedName name="yr1999.LossFrmSpecBusCF">[4]CFL!$G$3</definedName>
    <definedName name="yr1999.LTCGLossCF">[4]CFL!$I$3</definedName>
    <definedName name="yr1999.OthSrcLossNotRaceHorseCF">[4]CFL!$J$3</definedName>
    <definedName name="yr1999.OthSrcLossRaceHorseCF">[4]CFL!$K$3</definedName>
    <definedName name="yr1999.STCGLossCF">[4]CFL!$H$3</definedName>
    <definedName name="yr2000.BusLossOthThanSpecLossCF1">[4]CFL!$F$4</definedName>
    <definedName name="yr2000.DateOfFiling1">[4]CFL!$D$4</definedName>
    <definedName name="yr2000.HPLossCF1">[4]CFL!$E$4</definedName>
    <definedName name="yr2000.LossFrmSpecBusCF1">[4]CFL!$G$4</definedName>
    <definedName name="yr2000.LTCGLossCF1">[4]CFL!$I$4</definedName>
    <definedName name="yr2000.OthSrcLossNotRaceHorseCF1">[4]CFL!$J$4</definedName>
    <definedName name="yr2000.OthSrcLossRaceHorseCF1">[4]CFL!$K$4</definedName>
    <definedName name="yr2000.STCGLossCF1">[4]CFL!$H$4</definedName>
    <definedName name="yr2001.BusLossOthThanSpecLossCF2">[4]CFL!$F$5</definedName>
    <definedName name="yr2001.DateOfFiling2">[4]CFL!$D$5</definedName>
    <definedName name="yr2001.HPLossCF2">[4]CFL!$E$5</definedName>
    <definedName name="yr2001.LossFrmSpecBusCF2">[4]CFL!$G$5</definedName>
    <definedName name="yr2001.LTCGLossCF2">[4]CFL!$I$5</definedName>
    <definedName name="yr2001.OthSrcLossNotRaceHorseCF2">[4]CFL!$J$5</definedName>
    <definedName name="yr2001.OthSrcLossRaceHorseCF2">[4]CFL!$K$5</definedName>
    <definedName name="yr2001.STCGLossCF2">[4]CFL!$H$5</definedName>
    <definedName name="yr2002.BusLossOthThanSpecLossCF3">[4]CFL!$F$6</definedName>
    <definedName name="yr2002.DateOfFiling3">[4]CFL!$D$6</definedName>
    <definedName name="yr2002.HPLossCF3">[4]CFL!$E$6</definedName>
    <definedName name="yr2002.LossFrmSpecBusCF3">[4]CFL!$G$6</definedName>
    <definedName name="yr2002.LTCGLossCF3">[4]CFL!$I$6</definedName>
    <definedName name="yr2002.OthSrcLossNotRaceHorseCF3">[4]CFL!$J$6</definedName>
    <definedName name="yr2002.OthSrcLossRaceHorseCF3">[4]CFL!$K$6</definedName>
    <definedName name="yr2002.STCGLossCF3">[4]CFL!$H$6</definedName>
    <definedName name="yr2003.BusLossOthThanSpecLossCF4">[4]CFL!$F$7</definedName>
    <definedName name="yr2003.DateOfFiling4">[4]CFL!$D$7</definedName>
    <definedName name="yr2003.HPLossCF4">[4]CFL!$E$7</definedName>
    <definedName name="yr2003.LossFrmSpecBusCF4">[4]CFL!$G$7</definedName>
    <definedName name="yr2003.LTCGLossCF4">[4]CFL!$I$7</definedName>
    <definedName name="yr2003.OthSrcLossNotRaceHorseCF4">[4]CFL!$J$7</definedName>
    <definedName name="yr2003.OthSrcLossRaceHorseCF4">[4]CFL!$K$7</definedName>
    <definedName name="yr2003.STCGLossCF4">[4]CFL!$H$7</definedName>
    <definedName name="yr2004.BusLossOthThanSpecLossCF5">[4]CFL!$F$8</definedName>
    <definedName name="yr2004.DateOfFiling5">[4]CFL!$D$8</definedName>
    <definedName name="yr2004.HPLossCF5">[4]CFL!$E$8</definedName>
    <definedName name="yr2004.LossFrmSpecBusCF5">[4]CFL!$G$8</definedName>
    <definedName name="yr2004.LTCGLossCF5">[4]CFL!$I$8</definedName>
    <definedName name="yr2004.OthSrcLossNotRaceHorseCF5">[4]CFL!$J$8</definedName>
    <definedName name="yr2004.OthSrcLossRaceHorseCF5">[4]CFL!$K$8</definedName>
    <definedName name="yr2004.STCGLossCF5">[4]CFL!$H$8</definedName>
    <definedName name="yr2005.BusLossOthThanSpecLossCF6">[4]CFL!$F$9</definedName>
    <definedName name="yr2005.DateOfFiling6">[4]CFL!$D$9</definedName>
    <definedName name="yr2005.HPLossCF6">[4]CFL!$E$9</definedName>
    <definedName name="yr2005.LossFrmSpecBusCF6">[4]CFL!$G$9</definedName>
    <definedName name="yr2005.LTCGLossCF6">[4]CFL!$I$9</definedName>
    <definedName name="yr2005.OthSrcLossNotRaceHorseCF6">[4]CFL!$J$9</definedName>
    <definedName name="yr2005.OthSrcLossRaceHorseCF6">[4]CFL!$K$9</definedName>
    <definedName name="yr2005.STCGLossCF6">[4]CFL!$H$9</definedName>
    <definedName name="yr2006.BusLossOthThanSpecLossCF7">[4]CFL!$F$10</definedName>
    <definedName name="yr2006.DateOfFiling7">[4]CFL!$D$10</definedName>
    <definedName name="yr2006.HPLossCF7">[4]CFL!$E$10</definedName>
    <definedName name="yr2006.LossFrmSpecBusCF7">[4]CFL!$G$10</definedName>
    <definedName name="yr2006.LTCGLossCF7">[4]CFL!$I$10</definedName>
    <definedName name="yr2006.OthSrcLossNotRaceHorseCF7">[4]CFL!$J$10</definedName>
    <definedName name="yr2006.OthSrcLossRaceHorseCF7">[4]CFL!$K$10</definedName>
    <definedName name="yr2006.STCGLossCF7">[4]CFL!$H$10</definedName>
    <definedName name="yr2007.BusLossOthThanSpecLossCF10">[4]CFL!$F$13</definedName>
    <definedName name="yr2007.HPLossCF10">[4]CFL!$E$13</definedName>
    <definedName name="yr2007.LossFrmSpecBusCF10">[4]CFL!$G$13</definedName>
    <definedName name="yr2007.LTCGLossCF10">[4]CFL!$I$13</definedName>
    <definedName name="yr2007.OthSrcLossNotRaceHorseCF10">[4]CFL!$J$13</definedName>
    <definedName name="yr2007.OthSrcLossRaceHorseCF10">[4]CFL!$K$13</definedName>
    <definedName name="yr2007.STCGLossCF10">[4]CFL!$H$13</definedName>
    <definedName name="z" hidden="1">{#N/A,#N/A,FALSE,"Aging Summary";#N/A,#N/A,FALSE,"Ratio Analysis";#N/A,#N/A,FALSE,"Test 120 Day Accts";#N/A,#N/A,FALSE,"Tickmarks"}</definedName>
    <definedName name="zz">'[38]TB - SAP'!$A:$E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5" i="3" l="1"/>
  <c r="I46" i="3" s="1"/>
  <c r="H45" i="3"/>
  <c r="H46" i="3" s="1"/>
  <c r="I65" i="6"/>
  <c r="G65" i="6"/>
  <c r="C65" i="6"/>
  <c r="I64" i="6"/>
  <c r="G64" i="6"/>
  <c r="C64" i="6"/>
  <c r="I62" i="6"/>
  <c r="G62" i="6"/>
  <c r="C62" i="6"/>
  <c r="I60" i="6"/>
  <c r="G60" i="6"/>
  <c r="C60" i="6"/>
  <c r="C57" i="6"/>
  <c r="G56" i="6"/>
  <c r="C55" i="6"/>
  <c r="H46" i="6"/>
  <c r="I45" i="6"/>
  <c r="I46" i="6" s="1"/>
  <c r="H45" i="6"/>
  <c r="I38" i="6"/>
  <c r="H38" i="6"/>
  <c r="I34" i="6"/>
  <c r="H34" i="6"/>
  <c r="I29" i="6"/>
  <c r="H29" i="6"/>
  <c r="H24" i="6"/>
  <c r="H21" i="6"/>
  <c r="I14" i="6"/>
  <c r="I21" i="6" s="1"/>
  <c r="I24" i="6" s="1"/>
  <c r="H14" i="6"/>
  <c r="I65" i="5"/>
  <c r="G65" i="5"/>
  <c r="C65" i="5"/>
  <c r="I64" i="5"/>
  <c r="G64" i="5"/>
  <c r="C64" i="5"/>
  <c r="I62" i="5"/>
  <c r="G62" i="5"/>
  <c r="C62" i="5"/>
  <c r="I60" i="5"/>
  <c r="G60" i="5"/>
  <c r="C60" i="5"/>
  <c r="C57" i="5"/>
  <c r="G56" i="5"/>
  <c r="C55" i="5"/>
  <c r="I45" i="5"/>
  <c r="I46" i="5" s="1"/>
  <c r="H45" i="5"/>
  <c r="H46" i="5" s="1"/>
  <c r="I38" i="5"/>
  <c r="H38" i="5"/>
  <c r="I34" i="5"/>
  <c r="H34" i="5"/>
  <c r="I29" i="5"/>
  <c r="H29" i="5"/>
  <c r="I14" i="5"/>
  <c r="I21" i="5" s="1"/>
  <c r="I24" i="5" s="1"/>
  <c r="H14" i="5"/>
  <c r="H21" i="5" s="1"/>
  <c r="H24" i="5" s="1"/>
  <c r="I65" i="4"/>
  <c r="G65" i="4"/>
  <c r="C65" i="4"/>
  <c r="I64" i="4"/>
  <c r="G64" i="4"/>
  <c r="C64" i="4"/>
  <c r="I62" i="4"/>
  <c r="G62" i="4"/>
  <c r="C62" i="4"/>
  <c r="I60" i="4"/>
  <c r="G60" i="4"/>
  <c r="C60" i="4"/>
  <c r="C57" i="4"/>
  <c r="G56" i="4"/>
  <c r="C55" i="4"/>
  <c r="I46" i="4"/>
  <c r="H46" i="4"/>
  <c r="I45" i="4"/>
  <c r="H45" i="4"/>
  <c r="I38" i="4"/>
  <c r="H38" i="4"/>
  <c r="I34" i="4"/>
  <c r="H34" i="4"/>
  <c r="I29" i="4"/>
  <c r="H29" i="4"/>
  <c r="I21" i="4"/>
  <c r="I24" i="4" s="1"/>
  <c r="H21" i="4"/>
  <c r="H24" i="4" s="1"/>
  <c r="I14" i="4"/>
  <c r="H14" i="4"/>
  <c r="I65" i="3"/>
  <c r="G65" i="3"/>
  <c r="C65" i="3"/>
  <c r="I64" i="3"/>
  <c r="G64" i="3"/>
  <c r="C64" i="3"/>
  <c r="I62" i="3"/>
  <c r="G62" i="3"/>
  <c r="C62" i="3"/>
  <c r="I60" i="3"/>
  <c r="G60" i="3"/>
  <c r="C60" i="3"/>
  <c r="C57" i="3"/>
  <c r="G56" i="3"/>
  <c r="C55" i="3"/>
  <c r="I38" i="3"/>
  <c r="H38" i="3"/>
  <c r="I34" i="3"/>
  <c r="H34" i="3"/>
  <c r="I29" i="3"/>
  <c r="H29" i="3"/>
  <c r="I14" i="3"/>
  <c r="I21" i="3" s="1"/>
  <c r="I24" i="3" s="1"/>
  <c r="H14" i="3"/>
  <c r="H21" i="3" s="1"/>
  <c r="H24" i="3" s="1"/>
  <c r="I65" i="2"/>
  <c r="G65" i="2"/>
  <c r="C65" i="2"/>
  <c r="I64" i="2"/>
  <c r="G64" i="2"/>
  <c r="C64" i="2"/>
  <c r="I62" i="2"/>
  <c r="G62" i="2"/>
  <c r="C62" i="2"/>
  <c r="I60" i="2"/>
  <c r="G60" i="2"/>
  <c r="C60" i="2"/>
  <c r="C57" i="2"/>
  <c r="G56" i="2"/>
  <c r="C55" i="2"/>
  <c r="H46" i="2"/>
  <c r="I45" i="2"/>
  <c r="I46" i="2" s="1"/>
  <c r="H45" i="2"/>
  <c r="I38" i="2"/>
  <c r="H38" i="2"/>
  <c r="I34" i="2"/>
  <c r="H34" i="2"/>
  <c r="I29" i="2"/>
  <c r="H29" i="2"/>
  <c r="I14" i="2"/>
  <c r="I21" i="2" s="1"/>
  <c r="I24" i="2" s="1"/>
  <c r="H14" i="2"/>
  <c r="H21" i="2" s="1"/>
  <c r="H24" i="2" s="1"/>
  <c r="I65" i="1"/>
  <c r="G65" i="1"/>
  <c r="C65" i="1"/>
  <c r="I64" i="1"/>
  <c r="G64" i="1"/>
  <c r="C64" i="1"/>
  <c r="I62" i="1"/>
  <c r="G62" i="1"/>
  <c r="C62" i="1"/>
  <c r="I60" i="1"/>
  <c r="G60" i="1"/>
  <c r="C60" i="1"/>
  <c r="C57" i="1"/>
  <c r="G56" i="1"/>
  <c r="C55" i="1"/>
  <c r="I45" i="1"/>
  <c r="I46" i="1" s="1"/>
  <c r="H45" i="1"/>
  <c r="H46" i="1" s="1"/>
  <c r="I34" i="1"/>
  <c r="H34" i="1"/>
  <c r="I29" i="1"/>
  <c r="H29" i="1"/>
  <c r="I14" i="1"/>
  <c r="I21" i="1" s="1"/>
  <c r="I24" i="1" s="1"/>
  <c r="H14" i="1"/>
  <c r="H21" i="1" s="1"/>
  <c r="I38" i="1" l="1"/>
  <c r="H24" i="1"/>
  <c r="H38" i="1" s="1"/>
</calcChain>
</file>

<file path=xl/sharedStrings.xml><?xml version="1.0" encoding="utf-8"?>
<sst xmlns="http://schemas.openxmlformats.org/spreadsheetml/2006/main" count="294" uniqueCount="63">
  <si>
    <t>Particulars</t>
  </si>
  <si>
    <t>A.</t>
  </si>
  <si>
    <t>Cash flows from operating activities</t>
  </si>
  <si>
    <t>Net profit before tax</t>
  </si>
  <si>
    <t>Adjustments for:</t>
  </si>
  <si>
    <t>Depreciation expense</t>
  </si>
  <si>
    <t>Unrealised foreign exchange (gain)/loss</t>
  </si>
  <si>
    <t>Operating profit before working capital changes</t>
  </si>
  <si>
    <t>Movement in working capital:</t>
  </si>
  <si>
    <t>Movement in trade payables</t>
  </si>
  <si>
    <t>Movement in other current liabilities</t>
  </si>
  <si>
    <t>Movement in inventories</t>
  </si>
  <si>
    <t>Movement in trade receivables</t>
  </si>
  <si>
    <t>Movement in other current assets</t>
  </si>
  <si>
    <t>Cash generated from operations</t>
  </si>
  <si>
    <t>Income tax paid</t>
  </si>
  <si>
    <t>Net cash generated from operating activities (A)</t>
  </si>
  <si>
    <t>B.</t>
  </si>
  <si>
    <t>Cash flows from investing activities</t>
  </si>
  <si>
    <t>Purchase of property, plant &amp; equipments</t>
  </si>
  <si>
    <t>Net cash used in investing activities (B)</t>
  </si>
  <si>
    <t>C.</t>
  </si>
  <si>
    <t>Cash flows from financing activities</t>
  </si>
  <si>
    <t xml:space="preserve">Dividend paid </t>
  </si>
  <si>
    <t>Net cash used in financing activities (C)</t>
  </si>
  <si>
    <t>Net increase in cash and cash equivalents (A+B+C)</t>
  </si>
  <si>
    <t>Cash and cash equivalents at the beginning of period</t>
  </si>
  <si>
    <t>Cash and cash equivalents at the end of period</t>
  </si>
  <si>
    <t>Cash and cash equivalents comprises of (refer note 20)</t>
  </si>
  <si>
    <t>Balances with banks</t>
  </si>
  <si>
    <t>-Current accounts</t>
  </si>
  <si>
    <t>Other Bank Balance</t>
  </si>
  <si>
    <t>-Deposit with original maturity period of more then 3 months but less than 12 months</t>
  </si>
  <si>
    <t>Notes to cash flow statement</t>
  </si>
  <si>
    <t>The above cash flow statement has been prepared in accordance with the 'Indirect method' as set out in Accounting Standard - 3  on 'Cash Flow Statements'.</t>
  </si>
  <si>
    <t>The  accompanying notes form an integral part of the financial statements.</t>
  </si>
  <si>
    <t>This is the Cash Flow Statement referred to in our report of even date</t>
  </si>
  <si>
    <t xml:space="preserve">For and on behalf of the Board of Directors of </t>
  </si>
  <si>
    <t>Chartered Accountants</t>
  </si>
  <si>
    <t>Partner</t>
  </si>
  <si>
    <t>Director</t>
  </si>
  <si>
    <t>Dividend distribution tax</t>
  </si>
  <si>
    <t>(Amount in ` hundreds)</t>
  </si>
  <si>
    <t>CIN: UXXXXXMH2023PTCXXX588</t>
  </si>
  <si>
    <t>Cash Flow Statement for the year ended 30 April 2024</t>
  </si>
  <si>
    <t>As at 30st April, 2024</t>
  </si>
  <si>
    <t>As at 30st April, 2023</t>
  </si>
  <si>
    <t>Cash Flow Statement for the year ended 31 May 2024</t>
  </si>
  <si>
    <t>As at 31st May, 2024</t>
  </si>
  <si>
    <t>As at 31st May, 2023</t>
  </si>
  <si>
    <t>SUMMIT COPORATION PRIVATE LIMITED</t>
  </si>
  <si>
    <t>Cash Flow Statement for the year ended 31 June 2024</t>
  </si>
  <si>
    <t>As at 31 June, 2024</t>
  </si>
  <si>
    <t>As at 31 June, 2023</t>
  </si>
  <si>
    <t>Cash Flow Statement for the year ended 31 July 2024</t>
  </si>
  <si>
    <t>As at 31st July , 2024</t>
  </si>
  <si>
    <t>As at 31st July , 2023</t>
  </si>
  <si>
    <t>Cash Flow Statement for the year ended 31 August 2024</t>
  </si>
  <si>
    <t>As at 31st August, 2024</t>
  </si>
  <si>
    <t>As at 31st August, 2023</t>
  </si>
  <si>
    <t>Cash Flow Statement for the year ended 31 September 2024</t>
  </si>
  <si>
    <t>As at 31st September, 2024</t>
  </si>
  <si>
    <t>As at 31st 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</si>
</sst>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 #,##0;&quot;₹&quot;\ \-#,##0"/>
    <numFmt numFmtId="164" formatCode="_(* #,##0.00_);_(* \(#,##0.00\);_(* &quot;-&quot;??_);_(@_)"/>
    <numFmt numFmtId="165" formatCode="_(* #,##0_);_(* \(#,##0\);_(* &quot;-&quot;??_);_(@_)"/>
    <numFmt numFmtId="166" formatCode="0.00_)"/>
  </numFmts>
  <fonts count="9" x14ac:knownFonts="1">
    <font>
      <sz val="11"/>
      <color theme="1"/>
      <name val="Calibri"/>
      <family val="2"/>
      <scheme val="minor"/>
    </font>
    <font>
      <sz val="11"/>
      <color theme="1"/>
      <name val="Calibri"/>
      <family val="2"/>
      <scheme val="minor"/>
    </font>
    <font>
      <sz val="10"/>
      <name val="Arial"/>
      <family val="2"/>
    </font>
    <font>
      <sz val="10"/>
      <name val="Courier"/>
      <family val="3"/>
    </font>
    <font>
      <sz val="9"/>
      <name val="Times New Roman"/>
      <family val="1"/>
    </font>
    <font>
      <b/>
      <sz val="10"/>
      <name val="Times New Roman"/>
      <family val="1"/>
    </font>
    <font>
      <b/>
      <sz val="9"/>
      <color theme="9" tint="-0.249977111117893"/>
      <name val="Times New Roman"/>
      <family val="1"/>
    </font>
    <font>
      <sz val="9"/>
      <color theme="9" tint="-0.249977111117893"/>
      <name val="Times New Roman"/>
      <family val="1"/>
    </font>
    <font>
      <b/>
      <sz val="9"/>
      <name val="Times New Roman"/>
      <family val="1"/>
    </font>
  </fonts>
  <fills count="3">
    <fill>
      <patternFill patternType="none"/>
    </fill>
    <fill>
      <patternFill patternType="gray125"/>
    </fill>
    <fill>
      <patternFill patternType="solid">
        <fgColor theme="0" tint="-0.249977111117893"/>
        <bgColor indexed="64"/>
      </patternFill>
    </fill>
  </fills>
  <borders count="18">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thin">
        <color auto="1"/>
      </top>
      <bottom/>
      <diagonal/>
    </border>
    <border>
      <left style="medium">
        <color indexed="64"/>
      </left>
      <right style="medium">
        <color indexed="64"/>
      </right>
      <top style="thin">
        <color auto="1"/>
      </top>
      <bottom/>
      <diagonal/>
    </border>
    <border>
      <left/>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s>
  <cellStyleXfs count="6">
    <xf numFmtId="0" fontId="0" fillId="0" borderId="0"/>
    <xf numFmtId="164" fontId="1" fillId="0" borderId="0" applyFont="0" applyFill="0" applyBorder="0" applyAlignment="0" applyProtection="0"/>
    <xf numFmtId="0" fontId="2" fillId="0" borderId="0"/>
    <xf numFmtId="5" fontId="3" fillId="0" borderId="0"/>
    <xf numFmtId="0" fontId="1" fillId="0" borderId="0"/>
    <xf numFmtId="0" fontId="3" fillId="0" borderId="0"/>
  </cellStyleXfs>
  <cellXfs count="86">
    <xf numFmtId="0" fontId="0" fillId="0" borderId="0" xfId="0"/>
    <xf numFmtId="0" fontId="4" fillId="0" borderId="0" xfId="0" applyFont="1"/>
    <xf numFmtId="0" fontId="5" fillId="0" borderId="0" xfId="0" applyFont="1" applyAlignment="1">
      <alignment horizontal="center"/>
    </xf>
    <xf numFmtId="0" fontId="6" fillId="0" borderId="0" xfId="0" applyFont="1" applyAlignment="1">
      <alignment horizontal="center"/>
    </xf>
    <xf numFmtId="164" fontId="7" fillId="0" borderId="0" xfId="1" applyFont="1"/>
    <xf numFmtId="0" fontId="7" fillId="0" borderId="0" xfId="0" applyFont="1"/>
    <xf numFmtId="165" fontId="7" fillId="0" borderId="0" xfId="1" applyNumberFormat="1" applyFont="1"/>
    <xf numFmtId="0" fontId="5" fillId="0" borderId="0" xfId="2" applyFont="1" applyAlignment="1">
      <alignment horizontal="center" vertical="center"/>
    </xf>
    <xf numFmtId="0" fontId="6" fillId="0" borderId="0" xfId="2" applyFont="1" applyAlignment="1">
      <alignment horizontal="center" vertical="center"/>
    </xf>
    <xf numFmtId="0" fontId="8" fillId="0" borderId="0" xfId="0" applyFont="1" applyAlignment="1">
      <alignment horizontal="right" vertical="top"/>
    </xf>
    <xf numFmtId="0" fontId="6" fillId="0" borderId="0" xfId="0" applyFont="1" applyAlignment="1">
      <alignment horizontal="right" vertical="top"/>
    </xf>
    <xf numFmtId="0" fontId="4" fillId="0" borderId="1" xfId="0" applyFont="1" applyBorder="1"/>
    <xf numFmtId="0" fontId="8" fillId="2" borderId="2" xfId="0" applyFont="1" applyFill="1" applyBorder="1"/>
    <xf numFmtId="0" fontId="4" fillId="2" borderId="3" xfId="0" applyFont="1" applyFill="1" applyBorder="1"/>
    <xf numFmtId="0" fontId="4" fillId="2" borderId="4" xfId="0" applyFont="1" applyFill="1" applyBorder="1"/>
    <xf numFmtId="166" fontId="8" fillId="2" borderId="4" xfId="3" applyNumberFormat="1" applyFont="1" applyFill="1" applyBorder="1" applyAlignment="1">
      <alignment horizontal="center" wrapText="1"/>
    </xf>
    <xf numFmtId="166" fontId="6" fillId="0" borderId="0" xfId="3" applyNumberFormat="1" applyFont="1" applyAlignment="1">
      <alignment horizontal="center" wrapText="1"/>
    </xf>
    <xf numFmtId="0" fontId="4" fillId="0" borderId="5" xfId="0" applyFont="1" applyBorder="1"/>
    <xf numFmtId="0" fontId="4" fillId="2" borderId="6" xfId="0" applyFont="1" applyFill="1" applyBorder="1"/>
    <xf numFmtId="0" fontId="4" fillId="2" borderId="7" xfId="0" applyFont="1" applyFill="1" applyBorder="1"/>
    <xf numFmtId="0" fontId="4" fillId="2" borderId="8" xfId="0" applyFont="1" applyFill="1" applyBorder="1"/>
    <xf numFmtId="166" fontId="8" fillId="2" borderId="8" xfId="3" applyNumberFormat="1" applyFont="1" applyFill="1" applyBorder="1" applyAlignment="1">
      <alignment horizontal="center" wrapText="1"/>
    </xf>
    <xf numFmtId="0" fontId="8" fillId="0" borderId="5" xfId="4" applyFont="1" applyBorder="1"/>
    <xf numFmtId="0" fontId="8" fillId="0" borderId="9" xfId="4" applyFont="1" applyBorder="1"/>
    <xf numFmtId="0" fontId="4" fillId="0" borderId="10" xfId="0" applyFont="1" applyBorder="1"/>
    <xf numFmtId="164" fontId="8" fillId="0" borderId="0" xfId="1" applyFont="1" applyFill="1" applyBorder="1" applyAlignment="1">
      <alignment horizontal="right" wrapText="1"/>
    </xf>
    <xf numFmtId="164" fontId="8" fillId="0" borderId="1" xfId="1" applyFont="1" applyFill="1" applyBorder="1" applyAlignment="1">
      <alignment horizontal="right" wrapText="1"/>
    </xf>
    <xf numFmtId="0" fontId="8" fillId="0" borderId="9" xfId="4" applyFont="1" applyBorder="1" applyAlignment="1">
      <alignment vertical="top"/>
    </xf>
    <xf numFmtId="0" fontId="4" fillId="0" borderId="0" xfId="0" applyFont="1" applyAlignment="1">
      <alignment vertical="top"/>
    </xf>
    <xf numFmtId="164" fontId="4" fillId="0" borderId="0" xfId="1" applyFont="1" applyAlignment="1">
      <alignment horizontal="right"/>
    </xf>
    <xf numFmtId="164" fontId="4" fillId="0" borderId="5" xfId="1" applyFont="1" applyBorder="1" applyAlignment="1">
      <alignment horizontal="right"/>
    </xf>
    <xf numFmtId="164" fontId="7" fillId="0" borderId="0" xfId="1" applyFont="1" applyBorder="1"/>
    <xf numFmtId="165" fontId="7" fillId="0" borderId="0" xfId="1" applyNumberFormat="1" applyFont="1" applyBorder="1"/>
    <xf numFmtId="165" fontId="7" fillId="0" borderId="0" xfId="0" applyNumberFormat="1" applyFont="1"/>
    <xf numFmtId="0" fontId="4" fillId="0" borderId="9" xfId="0" applyFont="1" applyBorder="1"/>
    <xf numFmtId="164" fontId="4" fillId="0" borderId="0" xfId="1" applyFont="1" applyFill="1" applyAlignment="1">
      <alignment horizontal="right"/>
    </xf>
    <xf numFmtId="164" fontId="4" fillId="0" borderId="5" xfId="1" applyFont="1" applyFill="1" applyBorder="1" applyAlignment="1">
      <alignment horizontal="right"/>
    </xf>
    <xf numFmtId="165" fontId="7" fillId="0" borderId="0" xfId="1" applyNumberFormat="1" applyFont="1" applyFill="1" applyBorder="1"/>
    <xf numFmtId="164" fontId="8" fillId="0" borderId="11" xfId="1" applyFont="1" applyFill="1" applyBorder="1" applyAlignment="1">
      <alignment horizontal="right"/>
    </xf>
    <xf numFmtId="164" fontId="8" fillId="0" borderId="12" xfId="1" applyFont="1" applyBorder="1" applyAlignment="1">
      <alignment horizontal="right"/>
    </xf>
    <xf numFmtId="165" fontId="6" fillId="0" borderId="0" xfId="1" applyNumberFormat="1" applyFont="1" applyBorder="1"/>
    <xf numFmtId="0" fontId="4" fillId="0" borderId="9" xfId="4" applyFont="1" applyBorder="1"/>
    <xf numFmtId="165" fontId="6" fillId="0" borderId="0" xfId="0" applyNumberFormat="1" applyFont="1"/>
    <xf numFmtId="164" fontId="8" fillId="0" borderId="13" xfId="1" applyFont="1" applyFill="1" applyBorder="1" applyAlignment="1">
      <alignment horizontal="right"/>
    </xf>
    <xf numFmtId="164" fontId="8" fillId="0" borderId="14" xfId="1" applyFont="1" applyBorder="1" applyAlignment="1">
      <alignment horizontal="right"/>
    </xf>
    <xf numFmtId="164" fontId="8" fillId="0" borderId="14" xfId="1" applyFont="1" applyFill="1" applyBorder="1" applyAlignment="1">
      <alignment horizontal="right"/>
    </xf>
    <xf numFmtId="165" fontId="6" fillId="0" borderId="0" xfId="1" applyNumberFormat="1" applyFont="1" applyFill="1" applyBorder="1"/>
    <xf numFmtId="164" fontId="8" fillId="0" borderId="13" xfId="1" applyFont="1" applyBorder="1" applyAlignment="1">
      <alignment horizontal="right"/>
    </xf>
    <xf numFmtId="0" fontId="4" fillId="0" borderId="9" xfId="0" applyFont="1" applyBorder="1" applyAlignment="1">
      <alignment vertical="top"/>
    </xf>
    <xf numFmtId="0" fontId="4" fillId="0" borderId="9" xfId="0" quotePrefix="1" applyFont="1" applyBorder="1" applyAlignment="1">
      <alignment vertical="top"/>
    </xf>
    <xf numFmtId="0" fontId="8" fillId="0" borderId="9" xfId="0" applyFont="1" applyBorder="1" applyAlignment="1">
      <alignment vertical="top"/>
    </xf>
    <xf numFmtId="0" fontId="4" fillId="0" borderId="9" xfId="0" quotePrefix="1" applyFont="1" applyBorder="1" applyAlignment="1">
      <alignment horizontal="left" vertical="top" wrapText="1"/>
    </xf>
    <xf numFmtId="0" fontId="4" fillId="0" borderId="0" xfId="0" quotePrefix="1" applyFont="1" applyAlignment="1">
      <alignment horizontal="left" vertical="top" wrapText="1"/>
    </xf>
    <xf numFmtId="0" fontId="4" fillId="0" borderId="10" xfId="0" quotePrefix="1" applyFont="1" applyBorder="1" applyAlignment="1">
      <alignment horizontal="left" vertical="top" wrapText="1"/>
    </xf>
    <xf numFmtId="164" fontId="4" fillId="0" borderId="0" xfId="1" applyFont="1" applyAlignment="1">
      <alignment horizontal="right" vertical="center"/>
    </xf>
    <xf numFmtId="164" fontId="4" fillId="0" borderId="5" xfId="1" applyFont="1" applyBorder="1" applyAlignment="1">
      <alignment horizontal="right" vertical="center"/>
    </xf>
    <xf numFmtId="165" fontId="7" fillId="0" borderId="0" xfId="0" applyNumberFormat="1" applyFont="1" applyAlignment="1">
      <alignment vertical="center"/>
    </xf>
    <xf numFmtId="0" fontId="4" fillId="0" borderId="15" xfId="0" applyFont="1" applyBorder="1"/>
    <xf numFmtId="0" fontId="4" fillId="0" borderId="6" xfId="0" quotePrefix="1" applyFont="1" applyBorder="1" applyAlignment="1">
      <alignment horizontal="left" vertical="top" wrapText="1"/>
    </xf>
    <xf numFmtId="0" fontId="4" fillId="0" borderId="7" xfId="0" quotePrefix="1" applyFont="1" applyBorder="1" applyAlignment="1">
      <alignment horizontal="left" vertical="top" wrapText="1"/>
    </xf>
    <xf numFmtId="0" fontId="4" fillId="0" borderId="8" xfId="0" quotePrefix="1" applyFont="1" applyBorder="1" applyAlignment="1">
      <alignment horizontal="left" vertical="top" wrapText="1"/>
    </xf>
    <xf numFmtId="164" fontId="8" fillId="0" borderId="16" xfId="1" applyFont="1" applyBorder="1" applyAlignment="1">
      <alignment horizontal="right" vertical="center"/>
    </xf>
    <xf numFmtId="164" fontId="8" fillId="0" borderId="17" xfId="1" applyFont="1" applyBorder="1" applyAlignment="1">
      <alignment horizontal="right" vertical="center"/>
    </xf>
    <xf numFmtId="165" fontId="6" fillId="0" borderId="0" xfId="0" applyNumberFormat="1" applyFont="1" applyAlignment="1">
      <alignment vertical="center"/>
    </xf>
    <xf numFmtId="0" fontId="4" fillId="0" borderId="0" xfId="5" quotePrefix="1" applyFont="1" applyAlignment="1">
      <alignment horizontal="left"/>
    </xf>
    <xf numFmtId="165" fontId="4" fillId="0" borderId="0" xfId="0" applyNumberFormat="1" applyFont="1"/>
    <xf numFmtId="165" fontId="4" fillId="0" borderId="0" xfId="1" applyNumberFormat="1" applyFont="1"/>
    <xf numFmtId="0" fontId="4" fillId="0" borderId="0" xfId="4" applyFont="1"/>
    <xf numFmtId="0" fontId="8" fillId="0" borderId="0" xfId="4" applyFont="1"/>
    <xf numFmtId="0" fontId="4" fillId="0" borderId="0" xfId="4" applyFont="1" applyAlignment="1">
      <alignment horizontal="justify" vertical="justify"/>
    </xf>
    <xf numFmtId="0" fontId="7" fillId="0" borderId="0" xfId="4" applyFont="1" applyAlignment="1">
      <alignment horizontal="justify" vertical="justify"/>
    </xf>
    <xf numFmtId="164" fontId="4" fillId="0" borderId="0" xfId="1" applyFont="1"/>
    <xf numFmtId="0" fontId="8" fillId="0" borderId="0" xfId="0" applyFont="1" applyAlignment="1">
      <alignment vertical="top"/>
    </xf>
    <xf numFmtId="0" fontId="8" fillId="0" borderId="0" xfId="2" applyFont="1"/>
    <xf numFmtId="0" fontId="4" fillId="0" borderId="0" xfId="2" applyFont="1"/>
    <xf numFmtId="0" fontId="8" fillId="0" borderId="0" xfId="0" applyFont="1"/>
    <xf numFmtId="0" fontId="8" fillId="0" borderId="0" xfId="1" applyNumberFormat="1" applyFont="1" applyFill="1" applyAlignment="1"/>
    <xf numFmtId="0" fontId="6" fillId="0" borderId="0" xfId="0" applyFont="1"/>
    <xf numFmtId="0" fontId="4" fillId="0" borderId="0" xfId="1" applyNumberFormat="1" applyFont="1" applyFill="1" applyAlignment="1"/>
    <xf numFmtId="0" fontId="7" fillId="0" borderId="0" xfId="1" applyNumberFormat="1" applyFont="1" applyFill="1" applyAlignment="1"/>
    <xf numFmtId="3" fontId="4" fillId="0" borderId="0" xfId="0" applyNumberFormat="1" applyFont="1"/>
    <xf numFmtId="164" fontId="4" fillId="0" borderId="0" xfId="1" applyFont="1" applyFill="1" applyAlignment="1"/>
    <xf numFmtId="164" fontId="7" fillId="0" borderId="0" xfId="1" applyFont="1" applyFill="1" applyAlignment="1"/>
    <xf numFmtId="3" fontId="8" fillId="0" borderId="0" xfId="0" applyNumberFormat="1" applyFont="1"/>
    <xf numFmtId="3" fontId="6" fillId="0" borderId="0" xfId="0" applyNumberFormat="1" applyFont="1"/>
    <xf numFmtId="49" fontId="4" fillId="0" borderId="0" xfId="0" applyNumberFormat="1" applyFont="1"/>
  </cellXfs>
  <cellStyles count="6">
    <cellStyle name="Comma" xfId="1" builtinId="3"/>
    <cellStyle name="Normal" xfId="0" builtinId="0"/>
    <cellStyle name="Normal 10 2" xfId="2" xr:uid="{1BA06178-2EAF-45A7-81D0-5FA77716BA1C}"/>
    <cellStyle name="Normal 6" xfId="4" xr:uid="{DFFF5747-2449-47F6-BA3A-CA1AB27BD683}"/>
    <cellStyle name="Normal_Cash Flow template-TBI-05-06" xfId="5" xr:uid="{DFCFF8F3-2591-4B95-8395-0A1F71364901}"/>
    <cellStyle name="Normal_Sheet3" xfId="3" xr:uid="{A7DC30C1-5BFF-4D0F-B681-4D6CE67358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9" Type="http://schemas.openxmlformats.org/officeDocument/2006/relationships/externalLink" Target="externalLinks/externalLink33.xml"/><Relationship Id="rId21" Type="http://schemas.openxmlformats.org/officeDocument/2006/relationships/externalLink" Target="externalLinks/externalLink15.xml"/><Relationship Id="rId34" Type="http://schemas.openxmlformats.org/officeDocument/2006/relationships/externalLink" Target="externalLinks/externalLink28.xml"/><Relationship Id="rId42" Type="http://schemas.openxmlformats.org/officeDocument/2006/relationships/externalLink" Target="externalLinks/externalLink36.xml"/><Relationship Id="rId47" Type="http://schemas.openxmlformats.org/officeDocument/2006/relationships/sharedStrings" Target="sharedStrings.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calcChain" Target="calcChain.xml"/><Relationship Id="rId8"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styles" Target="styles.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LL\Desktop\FACT%20SAFE\Financials\Financials-2023-2024.xlsx" TargetMode="External"/><Relationship Id="rId1" Type="http://schemas.openxmlformats.org/officeDocument/2006/relationships/externalLinkPath" Target="/Users/DELL/Desktop/FACT%20SAFE/Financials/Financials-2023-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bggn82191-1\sharing\My%20Documents\Financials\March%202002\PCIM\PCIM%20BB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My%20Documents\Financials\March%202002\PCIM\PCIM%20BBY.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6.31.177\fincon\Documents%20and%20Settings\abhishekgupta1\Local%20Settings\Temporary%20Internet%20Files\OLK86\IFSL%20-%20ITR\IFSL%20ITR%202008-09%20Rev.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31.177\fincon\Documents%20and%20Settings\Administrator\Local%20Settings\Temporary%20Internet%20Files\OLKA3\DST%20%20Master%20fi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New%20Folder\ddd_detail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incon\fincon\Documents%20and%20Settings\Administrator\Local%20Settings\Temporary%20Internet%20Files\OLK54\IO-June%200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enovo\client\Indiabulls%20Group\2017-18\Qtr%201\IVL%20Finance%20Ltd\RBI%20Study%20Docs\RBI%20Returns\Qtrly\NDSI_500CR_REV23005201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76HDOT38\ISL_Jan_15_Conso.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XUJP06E4\ISL_Jul_1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enovo\client\Ginger%20Science%20Private%20Limited\2016-17\Financials\Ginger%20Financials%202016-17.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LENOVO/Documents/Dhani%20Services%20Ltd%20-%20Group%202020-21/Pushpanjli%20Finsolutions%20Limited/PFSL_Ind_AS_Dec_20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enovo\D%20Drive\2016-17\Balance%20Sheet\March%202017\IVL_Mar_2017%20-%2027%2004%202017%20-%20Notes.02\ICPL_Mar_17.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bggn82191-1\sharing\Documents%20and%20Settings\ckadyan\Desktop\Dec%202007%20(03.1.08)\Dec%202007\IBFSL_Conso_Dec_07_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DSL_Mar_1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LPL_Sep_15.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enovo\data%20file\Balance%20Sheet\Audit%202011-12\ISL_Mar_12-Sch%20VI%20(version%201).xlsb"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72.16.31.177\fincon\ACS\Compensation\2007\ABIRA\2007%20Abira%20FYC%20&amp;%20BONUS%20Calculation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bggn82191-1\sharing\Documents%20and%20Settings\Tbiswal\Desktop\IFSL%20ITR%202008-09%20Rev.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ggn82191-1\sharing\Documents%20and%20Settings\abhishekgupta1\Desktop\Tax%20Audit%20Reports%20(Financial)\ITR-IFCPL-A.Y.%2008-0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lenovo\Priya\Priya_ICPL\Balance%20Sheet\December%2007\ICPL%2031.12.2007_R.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2.168.1.6\d\client\Indiabulls%20Group\2015-16\IHFL%202015-16\ICAPSL\ICAPSL%2031.03.2016%20-%20v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enovo\ISL\12012-2013\BS\ISL_Conso_Dec_12\ISL_Dec_12.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enovo\Master%20Data\Securities%20Group\Indiabulls%20Ventures%20Limited\P.%20IVL_2015-16\Balance%20Sheet\IVL_Mar_16%20-%20Copy.xlsb"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BANK_letter\29_11_07\29_11_07_fund_trfr_Shee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X:\DOCUME~1\DEEPAK~2\LOCALS~1\Temp\Rar$DI00.203\ISL_%20Advance%20Tax%20Calculation%202009-10%20Q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72.16.31.177\fincon\ACS\ACS2007\Fortnight\FebF22007\1ACS%20Vs%20M1%20ftm%20-%20Feb%20F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72.16.31.177\fincon\ACS\Compensation\2006\PEERLESS%20COMP\Peerless%20FYC%20&amp;%20Bonus%20Calculation%20-%20Maste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enovo\D%20Drive\2014-15\Balance%20Sheets\March%202015\Mar%202015.30%20-%20Final%20-%20Rakesh\ISL_Mar_15.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enovo\D%20Drive\2015-16\Balance%20Sheet\Jun\Conso%20Jun.19%20-%20Final\IVL_Jun_15.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bggn82191-1\sharing\My%20Documents\Financials\March%202002\PIH\PIH%20March%202002%2020%20Sept%20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ibggn82191-1\sharing\Documents%20and%20Settings\rgulati\Local%20Settings\Temporary%20Internet%20Files\OLKA\SANF-K4%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TR5_G6_formul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ntegrateitr6\VersionI_CD_Z5_ADVANCED.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enovo\client\Indiabulls%20Group\2016-17\IVL%202016-17\DTL\DTL_Mar_17.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tr6_newu7.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0.142.32.197\data\DOCUME~1\IN_MVE~1.SCB\LOCALS~1\Temp\APcfg95.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enovo\ISL\12013-2014\ISL_Conso_Apr-13\ISL_Apr_13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S"/>
      <sheetName val="PL"/>
      <sheetName val="CFS"/>
      <sheetName val="Note BS-Liab"/>
      <sheetName val="FA"/>
      <sheetName val="Note BS-Asset"/>
      <sheetName val="Note PL"/>
      <sheetName val="31-36"/>
      <sheetName val="37-47"/>
      <sheetName val="FA - IT Act"/>
      <sheetName val="DT"/>
      <sheetName val="Sheet1"/>
    </sheetNames>
    <sheetDataSet>
      <sheetData sheetId="0">
        <row r="65">
          <cell r="B65" t="str">
            <v>For XYZ &amp; CO.</v>
          </cell>
        </row>
        <row r="66">
          <cell r="E66" t="str">
            <v>ABC PRIVATE LIMITED</v>
          </cell>
        </row>
        <row r="67">
          <cell r="B67" t="str">
            <v>Firm's Registration No.: 15XXXXW</v>
          </cell>
        </row>
        <row r="71">
          <cell r="B71" t="str">
            <v>X</v>
          </cell>
          <cell r="E71" t="str">
            <v>V Chauhan</v>
          </cell>
          <cell r="G71" t="str">
            <v>M Chauhan</v>
          </cell>
        </row>
        <row r="73">
          <cell r="B73" t="str">
            <v>Membership No.: 602XXX</v>
          </cell>
          <cell r="E73" t="str">
            <v>DIN:</v>
          </cell>
          <cell r="G73" t="str">
            <v>DIN:</v>
          </cell>
        </row>
        <row r="75">
          <cell r="B75" t="str">
            <v>Place: Navi Mumbai</v>
          </cell>
          <cell r="E75" t="str">
            <v>Place: Navi Mumbai</v>
          </cell>
          <cell r="G75" t="str">
            <v>Place: Navi Mumbai</v>
          </cell>
        </row>
        <row r="76">
          <cell r="B76" t="str">
            <v>Date:</v>
          </cell>
          <cell r="E76" t="str">
            <v>Date:</v>
          </cell>
          <cell r="G76" t="str">
            <v>Date:</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s>
    <sheetDataSet>
      <sheetData sheetId="0"/>
      <sheetData sheetId="1"/>
      <sheetData sheetId="2"/>
      <sheetData sheetId="3"/>
      <sheetData sheetId="4"/>
      <sheetData sheetId="5"/>
      <sheetData sheetId="6" refreshError="1">
        <row r="1">
          <cell r="A1" t="str">
            <v>Notes to the financial statements</v>
          </cell>
        </row>
      </sheetData>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 val="PL"/>
    </sheetNames>
    <sheetDataSet>
      <sheetData sheetId="0" refreshError="1"/>
      <sheetData sheetId="1" refreshError="1"/>
      <sheetData sheetId="2" refreshError="1"/>
      <sheetData sheetId="3" refreshError="1"/>
      <sheetData sheetId="4" refreshError="1"/>
      <sheetData sheetId="5" refreshError="1"/>
      <sheetData sheetId="6" refreshError="1">
        <row r="1">
          <cell r="A1" t="str">
            <v>Notes to the financial statements</v>
          </cell>
        </row>
      </sheetData>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 val="Other notes"/>
      <sheetName val="Sheet2"/>
    </sheetNames>
    <sheetDataSet>
      <sheetData sheetId="0" refreshError="1"/>
      <sheetData sheetId="1" refreshError="1"/>
      <sheetData sheetId="2" refreshError="1">
        <row r="5">
          <cell r="C5" t="str">
            <v>Name</v>
          </cell>
        </row>
        <row r="6">
          <cell r="C6" t="str">
            <v>INDIABULLS FINANCIAL SERVICES LIMITED</v>
          </cell>
        </row>
        <row r="7">
          <cell r="AL7" t="str">
            <v>AAACI8570Q</v>
          </cell>
        </row>
        <row r="10">
          <cell r="C10" t="str">
            <v>F-60, II ND FLOOR</v>
          </cell>
          <cell r="U10" t="str">
            <v>MALHOTRA BUILDING</v>
          </cell>
        </row>
        <row r="11">
          <cell r="AL11" t="str">
            <v>10/01/2000</v>
          </cell>
        </row>
        <row r="14">
          <cell r="U14" t="str">
            <v>CONNAUGHT PLACE</v>
          </cell>
        </row>
        <row r="15">
          <cell r="AL15" t="str">
            <v>6-Public Company</v>
          </cell>
          <cell r="AQ15" t="str">
            <v>Yes</v>
          </cell>
        </row>
        <row r="18">
          <cell r="C18" t="str">
            <v>NEW DELHI0</v>
          </cell>
          <cell r="U18" t="str">
            <v>09-DELHI</v>
          </cell>
        </row>
        <row r="19">
          <cell r="AD19" t="str">
            <v>110001</v>
          </cell>
          <cell r="AK19" t="str">
            <v>11-Notice u/s 139(1)</v>
          </cell>
        </row>
        <row r="22">
          <cell r="C22" t="str">
            <v>ASHARMA@INDIABULLS.COM</v>
          </cell>
          <cell r="Y22" t="str">
            <v>124</v>
          </cell>
          <cell r="AD22" t="str">
            <v>3081006</v>
          </cell>
          <cell r="AK22" t="str">
            <v>21-Voluntarily before the due date</v>
          </cell>
        </row>
        <row r="24">
          <cell r="C24" t="str">
            <v>DC/AC.C.11(1)</v>
          </cell>
          <cell r="AD24" t="str">
            <v>DEL</v>
          </cell>
          <cell r="AI24" t="str">
            <v>C</v>
          </cell>
          <cell r="AM24" t="str">
            <v>041</v>
          </cell>
          <cell r="AR24" t="str">
            <v>01</v>
          </cell>
        </row>
        <row r="26">
          <cell r="V26" t="str">
            <v>R-Revised</v>
          </cell>
        </row>
        <row r="28">
          <cell r="U28" t="str">
            <v>44747670300908</v>
          </cell>
          <cell r="AM28" t="str">
            <v>30/09/2008</v>
          </cell>
        </row>
        <row r="30">
          <cell r="U30" t="str">
            <v>RES - Resident</v>
          </cell>
          <cell r="AR30" t="str">
            <v>No</v>
          </cell>
        </row>
        <row r="31">
          <cell r="AN31" t="str">
            <v>No</v>
          </cell>
        </row>
        <row r="36">
          <cell r="AE36" t="str">
            <v>No</v>
          </cell>
        </row>
        <row r="37">
          <cell r="AO37" t="str">
            <v>Yes</v>
          </cell>
        </row>
        <row r="38">
          <cell r="Y38" t="str">
            <v>AJAY SARDANA</v>
          </cell>
        </row>
        <row r="39">
          <cell r="R39" t="str">
            <v>089011</v>
          </cell>
        </row>
        <row r="40">
          <cell r="W40" t="str">
            <v>AJAY SARDANA ASSOCIATES</v>
          </cell>
        </row>
        <row r="41">
          <cell r="AF41" t="str">
            <v>AALFA2680H</v>
          </cell>
        </row>
        <row r="42">
          <cell r="N42" t="str">
            <v>25/09/2008</v>
          </cell>
        </row>
        <row r="54">
          <cell r="B54" t="str">
            <v>01-ANDAMAN AND NICOBAR ISLANDS</v>
          </cell>
          <cell r="U54" t="str">
            <v>6-Public Company</v>
          </cell>
          <cell r="AJ54" t="str">
            <v>11-Notice u/s 139(1)</v>
          </cell>
          <cell r="BJ54" t="str">
            <v>NA-Not Applicable</v>
          </cell>
          <cell r="DA54" t="str">
            <v>Yes</v>
          </cell>
          <cell r="DH54" t="str">
            <v>Yes</v>
          </cell>
          <cell r="DP54" t="str">
            <v>Yes</v>
          </cell>
          <cell r="DS54" t="str">
            <v>Yes</v>
          </cell>
          <cell r="EB54" t="str">
            <v>O-Original</v>
          </cell>
          <cell r="EM54" t="str">
            <v>RES-Resident</v>
          </cell>
        </row>
        <row r="55">
          <cell r="B55" t="str">
            <v>02-ANDHRA PRADESH</v>
          </cell>
          <cell r="U55" t="str">
            <v>7-Private Company</v>
          </cell>
          <cell r="AJ55" t="str">
            <v>12-Notice u/s 139(4)</v>
          </cell>
          <cell r="BJ55" t="str">
            <v>21-Voluntarily before the due date</v>
          </cell>
          <cell r="DA55" t="str">
            <v>No</v>
          </cell>
          <cell r="DH55" t="str">
            <v>No</v>
          </cell>
          <cell r="DP55" t="str">
            <v>No</v>
          </cell>
          <cell r="DS55" t="str">
            <v>No</v>
          </cell>
          <cell r="EB55" t="str">
            <v>R-Revised</v>
          </cell>
          <cell r="EM55" t="str">
            <v>NOR-Not normally resident</v>
          </cell>
        </row>
        <row r="56">
          <cell r="B56" t="str">
            <v>03-ARUNACHAL PRADESH</v>
          </cell>
          <cell r="AJ56" t="str">
            <v>13-Notice u/s 142(1)</v>
          </cell>
          <cell r="BJ56" t="str">
            <v>22-Voluntarily after the due date</v>
          </cell>
          <cell r="EM56" t="str">
            <v>NRI-Non Resident</v>
          </cell>
        </row>
        <row r="57">
          <cell r="B57" t="str">
            <v>04-ASSAM</v>
          </cell>
          <cell r="AJ57" t="str">
            <v>14-Notice u/s 148</v>
          </cell>
          <cell r="BJ57" t="str">
            <v>23-In response to notice under section 115WD(2)</v>
          </cell>
        </row>
        <row r="58">
          <cell r="B58" t="str">
            <v>05-BIHAR</v>
          </cell>
          <cell r="AJ58" t="str">
            <v>15-Notice u/s 153A</v>
          </cell>
          <cell r="BJ58" t="str">
            <v>24-In response to notice under section 115WG</v>
          </cell>
        </row>
        <row r="59">
          <cell r="B59" t="str">
            <v>06-CHANDIGARH</v>
          </cell>
        </row>
        <row r="60">
          <cell r="B60" t="str">
            <v>07-DADRA AND NAGAR HAVELI</v>
          </cell>
          <cell r="AJ60" t="str">
            <v>R2</v>
          </cell>
        </row>
        <row r="61">
          <cell r="B61" t="str">
            <v>08-DAMAN AND DIU</v>
          </cell>
        </row>
        <row r="62">
          <cell r="B62" t="str">
            <v>09-DELHI</v>
          </cell>
        </row>
        <row r="63">
          <cell r="B63" t="str">
            <v>10-GOA</v>
          </cell>
        </row>
        <row r="64">
          <cell r="B64" t="str">
            <v>11-GUJARAT</v>
          </cell>
        </row>
        <row r="65">
          <cell r="B65" t="str">
            <v>12-HARYANA</v>
          </cell>
        </row>
        <row r="66">
          <cell r="B66" t="str">
            <v>13-HIMACHAL PRADESH</v>
          </cell>
        </row>
        <row r="67">
          <cell r="B67" t="str">
            <v>14-JAMMU AND KASHMIR</v>
          </cell>
        </row>
        <row r="68">
          <cell r="B68" t="str">
            <v>15-KARNATAKA</v>
          </cell>
        </row>
        <row r="69">
          <cell r="B69" t="str">
            <v>16-KERALA</v>
          </cell>
        </row>
        <row r="70">
          <cell r="B70" t="str">
            <v>17-LAKHSWADEEP</v>
          </cell>
        </row>
        <row r="71">
          <cell r="B71" t="str">
            <v>18-MADHYA PRADESH</v>
          </cell>
        </row>
        <row r="72">
          <cell r="B72" t="str">
            <v>19-MAHARASHTRA</v>
          </cell>
        </row>
        <row r="73">
          <cell r="B73" t="str">
            <v>20-MANIPUR</v>
          </cell>
        </row>
        <row r="74">
          <cell r="B74" t="str">
            <v>21-MEGHALAYA</v>
          </cell>
        </row>
        <row r="75">
          <cell r="B75" t="str">
            <v>22-MIZORAM</v>
          </cell>
        </row>
        <row r="76">
          <cell r="B76" t="str">
            <v>23-NAGALAND</v>
          </cell>
        </row>
        <row r="77">
          <cell r="B77" t="str">
            <v>24-ORISSA</v>
          </cell>
        </row>
        <row r="78">
          <cell r="B78" t="str">
            <v>25-PONDICHERRY</v>
          </cell>
        </row>
        <row r="79">
          <cell r="B79" t="str">
            <v>26-PUNJAB</v>
          </cell>
        </row>
        <row r="80">
          <cell r="B80" t="str">
            <v>27-RAJASTHAN</v>
          </cell>
        </row>
        <row r="81">
          <cell r="B81" t="str">
            <v>28-SIKKIM</v>
          </cell>
        </row>
        <row r="82">
          <cell r="B82" t="str">
            <v>29-TAMILNADU</v>
          </cell>
        </row>
        <row r="83">
          <cell r="B83" t="str">
            <v>30-TRIPURA</v>
          </cell>
        </row>
        <row r="84">
          <cell r="B84" t="str">
            <v>31-UTTAR PRADESH</v>
          </cell>
        </row>
        <row r="85">
          <cell r="B85" t="str">
            <v>32-WEST BENGAL</v>
          </cell>
        </row>
        <row r="86">
          <cell r="B86" t="str">
            <v>33-CHHATISHGARH</v>
          </cell>
        </row>
        <row r="87">
          <cell r="B87" t="str">
            <v>34-UTTARANCHAL</v>
          </cell>
        </row>
        <row r="88">
          <cell r="B88" t="str">
            <v>35-JHARKHAND</v>
          </cell>
        </row>
        <row r="89">
          <cell r="B89" t="str">
            <v>99-FOREIGN</v>
          </cell>
        </row>
      </sheetData>
      <sheetData sheetId="3" refreshError="1">
        <row r="1">
          <cell r="B1" t="str">
            <v>HOLDING STATUS - Nature of Company</v>
          </cell>
          <cell r="E1" t="str">
            <v>1 - Holding company</v>
          </cell>
        </row>
        <row r="6">
          <cell r="G6" t="str">
            <v/>
          </cell>
        </row>
        <row r="8">
          <cell r="B8" t="str">
            <v>BUSINESS ORGANISATION</v>
          </cell>
        </row>
        <row r="17">
          <cell r="B17" t="str">
            <v>Particulars of Managing Director, Directors, Secretary and Principal officer(s) who have held the office during the previous year</v>
          </cell>
        </row>
        <row r="21">
          <cell r="C21" t="str">
            <v>MR. SAMEER GEHLAUT</v>
          </cell>
          <cell r="D21" t="str">
            <v>DIRECTOR</v>
          </cell>
          <cell r="E21" t="str">
            <v>296, FOREST LANE, SANIK FARMS</v>
          </cell>
          <cell r="F21" t="str">
            <v>NEW DELHI</v>
          </cell>
          <cell r="G21" t="str">
            <v>09-DELHI</v>
          </cell>
          <cell r="H21" t="str">
            <v>110068</v>
          </cell>
          <cell r="I21" t="str">
            <v>AFMPG9469E</v>
          </cell>
        </row>
        <row r="22">
          <cell r="C22" t="str">
            <v>MR. RAJIV RATTAN</v>
          </cell>
          <cell r="D22" t="str">
            <v>DIRECTOR</v>
          </cell>
          <cell r="E22" t="str">
            <v>B-4/157, SAFDARJUNG ENCLAVE</v>
          </cell>
          <cell r="F22" t="str">
            <v>NEW DELHI</v>
          </cell>
          <cell r="G22" t="str">
            <v>09-DELHI</v>
          </cell>
          <cell r="H22" t="str">
            <v>110029</v>
          </cell>
          <cell r="I22" t="str">
            <v>AESPR3957D</v>
          </cell>
        </row>
        <row r="23">
          <cell r="C23" t="str">
            <v>MR. SAURABH K MITTAL</v>
          </cell>
          <cell r="D23" t="str">
            <v>DIRECTOR</v>
          </cell>
          <cell r="E23" t="str">
            <v>3, LUCKNOW ROAD</v>
          </cell>
          <cell r="F23" t="str">
            <v>NEW DELHI</v>
          </cell>
          <cell r="G23" t="str">
            <v>09-DELHI</v>
          </cell>
          <cell r="H23" t="str">
            <v>110007</v>
          </cell>
          <cell r="I23" t="str">
            <v>ANAPM2488D</v>
          </cell>
        </row>
        <row r="24">
          <cell r="C24" t="str">
            <v>MR. GAGAN BANGA</v>
          </cell>
          <cell r="D24" t="str">
            <v>DIRECTOR</v>
          </cell>
          <cell r="E24" t="str">
            <v>243, MAKER TOWER,B WING,12TH FLOOR, CUFFE PARADE</v>
          </cell>
          <cell r="F24" t="str">
            <v>MUMBAI</v>
          </cell>
          <cell r="G24" t="str">
            <v>19-MAHARASHTRA</v>
          </cell>
          <cell r="H24" t="str">
            <v>400005</v>
          </cell>
          <cell r="I24" t="str">
            <v>AGUPB4458P</v>
          </cell>
        </row>
        <row r="25">
          <cell r="C25" t="str">
            <v>MR. AISHWARYA KATOCH</v>
          </cell>
          <cell r="D25" t="str">
            <v>DIRECTOR</v>
          </cell>
          <cell r="E25" t="str">
            <v>S-43, GREATER KAILASH - I</v>
          </cell>
          <cell r="F25" t="str">
            <v>NEW DELHI</v>
          </cell>
          <cell r="G25" t="str">
            <v>09-DELHI</v>
          </cell>
          <cell r="H25" t="str">
            <v>110048</v>
          </cell>
          <cell r="I25" t="str">
            <v>ADAPK4434D</v>
          </cell>
        </row>
        <row r="26">
          <cell r="C26" t="str">
            <v>MR. SHAMSHER SINGH AHLAWAT</v>
          </cell>
          <cell r="D26" t="str">
            <v>DIRECTOR</v>
          </cell>
          <cell r="E26" t="str">
            <v>96, EAST AVENUE, SAINIK FARMS</v>
          </cell>
          <cell r="F26" t="str">
            <v>NEW DELHI</v>
          </cell>
          <cell r="G26" t="str">
            <v>09-DELHI</v>
          </cell>
          <cell r="H26" t="str">
            <v>110068</v>
          </cell>
          <cell r="I26" t="str">
            <v>AAEPA5664N</v>
          </cell>
        </row>
        <row r="27">
          <cell r="C27" t="str">
            <v>MR. KARAN SINGH KHERA</v>
          </cell>
          <cell r="D27" t="str">
            <v>DIRECTOR</v>
          </cell>
          <cell r="E27" t="str">
            <v>1408, URBAN ESTATE,JIND</v>
          </cell>
          <cell r="F27" t="str">
            <v>HARYANA</v>
          </cell>
          <cell r="G27" t="str">
            <v>12-HARYANA</v>
          </cell>
          <cell r="H27" t="str">
            <v>126102</v>
          </cell>
          <cell r="I27" t="str">
            <v>ACUPK2772M</v>
          </cell>
        </row>
        <row r="28">
          <cell r="C28" t="str">
            <v>MR. PREM PRAKASH MIRDHA</v>
          </cell>
          <cell r="D28" t="str">
            <v>DIRECTOR</v>
          </cell>
          <cell r="E28" t="str">
            <v>MIRDHA FARM, SIRSI ROAD</v>
          </cell>
          <cell r="F28" t="str">
            <v>JAIPUR</v>
          </cell>
          <cell r="G28" t="str">
            <v>27-RAJASTHAN</v>
          </cell>
          <cell r="H28" t="str">
            <v>302012</v>
          </cell>
          <cell r="I28" t="str">
            <v>AHJPM9368F</v>
          </cell>
        </row>
        <row r="31">
          <cell r="B31" t="str">
            <v>Particulars of persons who were beneficial owners of shares holding not less than 10% of the voting power at any time of the previous year</v>
          </cell>
        </row>
        <row r="35">
          <cell r="C35" t="str">
            <v>SAMEER GEHLAUT</v>
          </cell>
          <cell r="D35" t="str">
            <v>296, FOREST LANE, SANIK FARMS</v>
          </cell>
          <cell r="E35" t="str">
            <v>NEW DELHI</v>
          </cell>
          <cell r="F35" t="str">
            <v>09-DELHI</v>
          </cell>
          <cell r="G35" t="str">
            <v>110068</v>
          </cell>
          <cell r="H35">
            <v>14.84</v>
          </cell>
          <cell r="I35" t="str">
            <v>AFMPG9469E</v>
          </cell>
        </row>
        <row r="42">
          <cell r="G42" t="str">
            <v>N</v>
          </cell>
        </row>
        <row r="43">
          <cell r="G43" t="str">
            <v>N</v>
          </cell>
        </row>
        <row r="44">
          <cell r="G44" t="str">
            <v>N</v>
          </cell>
        </row>
        <row r="45">
          <cell r="G45" t="str">
            <v>N</v>
          </cell>
        </row>
        <row r="46">
          <cell r="G46" t="str">
            <v>N</v>
          </cell>
        </row>
        <row r="47">
          <cell r="G47" t="str">
            <v>N</v>
          </cell>
        </row>
        <row r="48">
          <cell r="G48" t="str">
            <v>Y</v>
          </cell>
        </row>
        <row r="51">
          <cell r="C51" t="str">
            <v>1 - Holding company</v>
          </cell>
          <cell r="D51" t="str">
            <v>AMALGAMATING</v>
          </cell>
          <cell r="E51" t="str">
            <v>01-ANDAMAN AND NICOBAR ISLANDS</v>
          </cell>
          <cell r="G51" t="str">
            <v>Y</v>
          </cell>
        </row>
        <row r="52">
          <cell r="C52" t="str">
            <v>2 - Subsidiary company</v>
          </cell>
          <cell r="D52" t="str">
            <v>AMALGAMATED</v>
          </cell>
          <cell r="E52" t="str">
            <v>02-ANDHRA PRADESH</v>
          </cell>
          <cell r="G52" t="str">
            <v>N</v>
          </cell>
        </row>
        <row r="53">
          <cell r="C53" t="str">
            <v>3 - Both</v>
          </cell>
          <cell r="D53" t="str">
            <v>DEMERGED</v>
          </cell>
          <cell r="E53" t="str">
            <v>03-ARUNACHAL PRADESH</v>
          </cell>
        </row>
        <row r="54">
          <cell r="C54" t="str">
            <v>4 - Neither</v>
          </cell>
          <cell r="D54" t="str">
            <v>RESULTING</v>
          </cell>
          <cell r="E54" t="str">
            <v>04-ASSAM</v>
          </cell>
        </row>
        <row r="55">
          <cell r="E55" t="str">
            <v>05-BIHAR</v>
          </cell>
        </row>
        <row r="56">
          <cell r="E56" t="str">
            <v>06-CHANDIGARH</v>
          </cell>
        </row>
        <row r="57">
          <cell r="E57" t="str">
            <v>07-DADRA AND NAGAR HAVELI</v>
          </cell>
        </row>
        <row r="58">
          <cell r="E58" t="str">
            <v>08-DAMAN AND DIU</v>
          </cell>
        </row>
        <row r="59">
          <cell r="E59" t="str">
            <v>09-DELHI</v>
          </cell>
        </row>
        <row r="60">
          <cell r="E60" t="str">
            <v>10-GOA</v>
          </cell>
        </row>
        <row r="61">
          <cell r="E61" t="str">
            <v>11-GUJARAT</v>
          </cell>
        </row>
        <row r="62">
          <cell r="E62" t="str">
            <v>12-HARYANA</v>
          </cell>
        </row>
        <row r="63">
          <cell r="E63" t="str">
            <v>13-HIMACHAL PRADESH</v>
          </cell>
        </row>
        <row r="64">
          <cell r="E64" t="str">
            <v>14-JAMMU AND KASHMIR</v>
          </cell>
        </row>
        <row r="65">
          <cell r="E65" t="str">
            <v>15-KARNATAKA</v>
          </cell>
        </row>
        <row r="66">
          <cell r="E66" t="str">
            <v>16-KERALA</v>
          </cell>
        </row>
        <row r="67">
          <cell r="E67" t="str">
            <v>17-LAKHSWADEEP</v>
          </cell>
        </row>
        <row r="68">
          <cell r="E68" t="str">
            <v>18-MADHYA PRADESH</v>
          </cell>
        </row>
        <row r="69">
          <cell r="E69" t="str">
            <v>19-MAHARASHTRA</v>
          </cell>
        </row>
        <row r="70">
          <cell r="E70" t="str">
            <v>20-MANIPUR</v>
          </cell>
        </row>
        <row r="71">
          <cell r="E71" t="str">
            <v>21-MEGHALAYA</v>
          </cell>
        </row>
        <row r="72">
          <cell r="E72" t="str">
            <v>22-MIZORAM</v>
          </cell>
        </row>
        <row r="73">
          <cell r="E73" t="str">
            <v>23-NAGALAND</v>
          </cell>
        </row>
        <row r="74">
          <cell r="E74" t="str">
            <v>24-ORISSA</v>
          </cell>
        </row>
        <row r="75">
          <cell r="E75" t="str">
            <v>25-PONDICHERRY</v>
          </cell>
        </row>
        <row r="76">
          <cell r="E76" t="str">
            <v>26-PUNJAB</v>
          </cell>
        </row>
        <row r="77">
          <cell r="E77" t="str">
            <v>27-RAJASTHAN</v>
          </cell>
        </row>
        <row r="78">
          <cell r="E78" t="str">
            <v>28-SIKKIM</v>
          </cell>
        </row>
        <row r="79">
          <cell r="E79" t="str">
            <v>29-TAMILNADU</v>
          </cell>
        </row>
        <row r="80">
          <cell r="E80" t="str">
            <v>30-TRIPURA</v>
          </cell>
        </row>
        <row r="81">
          <cell r="E81" t="str">
            <v>31-UTTAR PRADESH</v>
          </cell>
        </row>
        <row r="82">
          <cell r="E82" t="str">
            <v>32-WEST BENGAL</v>
          </cell>
        </row>
        <row r="83">
          <cell r="E83" t="str">
            <v>33-CHHATISHGARH</v>
          </cell>
        </row>
        <row r="84">
          <cell r="E84" t="str">
            <v>34-UTTARANCHAL</v>
          </cell>
        </row>
        <row r="85">
          <cell r="E85" t="str">
            <v>35-JHARKHAND</v>
          </cell>
        </row>
        <row r="86">
          <cell r="E86" t="str">
            <v>99-FOREIGN</v>
          </cell>
        </row>
      </sheetData>
      <sheetData sheetId="4" refreshError="1">
        <row r="1">
          <cell r="A1" t="str">
            <v>To be filled only if Nature of Company is Holding or both</v>
          </cell>
        </row>
        <row r="2">
          <cell r="C2" t="str">
            <v>INDIABULLS ASSET HOLDING COMPANY LTD</v>
          </cell>
          <cell r="D2" t="str">
            <v>E-29,1ST FLOOR,CONNAUGHT PLACE</v>
          </cell>
          <cell r="E2" t="str">
            <v>NEW DELHI</v>
          </cell>
          <cell r="F2" t="str">
            <v>09-DELHI</v>
          </cell>
          <cell r="G2" t="str">
            <v>110001</v>
          </cell>
        </row>
        <row r="3">
          <cell r="C3" t="str">
            <v>INDIABULLS LIFE INSURANCE COMPANY LTD</v>
          </cell>
          <cell r="D3" t="str">
            <v>E-29,1ST FLOOR,CONNAUGHT PLACE</v>
          </cell>
          <cell r="E3" t="str">
            <v>NEW DELHI</v>
          </cell>
          <cell r="F3" t="str">
            <v>09-DELHI</v>
          </cell>
          <cell r="G3" t="str">
            <v>110001</v>
          </cell>
        </row>
        <row r="4">
          <cell r="C4" t="str">
            <v>INDIABULLS COLLECTION AGENCY LTD</v>
          </cell>
          <cell r="D4" t="str">
            <v>F-60 MALHOTRA BUILDING, IIND FLOOR, CONNAUGHT PLACE</v>
          </cell>
          <cell r="E4" t="str">
            <v>NEW DELHI</v>
          </cell>
          <cell r="F4" t="str">
            <v>09-DELHI</v>
          </cell>
          <cell r="G4" t="str">
            <v>110001</v>
          </cell>
        </row>
        <row r="5">
          <cell r="B5" t="str">
            <v>AABCI2080E</v>
          </cell>
          <cell r="C5" t="str">
            <v>INDIABULLS INSURANCE ADVISORS PRIVATE LIMITED</v>
          </cell>
          <cell r="D5" t="str">
            <v>F-60 MALHOTRA BUILDING, IIND FLOOR, CONNAUGHT PLACE</v>
          </cell>
          <cell r="E5" t="str">
            <v>NEW DELHI</v>
          </cell>
          <cell r="F5" t="str">
            <v>09-DELHI</v>
          </cell>
          <cell r="G5" t="str">
            <v>110001</v>
          </cell>
        </row>
        <row r="6">
          <cell r="B6" t="str">
            <v>AABCI3455R</v>
          </cell>
          <cell r="C6" t="str">
            <v>INDIABULLS FINANCE COMPANY PRIVATE LIMITED</v>
          </cell>
          <cell r="D6" t="str">
            <v>F-60 MALHOTRA BUILDING, IIND FLOOR, CONNAUGHT PLACE</v>
          </cell>
          <cell r="E6" t="str">
            <v>NEW DELHI</v>
          </cell>
          <cell r="F6" t="str">
            <v>09-DELHI</v>
          </cell>
          <cell r="G6" t="str">
            <v>110001</v>
          </cell>
        </row>
        <row r="7">
          <cell r="B7" t="str">
            <v>AABCI3612A</v>
          </cell>
          <cell r="C7" t="str">
            <v>INDIABULLS HOUSING FINANCE LIMITED</v>
          </cell>
          <cell r="D7" t="str">
            <v>F-60 MALHOTRA BUILDING, IIND FLOOR, CONNAUGHT PLACE</v>
          </cell>
          <cell r="E7" t="str">
            <v>NEW DELHI</v>
          </cell>
          <cell r="F7" t="str">
            <v>09-DELHI</v>
          </cell>
          <cell r="G7" t="str">
            <v>110001</v>
          </cell>
        </row>
        <row r="8">
          <cell r="B8" t="str">
            <v>AABCI3613B</v>
          </cell>
          <cell r="C8" t="str">
            <v>INDIABULLS CAPITAL SERVICES LIMITED</v>
          </cell>
          <cell r="D8" t="str">
            <v>F-60 MALHOTRA BUILDING, IIND FLOOR, CONNAUGHT PLACE</v>
          </cell>
          <cell r="E8" t="str">
            <v>NEW DELHI</v>
          </cell>
          <cell r="F8" t="str">
            <v>09-DELHI</v>
          </cell>
          <cell r="G8" t="str">
            <v>110001</v>
          </cell>
        </row>
        <row r="9">
          <cell r="B9" t="str">
            <v>AABCI5559G</v>
          </cell>
          <cell r="C9" t="str">
            <v>INDIABULLS COMMERCIAL CREDIT LIMITED</v>
          </cell>
          <cell r="D9" t="str">
            <v>F-60 MALHOTRA BUILDING, IIND FLOOR, CONNAUGHT PLACE</v>
          </cell>
          <cell r="E9" t="str">
            <v>NEW DELHI</v>
          </cell>
          <cell r="F9" t="str">
            <v>09-DELHI</v>
          </cell>
          <cell r="G9" t="str">
            <v>110001</v>
          </cell>
        </row>
        <row r="10">
          <cell r="B10" t="str">
            <v>AACCD4953E</v>
          </cell>
          <cell r="C10" t="str">
            <v>DIVYA SHAKTI TRADING SERVICES LIMITED</v>
          </cell>
          <cell r="D10" t="str">
            <v>F-60 MALHOTRA BUILDING, IIND FLOOR, CONNAUGHT PLACE</v>
          </cell>
          <cell r="E10" t="str">
            <v>NEW DELHI</v>
          </cell>
          <cell r="F10" t="str">
            <v>09-DELHI</v>
          </cell>
          <cell r="G10" t="str">
            <v>110001</v>
          </cell>
        </row>
        <row r="11">
          <cell r="C11" t="str">
            <v>FAST LOAN SERVICES LTD</v>
          </cell>
          <cell r="D11" t="str">
            <v>F-60 MALHOTRA BUILDING, IIND FLOOR, CONNAUGHT PLACE</v>
          </cell>
          <cell r="E11" t="str">
            <v>NEW DELHI</v>
          </cell>
          <cell r="F11" t="str">
            <v>09-DELHI</v>
          </cell>
          <cell r="G11" t="str">
            <v>110001</v>
          </cell>
        </row>
        <row r="15">
          <cell r="C15" t="str">
            <v>01-ANDAMAN AND NICOBAR ISLANDS</v>
          </cell>
        </row>
        <row r="16">
          <cell r="C16" t="str">
            <v>02-ANDHRA PRADESH</v>
          </cell>
        </row>
        <row r="17">
          <cell r="C17" t="str">
            <v>03-ARUNACHAL PRADESH</v>
          </cell>
        </row>
        <row r="18">
          <cell r="C18" t="str">
            <v>04-ASSAM</v>
          </cell>
        </row>
        <row r="19">
          <cell r="C19" t="str">
            <v>05-BIHAR</v>
          </cell>
        </row>
        <row r="20">
          <cell r="C20" t="str">
            <v>06-CHANDIGARH</v>
          </cell>
        </row>
        <row r="21">
          <cell r="C21" t="str">
            <v>07-DADRA AND NAGAR HAVELI</v>
          </cell>
        </row>
        <row r="22">
          <cell r="C22" t="str">
            <v>08-DAMAN AND DIU</v>
          </cell>
        </row>
        <row r="23">
          <cell r="C23" t="str">
            <v>09-DELHI</v>
          </cell>
        </row>
        <row r="24">
          <cell r="C24" t="str">
            <v>10-GOA</v>
          </cell>
        </row>
        <row r="25">
          <cell r="C25" t="str">
            <v>11-GUJARAT</v>
          </cell>
        </row>
        <row r="26">
          <cell r="C26" t="str">
            <v>12-HARYANA</v>
          </cell>
        </row>
        <row r="27">
          <cell r="C27" t="str">
            <v>13-HIMACHAL PRADESH</v>
          </cell>
        </row>
        <row r="28">
          <cell r="C28" t="str">
            <v>14-JAMMU AND KASHMIR</v>
          </cell>
        </row>
        <row r="29">
          <cell r="C29" t="str">
            <v>15-KARNATAKA</v>
          </cell>
        </row>
        <row r="30">
          <cell r="C30" t="str">
            <v>16-KERALA</v>
          </cell>
        </row>
        <row r="31">
          <cell r="C31" t="str">
            <v>17-LAKHSWADEEP</v>
          </cell>
        </row>
        <row r="32">
          <cell r="C32" t="str">
            <v>18-MADHYA PRADESH</v>
          </cell>
        </row>
        <row r="33">
          <cell r="C33" t="str">
            <v>19-MAHARASHTRA</v>
          </cell>
        </row>
        <row r="34">
          <cell r="C34" t="str">
            <v>20-MANIPUR</v>
          </cell>
        </row>
        <row r="35">
          <cell r="C35" t="str">
            <v>21-MEGHALAYA</v>
          </cell>
        </row>
        <row r="36">
          <cell r="C36" t="str">
            <v>22-MIZORAM</v>
          </cell>
        </row>
        <row r="37">
          <cell r="C37" t="str">
            <v>23-NAGALAND</v>
          </cell>
        </row>
        <row r="38">
          <cell r="C38" t="str">
            <v>24-ORISSA</v>
          </cell>
        </row>
        <row r="39">
          <cell r="C39" t="str">
            <v>25-PONDICHERRY</v>
          </cell>
        </row>
        <row r="40">
          <cell r="C40" t="str">
            <v>26-PUNJAB</v>
          </cell>
        </row>
        <row r="41">
          <cell r="C41" t="str">
            <v>27-RAJASTHAN</v>
          </cell>
        </row>
        <row r="42">
          <cell r="C42" t="str">
            <v>28-SIKKIM</v>
          </cell>
        </row>
        <row r="43">
          <cell r="C43" t="str">
            <v>29-TAMILNADU</v>
          </cell>
        </row>
        <row r="44">
          <cell r="C44" t="str">
            <v>30-TRIPURA</v>
          </cell>
        </row>
        <row r="45">
          <cell r="C45" t="str">
            <v>31-UTTAR PRADESH</v>
          </cell>
        </row>
        <row r="46">
          <cell r="C46" t="str">
            <v>32-WEST BENGAL</v>
          </cell>
        </row>
        <row r="47">
          <cell r="C47" t="str">
            <v>33-CHHATISHGARH</v>
          </cell>
        </row>
        <row r="48">
          <cell r="C48" t="str">
            <v>34-UTTARANCHAL</v>
          </cell>
        </row>
        <row r="49">
          <cell r="C49" t="str">
            <v>35-JHARKHAND</v>
          </cell>
        </row>
        <row r="50">
          <cell r="C50" t="str">
            <v>99-FOREIGN</v>
          </cell>
        </row>
      </sheetData>
      <sheetData sheetId="5" refreshError="1">
        <row r="1">
          <cell r="I1" t="str">
            <v>N</v>
          </cell>
        </row>
        <row r="6">
          <cell r="C6" t="str">
            <v>SD</v>
          </cell>
          <cell r="D6" t="str">
            <v>D</v>
          </cell>
          <cell r="E6" t="str">
            <v>SD</v>
          </cell>
          <cell r="F6" t="str">
            <v>01-ANDAMAN AND NICOBAR ISLANDS</v>
          </cell>
          <cell r="G6" t="str">
            <v>123456</v>
          </cell>
          <cell r="H6">
            <v>23</v>
          </cell>
          <cell r="I6" t="str">
            <v>ABCDE1234A</v>
          </cell>
        </row>
        <row r="7">
          <cell r="C7" t="str">
            <v>EE</v>
          </cell>
          <cell r="D7" t="str">
            <v>SD</v>
          </cell>
          <cell r="E7" t="str">
            <v>SD</v>
          </cell>
          <cell r="F7" t="str">
            <v>02-ANDHRA PRADESH</v>
          </cell>
          <cell r="G7" t="str">
            <v>123456</v>
          </cell>
          <cell r="H7">
            <v>12</v>
          </cell>
          <cell r="I7" t="str">
            <v>ABCDE1234A</v>
          </cell>
        </row>
        <row r="17">
          <cell r="A17" t="str">
            <v>NATURE OF BUSINESS</v>
          </cell>
          <cell r="B17" t="str">
            <v xml:space="preserve">Nature of business or profession, if more than one tradenames please specify upto 3 tradenames. At least one entry required </v>
          </cell>
        </row>
        <row r="18">
          <cell r="B18" t="str">
            <v>S.No.</v>
          </cell>
          <cell r="C18" t="str">
            <v>Code[Please see instruction No.9(ii)]</v>
          </cell>
          <cell r="D18" t="str">
            <v>Tradename</v>
          </cell>
        </row>
        <row r="19">
          <cell r="B19" t="str">
            <v>(i)</v>
          </cell>
          <cell r="C19" t="str">
            <v>0807-Non-Banking Finance Companies</v>
          </cell>
          <cell r="D19" t="str">
            <v>INDIABULLS</v>
          </cell>
        </row>
        <row r="20">
          <cell r="B20" t="str">
            <v>(ii)</v>
          </cell>
        </row>
        <row r="21">
          <cell r="B21" t="str">
            <v>(iii)</v>
          </cell>
        </row>
        <row r="31">
          <cell r="C31" t="str">
            <v>0101-Agro-based industries</v>
          </cell>
          <cell r="E31" t="str">
            <v>Y</v>
          </cell>
          <cell r="I31" t="str">
            <v>01-ANDAMAN AND NICOBAR ISLANDS</v>
          </cell>
        </row>
        <row r="32">
          <cell r="C32" t="str">
            <v>0102-Automobile and Auto parts</v>
          </cell>
          <cell r="E32" t="str">
            <v>N</v>
          </cell>
          <cell r="I32" t="str">
            <v>02-ANDHRA PRADESH</v>
          </cell>
        </row>
        <row r="33">
          <cell r="C33" t="str">
            <v>0103-Cement</v>
          </cell>
          <cell r="I33" t="str">
            <v>03-ARUNACHAL PRADESH</v>
          </cell>
        </row>
        <row r="34">
          <cell r="C34" t="str">
            <v>0104-Diamond cutting</v>
          </cell>
          <cell r="I34" t="str">
            <v>04-ASSAM</v>
          </cell>
        </row>
        <row r="35">
          <cell r="C35" t="str">
            <v>0105-Drugs and Pharmaceuticals</v>
          </cell>
          <cell r="I35" t="str">
            <v>05-BIHAR</v>
          </cell>
        </row>
        <row r="36">
          <cell r="C36" t="str">
            <v>0106-Electronics including Computer Hardware</v>
          </cell>
          <cell r="I36" t="str">
            <v>06-CHANDIGARH</v>
          </cell>
        </row>
        <row r="37">
          <cell r="C37" t="str">
            <v>0107-Engineering goods</v>
          </cell>
          <cell r="I37" t="str">
            <v>07-DADRA AND NAGAR HAVELI</v>
          </cell>
        </row>
        <row r="38">
          <cell r="C38" t="str">
            <v>0108-Fertilizers, Chemicals, Paints</v>
          </cell>
          <cell r="I38" t="str">
            <v>08-DAMAN AND DIU</v>
          </cell>
        </row>
        <row r="39">
          <cell r="C39" t="str">
            <v>0109-Flour &amp; Rice Mills</v>
          </cell>
          <cell r="I39" t="str">
            <v>09-DELHI</v>
          </cell>
        </row>
        <row r="40">
          <cell r="C40" t="str">
            <v>0110-Food Processing units</v>
          </cell>
          <cell r="I40" t="str">
            <v>10-GOA</v>
          </cell>
        </row>
        <row r="41">
          <cell r="C41" t="str">
            <v>0111-Marble &amp; Granite</v>
          </cell>
          <cell r="I41" t="str">
            <v>11-GUJARAT</v>
          </cell>
        </row>
        <row r="42">
          <cell r="C42" t="str">
            <v>0112-Paper</v>
          </cell>
          <cell r="I42" t="str">
            <v>12-HARYANA</v>
          </cell>
        </row>
        <row r="43">
          <cell r="C43" t="str">
            <v>0113-Petroleum and Petrochemicals</v>
          </cell>
          <cell r="I43" t="str">
            <v>13-HIMACHAL PRADESH</v>
          </cell>
        </row>
        <row r="44">
          <cell r="C44" t="str">
            <v>0114-Power and energy</v>
          </cell>
          <cell r="I44" t="str">
            <v>14-JAMMU AND KASHMIR</v>
          </cell>
        </row>
        <row r="45">
          <cell r="C45" t="str">
            <v>0115-Printing &amp; Publishing</v>
          </cell>
          <cell r="I45" t="str">
            <v>15-KARNATAKA</v>
          </cell>
        </row>
        <row r="46">
          <cell r="C46" t="str">
            <v>0116-Rubber</v>
          </cell>
          <cell r="I46" t="str">
            <v>16-KERALA</v>
          </cell>
        </row>
        <row r="47">
          <cell r="C47" t="str">
            <v>0117-Steel</v>
          </cell>
          <cell r="I47" t="str">
            <v>17-LAKHSWADEEP</v>
          </cell>
        </row>
        <row r="48">
          <cell r="C48" t="str">
            <v>0118-Sugar</v>
          </cell>
          <cell r="I48" t="str">
            <v>18-MADHYA PRADESH</v>
          </cell>
        </row>
        <row r="49">
          <cell r="C49" t="str">
            <v>0119-Tea, Coffee</v>
          </cell>
          <cell r="I49" t="str">
            <v>19-MAHARASHTRA</v>
          </cell>
        </row>
        <row r="50">
          <cell r="C50" t="str">
            <v>0120-Textiles, handloom, Power looms</v>
          </cell>
          <cell r="I50" t="str">
            <v>20-MANIPUR</v>
          </cell>
        </row>
        <row r="51">
          <cell r="C51" t="str">
            <v>0121-Tobacco</v>
          </cell>
          <cell r="I51" t="str">
            <v>21-MEGHALAYA</v>
          </cell>
        </row>
        <row r="52">
          <cell r="C52" t="str">
            <v>0122-Tyre</v>
          </cell>
          <cell r="I52" t="str">
            <v>22-MIZORAM</v>
          </cell>
        </row>
        <row r="53">
          <cell r="C53" t="str">
            <v>0123-Vanaspati &amp; Edible Oils</v>
          </cell>
          <cell r="I53" t="str">
            <v>23-NAGALAND</v>
          </cell>
        </row>
        <row r="54">
          <cell r="C54" t="str">
            <v>0124-Others</v>
          </cell>
          <cell r="I54" t="str">
            <v>24-ORISSA</v>
          </cell>
        </row>
        <row r="55">
          <cell r="C55" t="str">
            <v>0201-Chain Stores</v>
          </cell>
          <cell r="I55" t="str">
            <v>25-PONDICHERRY</v>
          </cell>
        </row>
        <row r="56">
          <cell r="C56" t="str">
            <v>0202-Retailers</v>
          </cell>
          <cell r="I56" t="str">
            <v>26-PUNJAB</v>
          </cell>
        </row>
        <row r="57">
          <cell r="C57" t="str">
            <v>0203-Wholesalers</v>
          </cell>
          <cell r="I57" t="str">
            <v>27-RAJASTHAN</v>
          </cell>
        </row>
        <row r="58">
          <cell r="C58" t="str">
            <v>0204-Others</v>
          </cell>
          <cell r="I58" t="str">
            <v>28-SIKKIM</v>
          </cell>
        </row>
        <row r="59">
          <cell r="C59" t="str">
            <v>0301-General Commission Agents</v>
          </cell>
          <cell r="I59" t="str">
            <v>29-TAMILNADU</v>
          </cell>
        </row>
        <row r="60">
          <cell r="C60" t="str">
            <v>0401-Builders</v>
          </cell>
          <cell r="I60" t="str">
            <v>30-TRIPURA</v>
          </cell>
        </row>
        <row r="61">
          <cell r="C61" t="str">
            <v>0402-Estate Agents</v>
          </cell>
          <cell r="I61" t="str">
            <v>31-UTTAR PRADESH</v>
          </cell>
        </row>
        <row r="62">
          <cell r="C62" t="str">
            <v>0403-Property Developers</v>
          </cell>
          <cell r="I62" t="str">
            <v>32-WEST BENGAL</v>
          </cell>
        </row>
        <row r="63">
          <cell r="C63" t="str">
            <v>0404-Others</v>
          </cell>
          <cell r="I63" t="str">
            <v>99-FOREIGN</v>
          </cell>
        </row>
        <row r="64">
          <cell r="C64" t="str">
            <v>0501-Civil Contractors</v>
          </cell>
        </row>
        <row r="65">
          <cell r="C65" t="str">
            <v>0502-Excise Contractors</v>
          </cell>
        </row>
        <row r="66">
          <cell r="C66" t="str">
            <v>0503-Forest Contractors</v>
          </cell>
        </row>
        <row r="67">
          <cell r="C67" t="str">
            <v>0504-Mining Contractors</v>
          </cell>
        </row>
        <row r="68">
          <cell r="C68" t="str">
            <v>0505-Others</v>
          </cell>
        </row>
        <row r="69">
          <cell r="C69" t="str">
            <v>0601-Chartered Accountants, Auditors, etc.</v>
          </cell>
        </row>
        <row r="70">
          <cell r="C70" t="str">
            <v>0602-Fashion designers</v>
          </cell>
        </row>
        <row r="71">
          <cell r="C71" t="str">
            <v>0603-Legal professionals</v>
          </cell>
        </row>
        <row r="72">
          <cell r="C72" t="str">
            <v>0604-Medical professionals</v>
          </cell>
        </row>
        <row r="73">
          <cell r="C73" t="str">
            <v>0605-Nursing Homes</v>
          </cell>
        </row>
        <row r="74">
          <cell r="C74" t="str">
            <v>0606-Specialty hospitals</v>
          </cell>
        </row>
        <row r="75">
          <cell r="C75" t="str">
            <v>0607-Others</v>
          </cell>
        </row>
        <row r="76">
          <cell r="C76" t="str">
            <v>0701-Advertisement agencies</v>
          </cell>
        </row>
        <row r="77">
          <cell r="C77" t="str">
            <v>0702-Beauty Parlours</v>
          </cell>
        </row>
        <row r="78">
          <cell r="C78" t="str">
            <v>0703-Consultancy services</v>
          </cell>
        </row>
        <row r="79">
          <cell r="C79" t="str">
            <v>0704-Courier Agencies</v>
          </cell>
        </row>
        <row r="80">
          <cell r="C80" t="str">
            <v>0705-Computer training/educational and coaching institutes</v>
          </cell>
        </row>
        <row r="81">
          <cell r="C81" t="str">
            <v>0706-Forex Dealers</v>
          </cell>
        </row>
        <row r="82">
          <cell r="C82" t="str">
            <v>0707-Hospitality services</v>
          </cell>
        </row>
        <row r="83">
          <cell r="C83" t="str">
            <v>0708-Hotels</v>
          </cell>
        </row>
        <row r="84">
          <cell r="C84" t="str">
            <v>0709-I.T. enabled services, BPO service providers</v>
          </cell>
        </row>
        <row r="85">
          <cell r="C85" t="str">
            <v>0710-Security agencies</v>
          </cell>
        </row>
        <row r="86">
          <cell r="C86" t="str">
            <v>0711-Software development agencies</v>
          </cell>
        </row>
        <row r="87">
          <cell r="C87" t="str">
            <v>0712-Transporters</v>
          </cell>
        </row>
        <row r="88">
          <cell r="C88" t="str">
            <v>0713-Travel agents, tour operators</v>
          </cell>
        </row>
        <row r="89">
          <cell r="C89" t="str">
            <v>0714-Others</v>
          </cell>
        </row>
        <row r="90">
          <cell r="C90" t="str">
            <v>0801-Banking Companies</v>
          </cell>
        </row>
        <row r="91">
          <cell r="C91" t="str">
            <v>0802-Chit Funds</v>
          </cell>
        </row>
        <row r="92">
          <cell r="C92" t="str">
            <v>0803-Financial Institutions</v>
          </cell>
        </row>
        <row r="93">
          <cell r="C93" t="str">
            <v>0804-Financial service providers</v>
          </cell>
        </row>
        <row r="94">
          <cell r="C94" t="str">
            <v>0805-Leasing Companies</v>
          </cell>
        </row>
        <row r="95">
          <cell r="C95" t="str">
            <v>0806-Money Lenders</v>
          </cell>
        </row>
        <row r="96">
          <cell r="C96" t="str">
            <v>0807-Non-Banking Finance Companies</v>
          </cell>
        </row>
        <row r="97">
          <cell r="C97" t="str">
            <v>0808-Share Brokers, Sub-brokers, etc.</v>
          </cell>
        </row>
        <row r="98">
          <cell r="C98" t="str">
            <v>0809-Others</v>
          </cell>
        </row>
        <row r="99">
          <cell r="C99" t="str">
            <v>0901-Cable T.V. productions</v>
          </cell>
        </row>
        <row r="100">
          <cell r="C100" t="str">
            <v>0902-Film distribution</v>
          </cell>
        </row>
        <row r="101">
          <cell r="C101" t="str">
            <v>0903-Film laboratories</v>
          </cell>
        </row>
        <row r="102">
          <cell r="C102" t="str">
            <v>0904-Motion Picture Producers</v>
          </cell>
        </row>
        <row r="103">
          <cell r="C103" t="str">
            <v>0905-Television Channels</v>
          </cell>
        </row>
        <row r="104">
          <cell r="C104" t="str">
            <v>0906-Others</v>
          </cell>
        </row>
      </sheetData>
      <sheetData sheetId="6" refreshError="1">
        <row r="1">
          <cell r="A1" t="str">
            <v>Part A-BS</v>
          </cell>
        </row>
        <row r="4">
          <cell r="H4">
            <v>15434750000</v>
          </cell>
        </row>
        <row r="5">
          <cell r="H5">
            <v>2075507697</v>
          </cell>
        </row>
        <row r="7">
          <cell r="J7">
            <v>2075507697</v>
          </cell>
        </row>
        <row r="11">
          <cell r="H11">
            <v>3627392</v>
          </cell>
        </row>
        <row r="12">
          <cell r="H12">
            <v>25954999711</v>
          </cell>
        </row>
        <row r="14">
          <cell r="H14">
            <v>1481165260</v>
          </cell>
        </row>
        <row r="15">
          <cell r="H15">
            <v>609373200</v>
          </cell>
        </row>
        <row r="16">
          <cell r="H16">
            <v>812187831</v>
          </cell>
        </row>
        <row r="17">
          <cell r="J17">
            <v>28861353394</v>
          </cell>
        </row>
        <row r="18">
          <cell r="J18">
            <v>30936861091</v>
          </cell>
        </row>
        <row r="24">
          <cell r="H24">
            <v>29779821438</v>
          </cell>
        </row>
        <row r="25">
          <cell r="H25">
            <v>5815875480</v>
          </cell>
        </row>
        <row r="26">
          <cell r="H26">
            <v>35595696918</v>
          </cell>
        </row>
        <row r="27">
          <cell r="J27">
            <v>35595696918</v>
          </cell>
        </row>
        <row r="32">
          <cell r="J32">
            <v>0</v>
          </cell>
        </row>
        <row r="34">
          <cell r="H34">
            <v>16500000000</v>
          </cell>
        </row>
        <row r="35">
          <cell r="H35">
            <v>56880000000</v>
          </cell>
        </row>
        <row r="36">
          <cell r="J36">
            <v>73380000000</v>
          </cell>
        </row>
        <row r="37">
          <cell r="J37">
            <v>73380000000</v>
          </cell>
        </row>
        <row r="38">
          <cell r="J38">
            <v>108975696918</v>
          </cell>
        </row>
        <row r="39">
          <cell r="J39">
            <v>252109983</v>
          </cell>
        </row>
        <row r="40">
          <cell r="J40">
            <v>140164667992</v>
          </cell>
        </row>
        <row r="42">
          <cell r="H42">
            <v>524091257</v>
          </cell>
        </row>
        <row r="43">
          <cell r="H43">
            <v>93080044</v>
          </cell>
        </row>
        <row r="44">
          <cell r="H44">
            <v>431011213</v>
          </cell>
        </row>
        <row r="45">
          <cell r="H45">
            <v>18104045</v>
          </cell>
        </row>
        <row r="46">
          <cell r="J46">
            <v>449115258</v>
          </cell>
        </row>
        <row r="50">
          <cell r="H50">
            <v>3106125000</v>
          </cell>
        </row>
        <row r="51">
          <cell r="J51">
            <v>3106125000</v>
          </cell>
        </row>
        <row r="56">
          <cell r="J56">
            <v>0</v>
          </cell>
        </row>
        <row r="57">
          <cell r="J57">
            <v>3106125000</v>
          </cell>
        </row>
        <row r="65">
          <cell r="J65">
            <v>0</v>
          </cell>
        </row>
        <row r="67">
          <cell r="H67">
            <v>19227043</v>
          </cell>
        </row>
        <row r="68">
          <cell r="H68">
            <v>53962260</v>
          </cell>
        </row>
        <row r="69">
          <cell r="J69">
            <v>73189303</v>
          </cell>
        </row>
        <row r="71">
          <cell r="H71">
            <v>7381370</v>
          </cell>
        </row>
        <row r="72">
          <cell r="H72">
            <v>69393529782</v>
          </cell>
        </row>
        <row r="73">
          <cell r="J73">
            <v>69400911152</v>
          </cell>
        </row>
        <row r="74">
          <cell r="J74">
            <v>743713859</v>
          </cell>
        </row>
        <row r="75">
          <cell r="J75">
            <v>70217814314</v>
          </cell>
        </row>
        <row r="77">
          <cell r="H77">
            <v>4294300000</v>
          </cell>
        </row>
        <row r="78">
          <cell r="H78">
            <v>1135522046</v>
          </cell>
        </row>
        <row r="79">
          <cell r="H79">
            <v>72479222694</v>
          </cell>
        </row>
        <row r="81">
          <cell r="J81">
            <v>77909044740</v>
          </cell>
        </row>
        <row r="82">
          <cell r="J82">
            <v>148126859054</v>
          </cell>
        </row>
        <row r="85">
          <cell r="H85">
            <v>7137703218</v>
          </cell>
        </row>
        <row r="87">
          <cell r="H87">
            <v>1289125</v>
          </cell>
        </row>
        <row r="92">
          <cell r="J92">
            <v>7138992343</v>
          </cell>
        </row>
        <row r="94">
          <cell r="H94">
            <v>517502219</v>
          </cell>
        </row>
        <row r="95">
          <cell r="H95">
            <v>219719</v>
          </cell>
        </row>
        <row r="97">
          <cell r="H97">
            <v>89386246</v>
          </cell>
        </row>
        <row r="98">
          <cell r="H98">
            <v>1213499586</v>
          </cell>
        </row>
        <row r="99">
          <cell r="H99">
            <v>2186273949</v>
          </cell>
        </row>
        <row r="100">
          <cell r="H100">
            <v>371557258</v>
          </cell>
        </row>
        <row r="101">
          <cell r="J101">
            <v>4378438977</v>
          </cell>
        </row>
        <row r="102">
          <cell r="J102">
            <v>11517431320</v>
          </cell>
        </row>
        <row r="103">
          <cell r="J103">
            <v>136609427734</v>
          </cell>
        </row>
        <row r="107">
          <cell r="J107">
            <v>0</v>
          </cell>
        </row>
        <row r="108">
          <cell r="J108">
            <v>140164667992</v>
          </cell>
        </row>
      </sheetData>
      <sheetData sheetId="7" refreshError="1">
        <row r="1">
          <cell r="A1" t="str">
            <v>Part A-P&amp; L</v>
          </cell>
        </row>
        <row r="2">
          <cell r="J2">
            <v>13256576474</v>
          </cell>
        </row>
        <row r="8">
          <cell r="J8">
            <v>0</v>
          </cell>
        </row>
        <row r="16">
          <cell r="H16">
            <v>376146</v>
          </cell>
        </row>
        <row r="19">
          <cell r="H19">
            <v>21503471</v>
          </cell>
        </row>
        <row r="20">
          <cell r="J20">
            <v>21879617</v>
          </cell>
        </row>
        <row r="22">
          <cell r="J22">
            <v>13278456091</v>
          </cell>
        </row>
        <row r="33">
          <cell r="J33">
            <v>0</v>
          </cell>
        </row>
        <row r="36">
          <cell r="J36">
            <v>38264101</v>
          </cell>
        </row>
        <row r="37">
          <cell r="J37">
            <v>191348436</v>
          </cell>
        </row>
        <row r="38">
          <cell r="J38">
            <v>43219153</v>
          </cell>
        </row>
        <row r="39">
          <cell r="J39">
            <v>10263969</v>
          </cell>
        </row>
        <row r="41">
          <cell r="H41">
            <v>1981781217</v>
          </cell>
        </row>
        <row r="46">
          <cell r="H46">
            <v>24556848</v>
          </cell>
        </row>
        <row r="47">
          <cell r="H47">
            <v>22340659</v>
          </cell>
        </row>
        <row r="48">
          <cell r="H48">
            <v>6361551</v>
          </cell>
        </row>
        <row r="49">
          <cell r="H49">
            <v>29003331</v>
          </cell>
        </row>
        <row r="52">
          <cell r="J52">
            <v>2064043606</v>
          </cell>
        </row>
        <row r="58">
          <cell r="J58">
            <v>0</v>
          </cell>
        </row>
        <row r="59">
          <cell r="J59">
            <v>5633902</v>
          </cell>
        </row>
        <row r="62">
          <cell r="J62">
            <v>16241</v>
          </cell>
        </row>
        <row r="63">
          <cell r="J63">
            <v>4024416</v>
          </cell>
        </row>
        <row r="64">
          <cell r="J64">
            <v>50922185</v>
          </cell>
        </row>
        <row r="65">
          <cell r="J65">
            <v>197445761</v>
          </cell>
        </row>
        <row r="66">
          <cell r="J66">
            <v>17895400</v>
          </cell>
        </row>
        <row r="67">
          <cell r="J67">
            <v>7073516</v>
          </cell>
        </row>
        <row r="68">
          <cell r="J68">
            <v>33125083</v>
          </cell>
        </row>
        <row r="69">
          <cell r="J69">
            <v>86182922</v>
          </cell>
        </row>
        <row r="71">
          <cell r="J71">
            <v>2440400</v>
          </cell>
        </row>
        <row r="72">
          <cell r="J72">
            <v>30022</v>
          </cell>
        </row>
        <row r="81">
          <cell r="H81">
            <v>1873753</v>
          </cell>
        </row>
        <row r="82">
          <cell r="J82">
            <v>1873753</v>
          </cell>
        </row>
        <row r="83">
          <cell r="J83">
            <v>8250000</v>
          </cell>
        </row>
        <row r="84">
          <cell r="J84">
            <v>239805216</v>
          </cell>
        </row>
        <row r="85">
          <cell r="J85">
            <v>444455245</v>
          </cell>
        </row>
        <row r="86">
          <cell r="J86">
            <v>455120499</v>
          </cell>
        </row>
        <row r="88">
          <cell r="J88">
            <v>9377022265</v>
          </cell>
        </row>
        <row r="89">
          <cell r="J89">
            <v>3647882803</v>
          </cell>
        </row>
        <row r="90">
          <cell r="J90">
            <v>60511284</v>
          </cell>
        </row>
        <row r="91">
          <cell r="J91">
            <v>5668628178</v>
          </cell>
        </row>
        <row r="92">
          <cell r="J92">
            <v>1876377592</v>
          </cell>
        </row>
        <row r="93">
          <cell r="J93">
            <v>11658771</v>
          </cell>
        </row>
        <row r="94">
          <cell r="J94">
            <v>-39108040</v>
          </cell>
        </row>
        <row r="95">
          <cell r="J95">
            <v>3819699855</v>
          </cell>
        </row>
        <row r="96">
          <cell r="J96">
            <v>797996330</v>
          </cell>
        </row>
        <row r="97">
          <cell r="J97">
            <v>4617696185</v>
          </cell>
        </row>
        <row r="99">
          <cell r="H99">
            <v>1146005489</v>
          </cell>
        </row>
        <row r="100">
          <cell r="H100">
            <v>2273176516</v>
          </cell>
        </row>
        <row r="101">
          <cell r="H101">
            <v>386326349</v>
          </cell>
        </row>
        <row r="103">
          <cell r="J103">
            <v>3805508354</v>
          </cell>
        </row>
        <row r="104">
          <cell r="J104">
            <v>812187831</v>
          </cell>
        </row>
        <row r="109">
          <cell r="J109">
            <v>0</v>
          </cell>
        </row>
      </sheetData>
      <sheetData sheetId="8" refreshError="1">
        <row r="1">
          <cell r="A1" t="str">
            <v>Part A- OI</v>
          </cell>
        </row>
        <row r="2">
          <cell r="J2" t="str">
            <v>MERC</v>
          </cell>
        </row>
        <row r="3">
          <cell r="J3" t="str">
            <v>N</v>
          </cell>
        </row>
        <row r="4">
          <cell r="O4" t="str">
            <v>MERC</v>
          </cell>
          <cell r="P4" t="str">
            <v>Y</v>
          </cell>
          <cell r="Q4">
            <v>1</v>
          </cell>
          <cell r="R4">
            <v>1</v>
          </cell>
          <cell r="S4" t="str">
            <v>Y</v>
          </cell>
        </row>
        <row r="5">
          <cell r="O5" t="str">
            <v>CASH</v>
          </cell>
          <cell r="P5" t="str">
            <v>N</v>
          </cell>
          <cell r="Q5">
            <v>2</v>
          </cell>
          <cell r="R5">
            <v>2</v>
          </cell>
          <cell r="S5" t="str">
            <v>N</v>
          </cell>
        </row>
        <row r="6">
          <cell r="Q6">
            <v>3</v>
          </cell>
          <cell r="R6">
            <v>3</v>
          </cell>
        </row>
        <row r="11">
          <cell r="H11">
            <v>873277561</v>
          </cell>
        </row>
        <row r="16">
          <cell r="J16">
            <v>873277561</v>
          </cell>
        </row>
        <row r="24">
          <cell r="H24">
            <v>25700000</v>
          </cell>
        </row>
        <row r="28">
          <cell r="H28">
            <v>455120499</v>
          </cell>
        </row>
        <row r="33">
          <cell r="J33">
            <v>480820499</v>
          </cell>
        </row>
        <row r="35">
          <cell r="H35">
            <v>68687699</v>
          </cell>
        </row>
        <row r="41">
          <cell r="H41">
            <v>45106244</v>
          </cell>
        </row>
        <row r="42">
          <cell r="H42">
            <v>4009652</v>
          </cell>
        </row>
        <row r="43">
          <cell r="J43">
            <v>117803595</v>
          </cell>
        </row>
        <row r="49">
          <cell r="H49">
            <v>70420</v>
          </cell>
        </row>
        <row r="52">
          <cell r="J52">
            <v>70420</v>
          </cell>
        </row>
        <row r="57">
          <cell r="H57">
            <v>6361551</v>
          </cell>
        </row>
        <row r="60">
          <cell r="J60">
            <v>6361551</v>
          </cell>
        </row>
        <row r="68">
          <cell r="J68">
            <v>0</v>
          </cell>
        </row>
        <row r="76">
          <cell r="J76">
            <v>0</v>
          </cell>
        </row>
        <row r="79">
          <cell r="H79">
            <v>22837562</v>
          </cell>
        </row>
        <row r="82">
          <cell r="J82">
            <v>22837562</v>
          </cell>
        </row>
      </sheetData>
      <sheetData sheetId="9" refreshError="1">
        <row r="1">
          <cell r="A1" t="str">
            <v>Part A – QD</v>
          </cell>
        </row>
        <row r="26">
          <cell r="A26" t="str">
            <v>(b) In the case of a manufacturing concern - Raw Materials</v>
          </cell>
        </row>
        <row r="51">
          <cell r="A51" t="str">
            <v>(C) In the case of a manufacturing concern - Finished Goods</v>
          </cell>
        </row>
        <row r="77">
          <cell r="A77" t="str">
            <v>101-gms</v>
          </cell>
          <cell r="B77" t="str">
            <v>101-gms</v>
          </cell>
          <cell r="C77" t="str">
            <v>101-gms</v>
          </cell>
        </row>
        <row r="78">
          <cell r="A78" t="str">
            <v>102-kilograms</v>
          </cell>
          <cell r="B78" t="str">
            <v>102-kilograms</v>
          </cell>
          <cell r="C78" t="str">
            <v>102-kilograms</v>
          </cell>
        </row>
        <row r="79">
          <cell r="A79" t="str">
            <v>103-litre</v>
          </cell>
          <cell r="B79" t="str">
            <v>103-litre</v>
          </cell>
          <cell r="C79" t="str">
            <v>103-litre</v>
          </cell>
        </row>
        <row r="80">
          <cell r="A80" t="str">
            <v>104-kilolitre</v>
          </cell>
          <cell r="B80" t="str">
            <v>104-kilolitre</v>
          </cell>
          <cell r="C80" t="str">
            <v>104-kilolitre</v>
          </cell>
        </row>
        <row r="81">
          <cell r="A81" t="str">
            <v>105-metre</v>
          </cell>
          <cell r="B81" t="str">
            <v>105-metre</v>
          </cell>
          <cell r="C81" t="str">
            <v>105-metre</v>
          </cell>
        </row>
        <row r="82">
          <cell r="A82" t="str">
            <v>106-kilometre</v>
          </cell>
          <cell r="B82" t="str">
            <v>106-kilometre</v>
          </cell>
          <cell r="C82" t="str">
            <v>106-kilometre</v>
          </cell>
        </row>
        <row r="83">
          <cell r="A83" t="str">
            <v>107-numbers</v>
          </cell>
          <cell r="B83" t="str">
            <v>107-numbers</v>
          </cell>
          <cell r="C83" t="str">
            <v>107-numbers</v>
          </cell>
        </row>
        <row r="84">
          <cell r="A84" t="str">
            <v>108-quintal</v>
          </cell>
          <cell r="B84" t="str">
            <v>108-quintal</v>
          </cell>
          <cell r="C84" t="str">
            <v>108-quintal</v>
          </cell>
        </row>
        <row r="85">
          <cell r="A85" t="str">
            <v>109-ton</v>
          </cell>
          <cell r="B85" t="str">
            <v>109-ton</v>
          </cell>
          <cell r="C85" t="str">
            <v>109-ton</v>
          </cell>
        </row>
        <row r="86">
          <cell r="A86" t="str">
            <v>110-pound</v>
          </cell>
          <cell r="B86" t="str">
            <v>110-pound</v>
          </cell>
          <cell r="C86" t="str">
            <v>110-pound</v>
          </cell>
        </row>
        <row r="87">
          <cell r="A87" t="str">
            <v>111-milligrams</v>
          </cell>
          <cell r="B87" t="str">
            <v>111-milligrams</v>
          </cell>
          <cell r="C87" t="str">
            <v>111-milligrams</v>
          </cell>
        </row>
        <row r="88">
          <cell r="A88" t="str">
            <v>112-carat</v>
          </cell>
          <cell r="B88" t="str">
            <v>112-carat</v>
          </cell>
          <cell r="C88" t="str">
            <v>112-carat</v>
          </cell>
        </row>
        <row r="89">
          <cell r="A89" t="str">
            <v>113-numbers (1000s)</v>
          </cell>
          <cell r="B89" t="str">
            <v>113-numbers (1000s)</v>
          </cell>
          <cell r="C89" t="str">
            <v>113-numbers (1000s)</v>
          </cell>
        </row>
        <row r="90">
          <cell r="A90" t="str">
            <v>114-kwatt</v>
          </cell>
          <cell r="B90" t="str">
            <v>114-kwatt</v>
          </cell>
          <cell r="C90" t="str">
            <v>114-kwatt</v>
          </cell>
        </row>
        <row r="91">
          <cell r="A91" t="str">
            <v>115-mwatt</v>
          </cell>
          <cell r="B91" t="str">
            <v>115-mwatt</v>
          </cell>
          <cell r="C91" t="str">
            <v>115-mwatt</v>
          </cell>
        </row>
        <row r="92">
          <cell r="A92" t="str">
            <v>116-inch</v>
          </cell>
          <cell r="B92" t="str">
            <v>116-inch</v>
          </cell>
          <cell r="C92" t="str">
            <v>116-inch</v>
          </cell>
        </row>
        <row r="93">
          <cell r="A93" t="str">
            <v>117-feet</v>
          </cell>
          <cell r="B93" t="str">
            <v>117-feet</v>
          </cell>
          <cell r="C93" t="str">
            <v>117-feet</v>
          </cell>
        </row>
        <row r="94">
          <cell r="A94" t="str">
            <v>118-sqft</v>
          </cell>
          <cell r="B94" t="str">
            <v>118-sqft</v>
          </cell>
          <cell r="C94" t="str">
            <v>118-sqft</v>
          </cell>
        </row>
        <row r="95">
          <cell r="A95" t="str">
            <v>119-acre</v>
          </cell>
          <cell r="B95" t="str">
            <v>119-acre</v>
          </cell>
          <cell r="C95" t="str">
            <v>119-acre</v>
          </cell>
        </row>
        <row r="96">
          <cell r="A96" t="str">
            <v>120-cubicft</v>
          </cell>
          <cell r="B96" t="str">
            <v>120-cubicft</v>
          </cell>
          <cell r="C96" t="str">
            <v>120-cubicft</v>
          </cell>
        </row>
        <row r="97">
          <cell r="A97" t="str">
            <v>121-sqmetre</v>
          </cell>
          <cell r="B97" t="str">
            <v>121-sqmetre</v>
          </cell>
          <cell r="C97" t="str">
            <v>121-sqmetre</v>
          </cell>
        </row>
        <row r="98">
          <cell r="A98" t="str">
            <v>122-cubicmetre</v>
          </cell>
          <cell r="B98" t="str">
            <v>122-cubicmetre</v>
          </cell>
          <cell r="C98" t="str">
            <v>122-cubicmetre</v>
          </cell>
        </row>
        <row r="99">
          <cell r="A99" t="str">
            <v>999-residual</v>
          </cell>
          <cell r="B99" t="str">
            <v>999-residual</v>
          </cell>
          <cell r="C99" t="str">
            <v>999-residual</v>
          </cell>
        </row>
      </sheetData>
      <sheetData sheetId="10" refreshError="1">
        <row r="1">
          <cell r="A1" t="str">
            <v>Part B - TI</v>
          </cell>
        </row>
        <row r="2">
          <cell r="J2">
            <v>0</v>
          </cell>
        </row>
        <row r="4">
          <cell r="H4">
            <v>5588631118</v>
          </cell>
        </row>
        <row r="5">
          <cell r="H5">
            <v>0</v>
          </cell>
        </row>
        <row r="6">
          <cell r="J6">
            <v>5588631118</v>
          </cell>
        </row>
        <row r="9">
          <cell r="H9">
            <v>0</v>
          </cell>
        </row>
        <row r="10">
          <cell r="H10">
            <v>376146</v>
          </cell>
        </row>
        <row r="11">
          <cell r="H11">
            <v>376146</v>
          </cell>
        </row>
        <row r="12">
          <cell r="H12">
            <v>0</v>
          </cell>
        </row>
        <row r="13">
          <cell r="J13">
            <v>376146</v>
          </cell>
        </row>
        <row r="15">
          <cell r="H15">
            <v>0</v>
          </cell>
        </row>
        <row r="16">
          <cell r="H16">
            <v>0</v>
          </cell>
        </row>
        <row r="17">
          <cell r="J17">
            <v>0</v>
          </cell>
        </row>
        <row r="18">
          <cell r="J18">
            <v>5589007264</v>
          </cell>
        </row>
        <row r="19">
          <cell r="J19">
            <v>0</v>
          </cell>
        </row>
        <row r="20">
          <cell r="J20">
            <v>5589007264</v>
          </cell>
        </row>
        <row r="21">
          <cell r="J21">
            <v>0</v>
          </cell>
        </row>
        <row r="22">
          <cell r="J22">
            <v>5589007264</v>
          </cell>
        </row>
        <row r="23">
          <cell r="J23">
            <v>500000</v>
          </cell>
        </row>
        <row r="24">
          <cell r="J24">
            <v>5588507264</v>
          </cell>
        </row>
        <row r="25">
          <cell r="J25">
            <v>0</v>
          </cell>
        </row>
        <row r="26">
          <cell r="J26">
            <v>5588507264</v>
          </cell>
        </row>
        <row r="27">
          <cell r="J27">
            <v>0</v>
          </cell>
        </row>
        <row r="30">
          <cell r="A30" t="str">
            <v>Part B - TTI</v>
          </cell>
        </row>
        <row r="33">
          <cell r="H33">
            <v>1676439334</v>
          </cell>
        </row>
        <row r="34">
          <cell r="H34">
            <v>37615</v>
          </cell>
        </row>
        <row r="35">
          <cell r="J35">
            <v>1676476949</v>
          </cell>
        </row>
        <row r="39">
          <cell r="J39">
            <v>0</v>
          </cell>
        </row>
        <row r="40">
          <cell r="J40">
            <v>1676476949</v>
          </cell>
        </row>
        <row r="41">
          <cell r="J41">
            <v>167647695</v>
          </cell>
        </row>
        <row r="42">
          <cell r="J42">
            <v>55323739</v>
          </cell>
        </row>
        <row r="43">
          <cell r="J43">
            <v>1899448383</v>
          </cell>
        </row>
        <row r="47">
          <cell r="J47">
            <v>0</v>
          </cell>
        </row>
        <row r="48">
          <cell r="J48">
            <v>1899448383</v>
          </cell>
        </row>
        <row r="50">
          <cell r="H50">
            <v>0</v>
          </cell>
        </row>
        <row r="51">
          <cell r="H51">
            <v>0</v>
          </cell>
        </row>
        <row r="52">
          <cell r="H52">
            <v>22658397</v>
          </cell>
        </row>
        <row r="53">
          <cell r="J53">
            <v>22658397</v>
          </cell>
        </row>
        <row r="54">
          <cell r="J54">
            <v>1922106780</v>
          </cell>
        </row>
        <row r="56">
          <cell r="H56">
            <v>650000000</v>
          </cell>
        </row>
        <row r="57">
          <cell r="H57">
            <v>1203242494</v>
          </cell>
        </row>
        <row r="58">
          <cell r="H58">
            <v>0</v>
          </cell>
        </row>
        <row r="59">
          <cell r="H59">
            <v>114210364</v>
          </cell>
        </row>
        <row r="60">
          <cell r="J60">
            <v>1967452858</v>
          </cell>
        </row>
        <row r="61">
          <cell r="J61">
            <v>0</v>
          </cell>
        </row>
        <row r="62">
          <cell r="J62">
            <v>45346078</v>
          </cell>
        </row>
      </sheetData>
      <sheetData sheetId="11" refreshError="1">
        <row r="2">
          <cell r="A2" t="str">
            <v>Part C</v>
          </cell>
        </row>
        <row r="4">
          <cell r="H4">
            <v>6500545</v>
          </cell>
        </row>
        <row r="5">
          <cell r="H5">
            <v>8544000</v>
          </cell>
        </row>
        <row r="6">
          <cell r="H6">
            <v>175716533</v>
          </cell>
        </row>
        <row r="7">
          <cell r="H7">
            <v>7965000</v>
          </cell>
        </row>
        <row r="8">
          <cell r="J8">
            <v>198726078</v>
          </cell>
        </row>
        <row r="9">
          <cell r="J9">
            <v>59617823</v>
          </cell>
          <cell r="IV9" t="str">
            <v>Yes</v>
          </cell>
        </row>
        <row r="10">
          <cell r="J10">
            <v>5961782</v>
          </cell>
          <cell r="IV10" t="str">
            <v>No</v>
          </cell>
        </row>
        <row r="11">
          <cell r="J11">
            <v>1967388</v>
          </cell>
        </row>
        <row r="12">
          <cell r="J12">
            <v>67546993</v>
          </cell>
        </row>
        <row r="14">
          <cell r="H14">
            <v>21364</v>
          </cell>
        </row>
        <row r="15">
          <cell r="H15">
            <v>0</v>
          </cell>
        </row>
        <row r="16">
          <cell r="J16">
            <v>21364</v>
          </cell>
        </row>
        <row r="17">
          <cell r="J17">
            <v>67568357</v>
          </cell>
        </row>
        <row r="19">
          <cell r="H19">
            <v>68100000</v>
          </cell>
        </row>
        <row r="20">
          <cell r="H20">
            <v>0</v>
          </cell>
        </row>
        <row r="21">
          <cell r="J21">
            <v>68100000</v>
          </cell>
        </row>
        <row r="22">
          <cell r="J22">
            <v>0</v>
          </cell>
        </row>
        <row r="23">
          <cell r="J23">
            <v>531643</v>
          </cell>
        </row>
        <row r="27">
          <cell r="A27" t="str">
            <v>VERIFICATION</v>
          </cell>
        </row>
        <row r="28">
          <cell r="F28" t="str">
            <v>GAGAN BANGA</v>
          </cell>
        </row>
        <row r="29">
          <cell r="F29" t="str">
            <v>MR.P.K. BANGA</v>
          </cell>
        </row>
        <row r="33">
          <cell r="F33" t="str">
            <v>DIRECTOR</v>
          </cell>
        </row>
        <row r="34">
          <cell r="F34" t="str">
            <v>DELHI</v>
          </cell>
        </row>
        <row r="35">
          <cell r="F35" t="str">
            <v>10/10/2008</v>
          </cell>
        </row>
        <row r="36">
          <cell r="A36" t="str">
            <v>Schedule BA</v>
          </cell>
        </row>
        <row r="37">
          <cell r="J37" t="str">
            <v>00030340013022</v>
          </cell>
        </row>
        <row r="38">
          <cell r="J38" t="str">
            <v>Yes</v>
          </cell>
        </row>
        <row r="39">
          <cell r="J39" t="str">
            <v>110240001</v>
          </cell>
        </row>
        <row r="40">
          <cell r="J40" t="str">
            <v>Current</v>
          </cell>
        </row>
      </sheetData>
      <sheetData sheetId="12" refreshError="1">
        <row r="1">
          <cell r="A1" t="str">
            <v>Schedule HP</v>
          </cell>
        </row>
        <row r="2">
          <cell r="D2" t="str">
            <v xml:space="preserve">Address of property </v>
          </cell>
          <cell r="E2" t="str">
            <v>Town/ City</v>
          </cell>
          <cell r="F2" t="str">
            <v>State</v>
          </cell>
          <cell r="H2" t="str">
            <v>PIN CODE</v>
          </cell>
          <cell r="L2">
            <v>3</v>
          </cell>
        </row>
        <row r="3">
          <cell r="H3" t="str">
            <v/>
          </cell>
          <cell r="L3">
            <v>13</v>
          </cell>
        </row>
        <row r="4">
          <cell r="D4" t="str">
            <v>Is the property let out ?</v>
          </cell>
          <cell r="E4" t="str">
            <v>Name of Tenant</v>
          </cell>
          <cell r="H4" t="str">
            <v>PAN of Tenant (optional)</v>
          </cell>
        </row>
        <row r="6">
          <cell r="C6" t="str">
            <v>a</v>
          </cell>
          <cell r="D6" t="str">
            <v xml:space="preserve">Annual letable value/ rent received or receivable </v>
          </cell>
          <cell r="I6" t="str">
            <v>a</v>
          </cell>
        </row>
        <row r="7">
          <cell r="C7" t="str">
            <v>b</v>
          </cell>
          <cell r="D7" t="str">
            <v>The amount of rent which cannot be realized</v>
          </cell>
          <cell r="G7" t="str">
            <v>b</v>
          </cell>
        </row>
        <row r="8">
          <cell r="C8" t="str">
            <v>c</v>
          </cell>
          <cell r="D8" t="str">
            <v>Tax paid to local authorities</v>
          </cell>
          <cell r="G8" t="str">
            <v>c</v>
          </cell>
        </row>
        <row r="9">
          <cell r="C9" t="str">
            <v>d</v>
          </cell>
          <cell r="D9" t="str">
            <v>Total (b + c)</v>
          </cell>
          <cell r="G9" t="str">
            <v>d</v>
          </cell>
          <cell r="H9">
            <v>0</v>
          </cell>
        </row>
        <row r="10">
          <cell r="C10" t="str">
            <v>e</v>
          </cell>
          <cell r="D10" t="str">
            <v>Balance (a – d)</v>
          </cell>
          <cell r="I10" t="str">
            <v>e</v>
          </cell>
          <cell r="J10">
            <v>0</v>
          </cell>
        </row>
        <row r="11">
          <cell r="C11" t="str">
            <v>f</v>
          </cell>
          <cell r="D11" t="str">
            <v>30% of  e</v>
          </cell>
          <cell r="G11" t="str">
            <v>f</v>
          </cell>
          <cell r="H11">
            <v>0</v>
          </cell>
        </row>
        <row r="12">
          <cell r="C12" t="str">
            <v>g</v>
          </cell>
          <cell r="D12" t="str">
            <v xml:space="preserve">Interest payable on borrowed capital </v>
          </cell>
          <cell r="F12" t="str">
            <v>Cannot exceed 1.5 lacs if not let out</v>
          </cell>
          <cell r="G12" t="str">
            <v>g</v>
          </cell>
        </row>
        <row r="13">
          <cell r="C13" t="str">
            <v>h</v>
          </cell>
          <cell r="D13" t="str">
            <v>Total (f + g)</v>
          </cell>
          <cell r="I13" t="str">
            <v>h</v>
          </cell>
          <cell r="J13">
            <v>0</v>
          </cell>
        </row>
        <row r="14">
          <cell r="C14" t="str">
            <v>i</v>
          </cell>
          <cell r="D14" t="str">
            <v>Income from house property (e – h)</v>
          </cell>
          <cell r="I14" t="str">
            <v>i</v>
          </cell>
          <cell r="J14">
            <v>0</v>
          </cell>
        </row>
        <row r="15">
          <cell r="D15" t="str">
            <v xml:space="preserve">Address of property </v>
          </cell>
          <cell r="E15" t="str">
            <v>Town/ City</v>
          </cell>
          <cell r="F15" t="str">
            <v>State</v>
          </cell>
          <cell r="H15" t="str">
            <v>PIN CODE</v>
          </cell>
        </row>
        <row r="17">
          <cell r="D17" t="str">
            <v>Is the property let out ?</v>
          </cell>
          <cell r="E17" t="str">
            <v>Name of Tenant</v>
          </cell>
          <cell r="H17" t="str">
            <v>PAN of Tenant (optional)</v>
          </cell>
        </row>
        <row r="19">
          <cell r="C19" t="str">
            <v>a</v>
          </cell>
          <cell r="D19" t="str">
            <v xml:space="preserve">Annual letable value/ rent received or receivable </v>
          </cell>
          <cell r="I19" t="str">
            <v>a</v>
          </cell>
        </row>
        <row r="20">
          <cell r="C20" t="str">
            <v>b</v>
          </cell>
          <cell r="D20" t="str">
            <v>The amount of rent which cannot be realized</v>
          </cell>
          <cell r="G20" t="str">
            <v>b</v>
          </cell>
        </row>
        <row r="21">
          <cell r="C21" t="str">
            <v>c</v>
          </cell>
          <cell r="D21" t="str">
            <v>Tax paid to local authorities</v>
          </cell>
          <cell r="G21" t="str">
            <v>c</v>
          </cell>
        </row>
        <row r="22">
          <cell r="C22" t="str">
            <v>d</v>
          </cell>
          <cell r="D22" t="str">
            <v>Total (b + c)</v>
          </cell>
          <cell r="G22" t="str">
            <v>d</v>
          </cell>
          <cell r="H22">
            <v>0</v>
          </cell>
        </row>
        <row r="23">
          <cell r="C23" t="str">
            <v>e</v>
          </cell>
          <cell r="D23" t="str">
            <v>Balance (a – d)</v>
          </cell>
          <cell r="I23" t="str">
            <v>e</v>
          </cell>
          <cell r="J23">
            <v>0</v>
          </cell>
        </row>
        <row r="24">
          <cell r="C24" t="str">
            <v>f</v>
          </cell>
          <cell r="D24" t="str">
            <v>30% of  e</v>
          </cell>
          <cell r="G24" t="str">
            <v>f</v>
          </cell>
          <cell r="H24">
            <v>0</v>
          </cell>
        </row>
        <row r="25">
          <cell r="C25" t="str">
            <v>g</v>
          </cell>
          <cell r="D25" t="str">
            <v xml:space="preserve">Interest payable on borrowed capital </v>
          </cell>
          <cell r="F25" t="str">
            <v>Cannot exceed 1.5 lacs if not let out</v>
          </cell>
          <cell r="G25" t="str">
            <v>g</v>
          </cell>
        </row>
        <row r="26">
          <cell r="C26" t="str">
            <v>h</v>
          </cell>
          <cell r="D26" t="str">
            <v>Total (f + g)</v>
          </cell>
          <cell r="I26" t="str">
            <v>h</v>
          </cell>
          <cell r="J26">
            <v>0</v>
          </cell>
        </row>
        <row r="27">
          <cell r="C27" t="str">
            <v>i</v>
          </cell>
          <cell r="D27" t="str">
            <v>Income from house property (e – h)</v>
          </cell>
          <cell r="I27" t="str">
            <v>i</v>
          </cell>
          <cell r="J27">
            <v>0</v>
          </cell>
        </row>
        <row r="28">
          <cell r="D28" t="str">
            <v xml:space="preserve">Address of property </v>
          </cell>
          <cell r="E28" t="str">
            <v>Town/ City</v>
          </cell>
          <cell r="F28" t="str">
            <v>State</v>
          </cell>
          <cell r="H28" t="str">
            <v>PIN CODE</v>
          </cell>
        </row>
        <row r="30">
          <cell r="D30" t="str">
            <v>Is the property let out ?</v>
          </cell>
          <cell r="E30" t="str">
            <v>Name of Tenant</v>
          </cell>
          <cell r="H30" t="str">
            <v>PAN of Tenant (optional)</v>
          </cell>
        </row>
        <row r="32">
          <cell r="C32" t="str">
            <v>a</v>
          </cell>
          <cell r="D32" t="str">
            <v xml:space="preserve">Annual letable value/ rent received or receivable </v>
          </cell>
          <cell r="I32" t="str">
            <v>a</v>
          </cell>
        </row>
        <row r="33">
          <cell r="C33" t="str">
            <v>b</v>
          </cell>
          <cell r="D33" t="str">
            <v>The amount of rent which cannot be realized</v>
          </cell>
          <cell r="G33" t="str">
            <v>b</v>
          </cell>
        </row>
        <row r="34">
          <cell r="C34" t="str">
            <v>c</v>
          </cell>
          <cell r="D34" t="str">
            <v>Tax paid to local authorities</v>
          </cell>
          <cell r="G34" t="str">
            <v>c</v>
          </cell>
        </row>
        <row r="35">
          <cell r="C35" t="str">
            <v>d</v>
          </cell>
          <cell r="D35" t="str">
            <v>Total (b + c)</v>
          </cell>
          <cell r="G35" t="str">
            <v>d</v>
          </cell>
          <cell r="H35">
            <v>0</v>
          </cell>
        </row>
        <row r="36">
          <cell r="C36" t="str">
            <v>e</v>
          </cell>
          <cell r="D36" t="str">
            <v>Balance (a – d)</v>
          </cell>
          <cell r="I36" t="str">
            <v>e</v>
          </cell>
          <cell r="J36">
            <v>0</v>
          </cell>
        </row>
        <row r="37">
          <cell r="C37" t="str">
            <v>f</v>
          </cell>
          <cell r="D37" t="str">
            <v>30% of  e</v>
          </cell>
          <cell r="G37" t="str">
            <v>f</v>
          </cell>
          <cell r="H37">
            <v>0</v>
          </cell>
        </row>
        <row r="38">
          <cell r="C38" t="str">
            <v>g</v>
          </cell>
          <cell r="D38" t="str">
            <v xml:space="preserve">Interest payable on borrowed capital </v>
          </cell>
          <cell r="F38" t="str">
            <v>Cannot exceed 1.5 lacs if not let out</v>
          </cell>
          <cell r="G38" t="str">
            <v>g</v>
          </cell>
        </row>
        <row r="39">
          <cell r="C39" t="str">
            <v>h</v>
          </cell>
          <cell r="D39" t="str">
            <v>Total (f + g)</v>
          </cell>
          <cell r="I39" t="str">
            <v>h</v>
          </cell>
          <cell r="J39">
            <v>0</v>
          </cell>
        </row>
        <row r="40">
          <cell r="C40" t="str">
            <v>i</v>
          </cell>
          <cell r="D40" t="str">
            <v>Income from house property (e – h)</v>
          </cell>
          <cell r="I40" t="str">
            <v>i</v>
          </cell>
          <cell r="J40">
            <v>0</v>
          </cell>
        </row>
        <row r="44">
          <cell r="J44">
            <v>0</v>
          </cell>
        </row>
        <row r="61">
          <cell r="D61" t="str">
            <v>01-ANDAMAN AND NICOBAR ISLANDS</v>
          </cell>
          <cell r="F61" t="str">
            <v>Y</v>
          </cell>
        </row>
        <row r="62">
          <cell r="D62" t="str">
            <v>02-ANDHRA PRADESH</v>
          </cell>
          <cell r="F62" t="str">
            <v>N</v>
          </cell>
        </row>
        <row r="63">
          <cell r="D63" t="str">
            <v>03-ARUNACHAL PRADESH</v>
          </cell>
        </row>
        <row r="64">
          <cell r="D64" t="str">
            <v>04-ASSAM</v>
          </cell>
        </row>
        <row r="65">
          <cell r="D65" t="str">
            <v>05-BIHAR</v>
          </cell>
        </row>
        <row r="66">
          <cell r="D66" t="str">
            <v>06-CHANDIGARH</v>
          </cell>
        </row>
        <row r="67">
          <cell r="D67" t="str">
            <v>07-DADRA AND NAGAR HAVELI</v>
          </cell>
        </row>
        <row r="68">
          <cell r="D68" t="str">
            <v>08-DAMAN AND DIU</v>
          </cell>
        </row>
        <row r="69">
          <cell r="D69" t="str">
            <v>09-DELHI</v>
          </cell>
        </row>
        <row r="70">
          <cell r="D70" t="str">
            <v>10-GOA</v>
          </cell>
        </row>
        <row r="71">
          <cell r="D71" t="str">
            <v>11-GUJARAT</v>
          </cell>
        </row>
        <row r="72">
          <cell r="D72" t="str">
            <v>12-HARYANA</v>
          </cell>
        </row>
        <row r="73">
          <cell r="D73" t="str">
            <v>13-HIMACHAL PRADESH</v>
          </cell>
        </row>
        <row r="74">
          <cell r="D74" t="str">
            <v>14-JAMMU AND KASHMIR</v>
          </cell>
        </row>
        <row r="75">
          <cell r="D75" t="str">
            <v>15-KARNATAKA</v>
          </cell>
        </row>
        <row r="76">
          <cell r="D76" t="str">
            <v>16-KERALA</v>
          </cell>
        </row>
        <row r="77">
          <cell r="D77" t="str">
            <v>17-LAKHSWADEEP</v>
          </cell>
        </row>
        <row r="78">
          <cell r="D78" t="str">
            <v>18-MADHYA PRADESH</v>
          </cell>
        </row>
        <row r="79">
          <cell r="D79" t="str">
            <v>19-MAHARASHTRA</v>
          </cell>
        </row>
        <row r="80">
          <cell r="D80" t="str">
            <v>20-MANIPUR</v>
          </cell>
        </row>
        <row r="81">
          <cell r="D81" t="str">
            <v>21-MEGHALAYA</v>
          </cell>
        </row>
        <row r="82">
          <cell r="D82" t="str">
            <v>22-MIZORAM</v>
          </cell>
        </row>
        <row r="83">
          <cell r="D83" t="str">
            <v>23-NAGALAND</v>
          </cell>
        </row>
        <row r="84">
          <cell r="D84" t="str">
            <v>24-ORISSA</v>
          </cell>
        </row>
        <row r="85">
          <cell r="D85" t="str">
            <v>25-PONDICHERRY</v>
          </cell>
        </row>
        <row r="86">
          <cell r="D86" t="str">
            <v>26-PUNJAB</v>
          </cell>
        </row>
        <row r="87">
          <cell r="D87" t="str">
            <v>27-RAJASTHAN</v>
          </cell>
        </row>
        <row r="88">
          <cell r="D88" t="str">
            <v>28-SIKKIM</v>
          </cell>
        </row>
        <row r="89">
          <cell r="D89" t="str">
            <v>29-TAMILNADU</v>
          </cell>
        </row>
        <row r="90">
          <cell r="D90" t="str">
            <v>30-TRIPURA</v>
          </cell>
        </row>
        <row r="91">
          <cell r="D91" t="str">
            <v>31-UTTAR PRADESH</v>
          </cell>
        </row>
        <row r="92">
          <cell r="D92" t="str">
            <v>32-WEST BENGAL</v>
          </cell>
        </row>
        <row r="93">
          <cell r="D93" t="str">
            <v>33-CHHATISHGARH</v>
          </cell>
        </row>
        <row r="94">
          <cell r="D94" t="str">
            <v>34-UTTARANCHAL</v>
          </cell>
        </row>
        <row r="95">
          <cell r="D95" t="str">
            <v>35-JHARKHAND</v>
          </cell>
        </row>
        <row r="96">
          <cell r="D96" t="str">
            <v>99-FOREIGN</v>
          </cell>
        </row>
      </sheetData>
      <sheetData sheetId="13" refreshError="1">
        <row r="1">
          <cell r="A1" t="str">
            <v>Schedule BP</v>
          </cell>
        </row>
        <row r="3">
          <cell r="J3">
            <v>5668628178</v>
          </cell>
        </row>
        <row r="5">
          <cell r="H5">
            <v>376146</v>
          </cell>
        </row>
        <row r="10">
          <cell r="H10">
            <v>334087092</v>
          </cell>
        </row>
        <row r="11">
          <cell r="H11">
            <v>334087092</v>
          </cell>
        </row>
        <row r="12">
          <cell r="J12">
            <v>5334164940</v>
          </cell>
        </row>
        <row r="15">
          <cell r="H15">
            <v>0</v>
          </cell>
        </row>
        <row r="16">
          <cell r="J16">
            <v>5334164940</v>
          </cell>
        </row>
        <row r="17">
          <cell r="J17">
            <v>60511284</v>
          </cell>
        </row>
        <row r="19">
          <cell r="H19">
            <v>85886972</v>
          </cell>
        </row>
        <row r="21">
          <cell r="J21">
            <v>85886972</v>
          </cell>
        </row>
        <row r="22">
          <cell r="J22">
            <v>5308789252</v>
          </cell>
        </row>
        <row r="23">
          <cell r="H23">
            <v>480820499</v>
          </cell>
        </row>
        <row r="24">
          <cell r="H24">
            <v>117803595</v>
          </cell>
        </row>
        <row r="25">
          <cell r="H25">
            <v>70420</v>
          </cell>
        </row>
        <row r="26">
          <cell r="H26">
            <v>6361551</v>
          </cell>
        </row>
        <row r="27">
          <cell r="H27">
            <v>0</v>
          </cell>
        </row>
        <row r="31">
          <cell r="H31">
            <v>873277561</v>
          </cell>
        </row>
        <row r="33">
          <cell r="J33">
            <v>1478333626</v>
          </cell>
        </row>
        <row r="35">
          <cell r="H35">
            <v>0</v>
          </cell>
        </row>
        <row r="36">
          <cell r="H36">
            <v>0</v>
          </cell>
        </row>
        <row r="37">
          <cell r="H37">
            <v>0</v>
          </cell>
        </row>
        <row r="41">
          <cell r="H41">
            <v>0</v>
          </cell>
        </row>
        <row r="42">
          <cell r="H42">
            <v>1198491760</v>
          </cell>
        </row>
        <row r="43">
          <cell r="J43">
            <v>1198491760</v>
          </cell>
        </row>
        <row r="44">
          <cell r="J44">
            <v>5588631118</v>
          </cell>
        </row>
        <row r="57">
          <cell r="J57">
            <v>0</v>
          </cell>
        </row>
        <row r="58">
          <cell r="J58">
            <v>5588631118</v>
          </cell>
        </row>
        <row r="60">
          <cell r="H60">
            <v>0</v>
          </cell>
        </row>
        <row r="61">
          <cell r="H61">
            <v>0</v>
          </cell>
        </row>
        <row r="62">
          <cell r="H62">
            <v>0</v>
          </cell>
        </row>
        <row r="63">
          <cell r="H63">
            <v>0</v>
          </cell>
        </row>
        <row r="64">
          <cell r="J64">
            <v>0</v>
          </cell>
        </row>
        <row r="65">
          <cell r="J65">
            <v>5588631118</v>
          </cell>
        </row>
        <row r="66">
          <cell r="J66">
            <v>5588631118</v>
          </cell>
        </row>
        <row r="71">
          <cell r="J71">
            <v>0</v>
          </cell>
        </row>
        <row r="72">
          <cell r="J72">
            <v>5588631118</v>
          </cell>
        </row>
      </sheetData>
      <sheetData sheetId="14" refreshError="1">
        <row r="1">
          <cell r="A1" t="str">
            <v>Schedule DPM</v>
          </cell>
          <cell r="C1" t="str">
            <v xml:space="preserve">Depreciation on Plant and Machinery </v>
          </cell>
        </row>
        <row r="2">
          <cell r="A2" t="str">
            <v>DEPRECIATION ON PLANT AND MACHINERY</v>
          </cell>
          <cell r="B2">
            <v>1</v>
          </cell>
          <cell r="C2" t="str">
            <v xml:space="preserve">Block of assets </v>
          </cell>
          <cell r="D2" t="str">
            <v xml:space="preserve">Plant and machinery </v>
          </cell>
        </row>
        <row r="3">
          <cell r="B3">
            <v>2</v>
          </cell>
          <cell r="C3" t="str">
            <v xml:space="preserve">Rate (%) </v>
          </cell>
          <cell r="D3">
            <v>15</v>
          </cell>
          <cell r="E3">
            <v>30</v>
          </cell>
          <cell r="F3">
            <v>40</v>
          </cell>
          <cell r="G3">
            <v>50</v>
          </cell>
          <cell r="H3">
            <v>60</v>
          </cell>
          <cell r="I3">
            <v>80</v>
          </cell>
          <cell r="J3">
            <v>100</v>
          </cell>
        </row>
        <row r="4">
          <cell r="D4" t="str">
            <v xml:space="preserve">(i) </v>
          </cell>
          <cell r="E4" t="str">
            <v xml:space="preserve">(ii) </v>
          </cell>
          <cell r="F4" t="str">
            <v xml:space="preserve">(iii) </v>
          </cell>
          <cell r="G4" t="str">
            <v xml:space="preserve">(iv) </v>
          </cell>
          <cell r="H4" t="str">
            <v xml:space="preserve">(v) </v>
          </cell>
          <cell r="I4" t="str">
            <v xml:space="preserve">(vi) </v>
          </cell>
          <cell r="J4" t="str">
            <v xml:space="preserve">(vii) </v>
          </cell>
        </row>
        <row r="5">
          <cell r="B5">
            <v>3</v>
          </cell>
          <cell r="C5" t="str">
            <v xml:space="preserve">Written down value on the first day of previous year   </v>
          </cell>
          <cell r="D5">
            <v>62061377</v>
          </cell>
          <cell r="H5">
            <v>53338558</v>
          </cell>
        </row>
        <row r="6">
          <cell r="B6">
            <v>4</v>
          </cell>
          <cell r="C6" t="str">
            <v xml:space="preserve">Additions for a period of 180 days or more in the previous year </v>
          </cell>
          <cell r="D6">
            <v>6784388</v>
          </cell>
          <cell r="H6">
            <v>7870884</v>
          </cell>
        </row>
        <row r="7">
          <cell r="B7">
            <v>5</v>
          </cell>
          <cell r="C7" t="str">
            <v>Consideration or other realization during the previous year out of  3 or  4</v>
          </cell>
          <cell r="D7">
            <v>376804</v>
          </cell>
          <cell r="H7">
            <v>402909</v>
          </cell>
        </row>
        <row r="8">
          <cell r="B8">
            <v>6</v>
          </cell>
          <cell r="C8" t="str">
            <v xml:space="preserve">Amount on which depreciation at full rate to be allowed (3 + 4 -5)  </v>
          </cell>
          <cell r="D8">
            <v>68468961</v>
          </cell>
          <cell r="E8">
            <v>0</v>
          </cell>
          <cell r="F8">
            <v>0</v>
          </cell>
          <cell r="G8">
            <v>0</v>
          </cell>
          <cell r="H8">
            <v>60806533</v>
          </cell>
          <cell r="I8">
            <v>0</v>
          </cell>
          <cell r="J8">
            <v>0</v>
          </cell>
        </row>
        <row r="9">
          <cell r="B9">
            <v>7</v>
          </cell>
          <cell r="C9" t="str">
            <v xml:space="preserve">Additions for a period of less than 180 days in the previous year   </v>
          </cell>
          <cell r="D9">
            <v>39228087</v>
          </cell>
          <cell r="H9">
            <v>59677921</v>
          </cell>
        </row>
        <row r="10">
          <cell r="B10">
            <v>8</v>
          </cell>
          <cell r="C10" t="str">
            <v xml:space="preserve">Consideration or other realizations during the year out of 7 </v>
          </cell>
        </row>
        <row r="11">
          <cell r="B11">
            <v>9</v>
          </cell>
          <cell r="C11" t="str">
            <v xml:space="preserve">Amount on which depreciation at half rate to be allowed (7 – 8)   </v>
          </cell>
          <cell r="D11">
            <v>39228087</v>
          </cell>
          <cell r="E11">
            <v>0</v>
          </cell>
          <cell r="F11">
            <v>0</v>
          </cell>
          <cell r="G11">
            <v>0</v>
          </cell>
          <cell r="H11">
            <v>59677921</v>
          </cell>
          <cell r="I11">
            <v>0</v>
          </cell>
          <cell r="J11">
            <v>0</v>
          </cell>
        </row>
        <row r="12">
          <cell r="B12">
            <v>10</v>
          </cell>
          <cell r="C12" t="str">
            <v xml:space="preserve">Depreciation on 6 at full rate  </v>
          </cell>
          <cell r="D12">
            <v>10270344</v>
          </cell>
          <cell r="E12">
            <v>0</v>
          </cell>
          <cell r="F12">
            <v>0</v>
          </cell>
          <cell r="G12">
            <v>0</v>
          </cell>
          <cell r="H12">
            <v>36483920</v>
          </cell>
          <cell r="I12">
            <v>0</v>
          </cell>
          <cell r="J12">
            <v>0</v>
          </cell>
        </row>
        <row r="13">
          <cell r="B13">
            <v>11</v>
          </cell>
          <cell r="C13" t="str">
            <v xml:space="preserve">Depreciation on 9 at half rate </v>
          </cell>
          <cell r="D13">
            <v>2942107</v>
          </cell>
          <cell r="E13">
            <v>0</v>
          </cell>
          <cell r="F13">
            <v>0</v>
          </cell>
          <cell r="G13">
            <v>0</v>
          </cell>
          <cell r="H13">
            <v>17903376</v>
          </cell>
          <cell r="I13">
            <v>0</v>
          </cell>
          <cell r="J13">
            <v>0</v>
          </cell>
        </row>
        <row r="14">
          <cell r="B14">
            <v>12</v>
          </cell>
          <cell r="C14" t="str">
            <v xml:space="preserve">Additional depreciation, if any, on 4 </v>
          </cell>
        </row>
        <row r="15">
          <cell r="B15">
            <v>13</v>
          </cell>
          <cell r="C15" t="str">
            <v xml:space="preserve">Additional depreciation, if any, on 7 </v>
          </cell>
        </row>
        <row r="16">
          <cell r="B16">
            <v>14</v>
          </cell>
          <cell r="C16" t="str">
            <v xml:space="preserve">Total depreciation (10+11+12+13) </v>
          </cell>
          <cell r="D16">
            <v>13212451</v>
          </cell>
          <cell r="E16">
            <v>0</v>
          </cell>
          <cell r="F16">
            <v>0</v>
          </cell>
          <cell r="G16">
            <v>0</v>
          </cell>
          <cell r="H16">
            <v>54387296</v>
          </cell>
          <cell r="I16">
            <v>0</v>
          </cell>
          <cell r="J16">
            <v>0</v>
          </cell>
        </row>
        <row r="17">
          <cell r="B17">
            <v>15</v>
          </cell>
          <cell r="C17" t="str">
            <v xml:space="preserve">Expenditure incurred in connection with transfer of asset/ assets </v>
          </cell>
        </row>
        <row r="18">
          <cell r="B18">
            <v>16</v>
          </cell>
          <cell r="C18" t="str">
            <v>Capital gains/ loss under section 50 (5 + 8 -3-4 -7 -15)  (enter negative only if block ceases to exist)</v>
          </cell>
        </row>
        <row r="19">
          <cell r="B19">
            <v>17</v>
          </cell>
          <cell r="C19" t="str">
            <v xml:space="preserve">Written down value on the last day of previous year* (6+ 9 -14)    </v>
          </cell>
          <cell r="D19">
            <v>94484597</v>
          </cell>
          <cell r="E19">
            <v>0</v>
          </cell>
          <cell r="F19">
            <v>0</v>
          </cell>
          <cell r="G19">
            <v>0</v>
          </cell>
          <cell r="H19">
            <v>66097158</v>
          </cell>
          <cell r="I19">
            <v>0</v>
          </cell>
          <cell r="J19">
            <v>0</v>
          </cell>
        </row>
        <row r="21">
          <cell r="A21" t="str">
            <v xml:space="preserve">Schedule DOA </v>
          </cell>
          <cell r="C21" t="str">
            <v xml:space="preserve">Depreciation on other assets </v>
          </cell>
        </row>
        <row r="22">
          <cell r="A22" t="str">
            <v>DEPRECIATION ON OTHER ASSETS</v>
          </cell>
          <cell r="B22">
            <v>1</v>
          </cell>
          <cell r="C22" t="str">
            <v xml:space="preserve">Block of assets </v>
          </cell>
          <cell r="D22" t="str">
            <v xml:space="preserve">Building </v>
          </cell>
          <cell r="G22" t="str">
            <v>Furniture and fittings</v>
          </cell>
          <cell r="H22" t="str">
            <v xml:space="preserve">Intangible </v>
          </cell>
          <cell r="I22" t="str">
            <v xml:space="preserve">Ships </v>
          </cell>
        </row>
        <row r="24">
          <cell r="B24">
            <v>2</v>
          </cell>
          <cell r="C24" t="str">
            <v xml:space="preserve">Rate (%) </v>
          </cell>
          <cell r="D24">
            <v>5</v>
          </cell>
          <cell r="E24">
            <v>10</v>
          </cell>
          <cell r="F24">
            <v>100</v>
          </cell>
          <cell r="G24">
            <v>10</v>
          </cell>
          <cell r="H24">
            <v>25</v>
          </cell>
          <cell r="I24">
            <v>20</v>
          </cell>
        </row>
        <row r="25">
          <cell r="D25" t="str">
            <v xml:space="preserve">(i) </v>
          </cell>
          <cell r="E25" t="str">
            <v xml:space="preserve">(ii) </v>
          </cell>
          <cell r="F25" t="str">
            <v xml:space="preserve">(iii) </v>
          </cell>
          <cell r="G25" t="str">
            <v xml:space="preserve">(iv) </v>
          </cell>
          <cell r="H25" t="str">
            <v xml:space="preserve">(v) </v>
          </cell>
          <cell r="I25" t="str">
            <v xml:space="preserve">(vi) </v>
          </cell>
        </row>
        <row r="26">
          <cell r="B26">
            <v>3</v>
          </cell>
          <cell r="C26" t="str">
            <v xml:space="preserve">Written down value on the first day of previous year  </v>
          </cell>
          <cell r="G26">
            <v>153285776</v>
          </cell>
        </row>
        <row r="27">
          <cell r="B27">
            <v>4</v>
          </cell>
          <cell r="C27" t="str">
            <v xml:space="preserve">Additions for a period of 180 days or more in the previous year  </v>
          </cell>
          <cell r="G27">
            <v>9890877</v>
          </cell>
        </row>
        <row r="28">
          <cell r="B28">
            <v>5</v>
          </cell>
          <cell r="C28" t="str">
            <v xml:space="preserve">Consideration or other realization during the previous year out of  3 or  4  </v>
          </cell>
        </row>
        <row r="29">
          <cell r="B29">
            <v>6</v>
          </cell>
          <cell r="C29" t="str">
            <v xml:space="preserve">Amount  on which depreciation  at  full rate to be allowed (3 + 4  -5)    </v>
          </cell>
          <cell r="D29">
            <v>0</v>
          </cell>
          <cell r="E29">
            <v>0</v>
          </cell>
          <cell r="F29">
            <v>0</v>
          </cell>
          <cell r="G29">
            <v>163176653</v>
          </cell>
          <cell r="H29">
            <v>0</v>
          </cell>
          <cell r="I29">
            <v>0</v>
          </cell>
        </row>
        <row r="30">
          <cell r="B30">
            <v>7</v>
          </cell>
          <cell r="C30" t="str">
            <v xml:space="preserve">Additions for a period of less than 180 days in the previous year    </v>
          </cell>
          <cell r="G30">
            <v>39391194</v>
          </cell>
        </row>
        <row r="31">
          <cell r="B31">
            <v>8</v>
          </cell>
          <cell r="C31" t="str">
            <v xml:space="preserve">Consideration or other realizations during the year out of 7 </v>
          </cell>
        </row>
        <row r="32">
          <cell r="B32">
            <v>9</v>
          </cell>
          <cell r="C32" t="str">
            <v xml:space="preserve">Amount  on  which depreciation at half rate to be allowed (7-8)  </v>
          </cell>
          <cell r="D32">
            <v>0</v>
          </cell>
          <cell r="E32">
            <v>0</v>
          </cell>
          <cell r="F32">
            <v>0</v>
          </cell>
          <cell r="G32">
            <v>39391194</v>
          </cell>
          <cell r="H32">
            <v>0</v>
          </cell>
          <cell r="I32">
            <v>0</v>
          </cell>
        </row>
        <row r="33">
          <cell r="B33">
            <v>10</v>
          </cell>
          <cell r="C33" t="str">
            <v xml:space="preserve">Depreciation on 6 at full rate  </v>
          </cell>
          <cell r="D33">
            <v>0</v>
          </cell>
          <cell r="E33">
            <v>0</v>
          </cell>
          <cell r="F33">
            <v>0</v>
          </cell>
          <cell r="G33">
            <v>16317665</v>
          </cell>
          <cell r="H33">
            <v>0</v>
          </cell>
          <cell r="I33">
            <v>0</v>
          </cell>
        </row>
        <row r="34">
          <cell r="B34">
            <v>11</v>
          </cell>
          <cell r="C34" t="str">
            <v xml:space="preserve">Depreciation on 9 at half rate </v>
          </cell>
          <cell r="D34">
            <v>0</v>
          </cell>
          <cell r="E34">
            <v>0</v>
          </cell>
          <cell r="F34">
            <v>0</v>
          </cell>
          <cell r="G34">
            <v>1969560</v>
          </cell>
          <cell r="H34">
            <v>0</v>
          </cell>
          <cell r="I34">
            <v>0</v>
          </cell>
        </row>
        <row r="35">
          <cell r="B35">
            <v>12</v>
          </cell>
          <cell r="C35" t="str">
            <v xml:space="preserve">Additional depreciation, if any, on 4 </v>
          </cell>
        </row>
        <row r="36">
          <cell r="B36">
            <v>13</v>
          </cell>
          <cell r="C36" t="str">
            <v xml:space="preserve">Additional depreciation, if any, on 7 </v>
          </cell>
        </row>
        <row r="37">
          <cell r="B37">
            <v>14</v>
          </cell>
          <cell r="C37" t="str">
            <v xml:space="preserve">Total depreciation (10+11+12+13) </v>
          </cell>
          <cell r="D37">
            <v>0</v>
          </cell>
          <cell r="E37">
            <v>0</v>
          </cell>
          <cell r="F37">
            <v>0</v>
          </cell>
          <cell r="G37">
            <v>18287225</v>
          </cell>
          <cell r="H37">
            <v>0</v>
          </cell>
          <cell r="I37">
            <v>0</v>
          </cell>
        </row>
        <row r="38">
          <cell r="B38">
            <v>15</v>
          </cell>
          <cell r="C38" t="str">
            <v xml:space="preserve">Expenditure incurred in connection with transfer of asset/ assets </v>
          </cell>
        </row>
        <row r="39">
          <cell r="B39">
            <v>16</v>
          </cell>
          <cell r="C39" t="str">
            <v>Capital gains/ loss under section 50* (5 + 8 -3-4 -7 -15)      (enter negative only if block ceases to exist)</v>
          </cell>
        </row>
        <row r="40">
          <cell r="B40">
            <v>17</v>
          </cell>
          <cell r="C40" t="str">
            <v xml:space="preserve">Written down value on the last day of previous year* (6+ 9 -14)  </v>
          </cell>
          <cell r="D40">
            <v>0</v>
          </cell>
          <cell r="E40">
            <v>0</v>
          </cell>
          <cell r="F40">
            <v>0</v>
          </cell>
          <cell r="G40">
            <v>184280622</v>
          </cell>
          <cell r="H40">
            <v>0</v>
          </cell>
          <cell r="I40">
            <v>0</v>
          </cell>
        </row>
      </sheetData>
      <sheetData sheetId="15" refreshError="1">
        <row r="1">
          <cell r="A1" t="str">
            <v>Schedule DEP</v>
          </cell>
          <cell r="C1" t="str">
            <v>Summary of depreciation on assets</v>
          </cell>
        </row>
        <row r="2">
          <cell r="A2" t="str">
            <v>SUMMARY OF DEPRECIATION ON ASSETS</v>
          </cell>
          <cell r="B2">
            <v>1</v>
          </cell>
          <cell r="C2" t="str">
            <v xml:space="preserve">Plant and machinery </v>
          </cell>
        </row>
        <row r="3">
          <cell r="C3" t="str">
            <v xml:space="preserve">a </v>
          </cell>
          <cell r="D3" t="str">
            <v xml:space="preserve">Block entitled for depreciation @ 15 per cent ( Schedule DPM - 14 i) </v>
          </cell>
          <cell r="E3" t="str">
            <v>1a</v>
          </cell>
          <cell r="F3">
            <v>13212451</v>
          </cell>
        </row>
        <row r="4">
          <cell r="C4" t="str">
            <v xml:space="preserve">b </v>
          </cell>
          <cell r="D4" t="str">
            <v>Block entitled for depreciation @ 30 per cent ( Schedule DPM - 14 ii)</v>
          </cell>
          <cell r="E4" t="str">
            <v>1b</v>
          </cell>
          <cell r="F4">
            <v>0</v>
          </cell>
        </row>
        <row r="5">
          <cell r="C5" t="str">
            <v xml:space="preserve">c </v>
          </cell>
          <cell r="D5" t="str">
            <v>Block entitled for depreciation @ 40 per cent ( Schedule DPM - 14 iii)</v>
          </cell>
          <cell r="E5" t="str">
            <v>1c</v>
          </cell>
          <cell r="F5">
            <v>0</v>
          </cell>
        </row>
        <row r="6">
          <cell r="C6" t="str">
            <v xml:space="preserve">d </v>
          </cell>
          <cell r="D6" t="str">
            <v>Block entitled for depreciation @ 50 per cent ( Schedule DPM - 14 iv)</v>
          </cell>
          <cell r="E6" t="str">
            <v>1d</v>
          </cell>
          <cell r="F6">
            <v>0</v>
          </cell>
        </row>
        <row r="7">
          <cell r="C7" t="str">
            <v xml:space="preserve">e </v>
          </cell>
          <cell r="D7" t="str">
            <v>Block entitled for depreciation @ 60 per cent ( Schedule DPM - 14 v)</v>
          </cell>
          <cell r="E7" t="str">
            <v>1e</v>
          </cell>
          <cell r="F7">
            <v>54387296</v>
          </cell>
        </row>
        <row r="8">
          <cell r="C8" t="str">
            <v xml:space="preserve">f </v>
          </cell>
          <cell r="D8" t="str">
            <v>Block entitled for depreciation @ 80 per cent ( Schedule DPM – 14 vi)</v>
          </cell>
          <cell r="E8" t="str">
            <v>1f</v>
          </cell>
          <cell r="F8">
            <v>0</v>
          </cell>
        </row>
        <row r="9">
          <cell r="C9" t="str">
            <v xml:space="preserve">g </v>
          </cell>
          <cell r="D9" t="str">
            <v>Block entitled for depreciation @ 100 per cent ( Schedule DPM - 14 vii)</v>
          </cell>
          <cell r="E9" t="str">
            <v>1g</v>
          </cell>
          <cell r="F9">
            <v>0</v>
          </cell>
        </row>
        <row r="10">
          <cell r="C10" t="str">
            <v xml:space="preserve">h </v>
          </cell>
          <cell r="D10" t="str">
            <v xml:space="preserve">Total depreciation on plant and machinery ( 1a + 1b + 1c + 1d+ 1e + 1f + 1g ) </v>
          </cell>
          <cell r="G10" t="str">
            <v>1h</v>
          </cell>
          <cell r="H10">
            <v>67599747</v>
          </cell>
        </row>
        <row r="11">
          <cell r="B11">
            <v>2</v>
          </cell>
          <cell r="C11" t="str">
            <v xml:space="preserve">Building </v>
          </cell>
        </row>
        <row r="12">
          <cell r="C12" t="str">
            <v xml:space="preserve">a </v>
          </cell>
          <cell r="D12" t="str">
            <v xml:space="preserve">Block entitled for depreciation @ 5 per cent (Schedule DOA- 14i)    </v>
          </cell>
          <cell r="E12" t="str">
            <v>2a</v>
          </cell>
          <cell r="F12">
            <v>0</v>
          </cell>
        </row>
        <row r="13">
          <cell r="C13" t="str">
            <v xml:space="preserve">b </v>
          </cell>
          <cell r="D13" t="str">
            <v xml:space="preserve">Block entitled for depreciation @ 10 per cent DOA- 14ii) </v>
          </cell>
          <cell r="E13" t="str">
            <v>2b</v>
          </cell>
          <cell r="F13">
            <v>0</v>
          </cell>
        </row>
        <row r="14">
          <cell r="C14" t="str">
            <v xml:space="preserve">c </v>
          </cell>
          <cell r="D14" t="str">
            <v>Block entitled for depreciation @ 100 per cent (Schedule DOA- 14iii)</v>
          </cell>
          <cell r="E14" t="str">
            <v>2c</v>
          </cell>
          <cell r="F14">
            <v>0</v>
          </cell>
        </row>
        <row r="15">
          <cell r="C15" t="str">
            <v xml:space="preserve">d </v>
          </cell>
          <cell r="D15" t="str">
            <v xml:space="preserve">Total depreciation on building (2a+2b+2c) </v>
          </cell>
          <cell r="G15" t="str">
            <v>2d</v>
          </cell>
          <cell r="H15">
            <v>0</v>
          </cell>
        </row>
        <row r="16">
          <cell r="B16">
            <v>3</v>
          </cell>
          <cell r="C16" t="str">
            <v>Furniture and fittings (Schedule DOA- 14 iv)</v>
          </cell>
          <cell r="G16">
            <v>3</v>
          </cell>
          <cell r="H16">
            <v>18287225</v>
          </cell>
        </row>
        <row r="17">
          <cell r="B17">
            <v>4</v>
          </cell>
          <cell r="C17" t="str">
            <v>Intangible assets (Schedule DOA- 14 v)</v>
          </cell>
          <cell r="G17">
            <v>4</v>
          </cell>
          <cell r="H17">
            <v>0</v>
          </cell>
        </row>
        <row r="18">
          <cell r="B18">
            <v>5</v>
          </cell>
          <cell r="C18" t="str">
            <v>Ships (Schedule DOA- 14 vi)</v>
          </cell>
          <cell r="G18">
            <v>5</v>
          </cell>
          <cell r="H18">
            <v>0</v>
          </cell>
        </row>
        <row r="19">
          <cell r="B19">
            <v>6</v>
          </cell>
          <cell r="C19" t="str">
            <v xml:space="preserve">Total depreciation ( 1h+2d+3+4+5) </v>
          </cell>
          <cell r="G19">
            <v>6</v>
          </cell>
          <cell r="H19">
            <v>85886972</v>
          </cell>
        </row>
        <row r="21">
          <cell r="A21" t="str">
            <v>Schedule DCG</v>
          </cell>
          <cell r="C21" t="str">
            <v>Deemed Capital Gains on sale of depreciable assets</v>
          </cell>
        </row>
        <row r="22">
          <cell r="B22">
            <v>1</v>
          </cell>
          <cell r="C22" t="str">
            <v xml:space="preserve">Plant and machinery </v>
          </cell>
        </row>
        <row r="23">
          <cell r="C23" t="str">
            <v xml:space="preserve">a </v>
          </cell>
          <cell r="D23" t="str">
            <v xml:space="preserve">Block entitled for depreciation @ 15 per cent (Schedule DPM - 16i)  </v>
          </cell>
          <cell r="E23" t="str">
            <v>1a</v>
          </cell>
          <cell r="F23">
            <v>0</v>
          </cell>
        </row>
        <row r="24">
          <cell r="C24" t="str">
            <v xml:space="preserve">b </v>
          </cell>
          <cell r="D24" t="str">
            <v>Block entitled for depreciation @ 30 per cent (Schedule DPM – 16ii)</v>
          </cell>
          <cell r="E24" t="str">
            <v>1b</v>
          </cell>
          <cell r="F24">
            <v>0</v>
          </cell>
        </row>
        <row r="25">
          <cell r="C25" t="str">
            <v xml:space="preserve">c </v>
          </cell>
          <cell r="D25" t="str">
            <v>Block entitled for depreciation @  40 per cent (Schedule DPM - 16iii)</v>
          </cell>
          <cell r="E25" t="str">
            <v>1c</v>
          </cell>
          <cell r="F25">
            <v>0</v>
          </cell>
        </row>
        <row r="26">
          <cell r="C26" t="str">
            <v xml:space="preserve">d </v>
          </cell>
          <cell r="D26" t="str">
            <v>Block entitled for depreciation @ 50 per cent (Schedule DPM - 16iv)</v>
          </cell>
          <cell r="E26" t="str">
            <v>1d</v>
          </cell>
          <cell r="F26">
            <v>0</v>
          </cell>
        </row>
        <row r="27">
          <cell r="C27" t="str">
            <v xml:space="preserve">e </v>
          </cell>
          <cell r="D27" t="str">
            <v>Block entitled for depreciation @ 60 per cent (Schedule DPM – 16v)</v>
          </cell>
          <cell r="E27" t="str">
            <v>1e</v>
          </cell>
          <cell r="F27">
            <v>0</v>
          </cell>
        </row>
        <row r="28">
          <cell r="C28" t="str">
            <v xml:space="preserve">f </v>
          </cell>
          <cell r="D28" t="str">
            <v>Block entitled for depreciation @ 80 per cent (Schedule DPM – 16vi)</v>
          </cell>
          <cell r="E28" t="str">
            <v>1f</v>
          </cell>
          <cell r="F28">
            <v>0</v>
          </cell>
        </row>
        <row r="29">
          <cell r="C29" t="str">
            <v xml:space="preserve">g </v>
          </cell>
          <cell r="D29" t="str">
            <v>Block entitled for depreciation @ 100 per cent (Schedule DPM – 16vii)</v>
          </cell>
          <cell r="E29" t="str">
            <v>1g</v>
          </cell>
          <cell r="F29">
            <v>0</v>
          </cell>
        </row>
        <row r="30">
          <cell r="C30" t="str">
            <v xml:space="preserve">h </v>
          </cell>
          <cell r="D30" t="str">
            <v xml:space="preserve">Total ( 1a +1b + 1c + 1d + 1e + 1f + 1g) </v>
          </cell>
          <cell r="G30" t="str">
            <v>1h</v>
          </cell>
          <cell r="H30">
            <v>0</v>
          </cell>
        </row>
        <row r="31">
          <cell r="B31">
            <v>2</v>
          </cell>
          <cell r="C31" t="str">
            <v xml:space="preserve">Building </v>
          </cell>
        </row>
        <row r="32">
          <cell r="C32" t="str">
            <v xml:space="preserve">a </v>
          </cell>
          <cell r="D32" t="str">
            <v xml:space="preserve">Block entitled for depreciation @ 5 per cent (Schedule DOA- 16i) </v>
          </cell>
          <cell r="E32" t="str">
            <v>2a</v>
          </cell>
          <cell r="F32">
            <v>0</v>
          </cell>
        </row>
        <row r="33">
          <cell r="C33" t="str">
            <v xml:space="preserve">b </v>
          </cell>
          <cell r="D33" t="str">
            <v>Block entitled for depreciation @ 10 per cent (Schedule DOA- 16ii)</v>
          </cell>
          <cell r="E33" t="str">
            <v>2b</v>
          </cell>
          <cell r="F33">
            <v>0</v>
          </cell>
        </row>
        <row r="34">
          <cell r="C34" t="str">
            <v xml:space="preserve">c </v>
          </cell>
          <cell r="D34" t="str">
            <v>Block entitled for depreciation @ 100 per cent (Schedule DOA- 16iii)</v>
          </cell>
          <cell r="E34" t="str">
            <v>2c</v>
          </cell>
          <cell r="F34">
            <v>0</v>
          </cell>
        </row>
        <row r="35">
          <cell r="C35" t="str">
            <v xml:space="preserve">d </v>
          </cell>
          <cell r="D35" t="str">
            <v xml:space="preserve">Total ( 2a + 2b + 2c) </v>
          </cell>
          <cell r="G35" t="str">
            <v>2d</v>
          </cell>
          <cell r="H35">
            <v>0</v>
          </cell>
        </row>
        <row r="36">
          <cell r="B36">
            <v>3</v>
          </cell>
          <cell r="C36" t="str">
            <v>Furniture and fittings ( Schedule DOA- 16iv)</v>
          </cell>
          <cell r="G36">
            <v>3</v>
          </cell>
          <cell r="H36">
            <v>0</v>
          </cell>
        </row>
        <row r="37">
          <cell r="B37">
            <v>4</v>
          </cell>
          <cell r="C37" t="str">
            <v>Intangible assets (Schedule DOA- 16v)</v>
          </cell>
          <cell r="G37">
            <v>4</v>
          </cell>
          <cell r="H37">
            <v>0</v>
          </cell>
        </row>
        <row r="38">
          <cell r="B38">
            <v>5</v>
          </cell>
          <cell r="C38" t="str">
            <v>Ships (Schedule DOA- 16vi)</v>
          </cell>
          <cell r="G38">
            <v>5</v>
          </cell>
          <cell r="H38">
            <v>0</v>
          </cell>
        </row>
        <row r="39">
          <cell r="B39">
            <v>6</v>
          </cell>
          <cell r="C39" t="str">
            <v>Total ( 1h+2d+3+4+5)</v>
          </cell>
          <cell r="G39">
            <v>6</v>
          </cell>
          <cell r="H39">
            <v>0</v>
          </cell>
        </row>
      </sheetData>
      <sheetData sheetId="16" refreshError="1">
        <row r="1">
          <cell r="A1" t="str">
            <v>Schedule ESR</v>
          </cell>
          <cell r="C1" t="str">
            <v>Deduction under section 35</v>
          </cell>
        </row>
        <row r="2">
          <cell r="A2" t="str">
            <v>Sl No</v>
          </cell>
          <cell r="B2" t="str">
            <v>Expenditure of the nature referred to in section (1)</v>
          </cell>
          <cell r="C2" t="str">
            <v>Amount, if any, debited to profit and loss account (2)</v>
          </cell>
          <cell r="D2" t="str">
            <v>Amount of deduction allowable (3)</v>
          </cell>
          <cell r="E2" t="str">
            <v>Amount of deduction in excess of the amount debited to profit and loss account (4) = (3) - (2)</v>
          </cell>
        </row>
        <row r="3">
          <cell r="A3" t="str">
            <v>i</v>
          </cell>
          <cell r="B3" t="str">
            <v>35(1)(i)</v>
          </cell>
          <cell r="E3">
            <v>0</v>
          </cell>
        </row>
        <row r="4">
          <cell r="A4" t="str">
            <v>ii</v>
          </cell>
          <cell r="B4" t="str">
            <v>35(1)(ii)</v>
          </cell>
          <cell r="E4">
            <v>0</v>
          </cell>
        </row>
        <row r="5">
          <cell r="A5" t="str">
            <v>iii</v>
          </cell>
          <cell r="B5" t="str">
            <v>35(1)(iii)</v>
          </cell>
          <cell r="E5">
            <v>0</v>
          </cell>
        </row>
        <row r="6">
          <cell r="A6" t="str">
            <v>iv</v>
          </cell>
          <cell r="B6" t="str">
            <v>35(1)(iv)</v>
          </cell>
          <cell r="E6">
            <v>0</v>
          </cell>
        </row>
        <row r="7">
          <cell r="A7" t="str">
            <v>v</v>
          </cell>
          <cell r="B7" t="str">
            <v>35(2AA)</v>
          </cell>
          <cell r="E7">
            <v>0</v>
          </cell>
        </row>
        <row r="8">
          <cell r="A8" t="str">
            <v>vi</v>
          </cell>
          <cell r="B8" t="str">
            <v>35(2AB)</v>
          </cell>
          <cell r="E8">
            <v>0</v>
          </cell>
        </row>
        <row r="9">
          <cell r="A9" t="str">
            <v>vii</v>
          </cell>
          <cell r="B9" t="str">
            <v>Total</v>
          </cell>
          <cell r="C9">
            <v>0</v>
          </cell>
          <cell r="D9">
            <v>0</v>
          </cell>
          <cell r="E9">
            <v>0</v>
          </cell>
        </row>
      </sheetData>
      <sheetData sheetId="17" refreshError="1">
        <row r="1">
          <cell r="A1" t="str">
            <v>Schedule CG</v>
          </cell>
        </row>
        <row r="6">
          <cell r="H6">
            <v>0</v>
          </cell>
        </row>
        <row r="8">
          <cell r="J8">
            <v>0</v>
          </cell>
        </row>
        <row r="11">
          <cell r="H11">
            <v>893614893977</v>
          </cell>
        </row>
        <row r="13">
          <cell r="H13">
            <v>893614517831</v>
          </cell>
        </row>
        <row r="16">
          <cell r="H16">
            <v>893614517831</v>
          </cell>
        </row>
        <row r="17">
          <cell r="H17">
            <v>376146</v>
          </cell>
        </row>
        <row r="20">
          <cell r="J20">
            <v>376146</v>
          </cell>
        </row>
        <row r="21">
          <cell r="J21">
            <v>0</v>
          </cell>
        </row>
        <row r="23">
          <cell r="J23">
            <v>376146</v>
          </cell>
        </row>
        <row r="25">
          <cell r="J25">
            <v>376146</v>
          </cell>
        </row>
        <row r="30">
          <cell r="H30">
            <v>0</v>
          </cell>
        </row>
        <row r="32">
          <cell r="J32">
            <v>0</v>
          </cell>
        </row>
        <row r="40">
          <cell r="H40">
            <v>0</v>
          </cell>
        </row>
        <row r="41">
          <cell r="H41">
            <v>0</v>
          </cell>
        </row>
        <row r="43">
          <cell r="J43">
            <v>0</v>
          </cell>
        </row>
        <row r="50">
          <cell r="H50">
            <v>0</v>
          </cell>
        </row>
        <row r="51">
          <cell r="H51">
            <v>0</v>
          </cell>
        </row>
        <row r="53">
          <cell r="J53">
            <v>0</v>
          </cell>
        </row>
        <row r="55">
          <cell r="J55">
            <v>0</v>
          </cell>
        </row>
        <row r="56">
          <cell r="J56">
            <v>376146</v>
          </cell>
        </row>
        <row r="64">
          <cell r="A64" t="str">
            <v>Schedule OS</v>
          </cell>
        </row>
        <row r="70">
          <cell r="J70">
            <v>0</v>
          </cell>
        </row>
        <row r="74">
          <cell r="H74">
            <v>0</v>
          </cell>
        </row>
        <row r="75">
          <cell r="J75">
            <v>0</v>
          </cell>
        </row>
        <row r="77">
          <cell r="J77">
            <v>0</v>
          </cell>
        </row>
        <row r="81">
          <cell r="J81">
            <v>0</v>
          </cell>
        </row>
        <row r="82">
          <cell r="J82">
            <v>0</v>
          </cell>
        </row>
      </sheetData>
      <sheetData sheetId="18" refreshError="1">
        <row r="1">
          <cell r="A1" t="str">
            <v>Schedule CYLA</v>
          </cell>
        </row>
        <row r="4">
          <cell r="E4">
            <v>0</v>
          </cell>
          <cell r="F4">
            <v>0</v>
          </cell>
          <cell r="G4">
            <v>0</v>
          </cell>
        </row>
        <row r="6">
          <cell r="D6">
            <v>0</v>
          </cell>
          <cell r="H6">
            <v>0</v>
          </cell>
        </row>
        <row r="7">
          <cell r="D7">
            <v>5588631118</v>
          </cell>
          <cell r="H7">
            <v>5588631118</v>
          </cell>
        </row>
        <row r="8">
          <cell r="D8">
            <v>376146</v>
          </cell>
          <cell r="H8">
            <v>376146</v>
          </cell>
        </row>
        <row r="9">
          <cell r="D9">
            <v>0</v>
          </cell>
          <cell r="H9">
            <v>0</v>
          </cell>
        </row>
        <row r="10">
          <cell r="D10">
            <v>0</v>
          </cell>
          <cell r="H10">
            <v>0</v>
          </cell>
        </row>
        <row r="11">
          <cell r="E11">
            <v>0</v>
          </cell>
          <cell r="F11">
            <v>0</v>
          </cell>
          <cell r="G11">
            <v>0</v>
          </cell>
        </row>
        <row r="12">
          <cell r="E12">
            <v>0</v>
          </cell>
          <cell r="F12">
            <v>0</v>
          </cell>
          <cell r="G12">
            <v>0</v>
          </cell>
        </row>
        <row r="14">
          <cell r="A14" t="str">
            <v>Schedule BFLA</v>
          </cell>
        </row>
        <row r="17">
          <cell r="D17">
            <v>0</v>
          </cell>
          <cell r="H17">
            <v>0</v>
          </cell>
        </row>
        <row r="18">
          <cell r="D18">
            <v>5588631118</v>
          </cell>
          <cell r="H18">
            <v>5588631118</v>
          </cell>
        </row>
        <row r="19">
          <cell r="D19">
            <v>376146</v>
          </cell>
          <cell r="H19">
            <v>376146</v>
          </cell>
        </row>
        <row r="20">
          <cell r="D20">
            <v>0</v>
          </cell>
          <cell r="H20">
            <v>0</v>
          </cell>
        </row>
        <row r="21">
          <cell r="D21">
            <v>0</v>
          </cell>
          <cell r="H21">
            <v>0</v>
          </cell>
        </row>
        <row r="22">
          <cell r="E22">
            <v>0</v>
          </cell>
          <cell r="F22">
            <v>0</v>
          </cell>
          <cell r="G22">
            <v>0</v>
          </cell>
        </row>
        <row r="23">
          <cell r="H23">
            <v>5589007264</v>
          </cell>
        </row>
      </sheetData>
      <sheetData sheetId="19" refreshError="1">
        <row r="1">
          <cell r="A1" t="str">
            <v>Schedule CFL</v>
          </cell>
        </row>
        <row r="11">
          <cell r="E11">
            <v>0</v>
          </cell>
          <cell r="F11">
            <v>0</v>
          </cell>
          <cell r="G11">
            <v>0</v>
          </cell>
          <cell r="H11">
            <v>0</v>
          </cell>
          <cell r="I11">
            <v>0</v>
          </cell>
          <cell r="K11">
            <v>0</v>
          </cell>
        </row>
        <row r="12">
          <cell r="E12">
            <v>0</v>
          </cell>
          <cell r="H12">
            <v>0</v>
          </cell>
          <cell r="I12">
            <v>0</v>
          </cell>
          <cell r="K12">
            <v>0</v>
          </cell>
        </row>
        <row r="13">
          <cell r="E13">
            <v>0</v>
          </cell>
          <cell r="F13">
            <v>0</v>
          </cell>
          <cell r="G13">
            <v>0</v>
          </cell>
          <cell r="H13">
            <v>0</v>
          </cell>
          <cell r="I13">
            <v>0</v>
          </cell>
          <cell r="K13">
            <v>0</v>
          </cell>
        </row>
        <row r="14">
          <cell r="E14">
            <v>0</v>
          </cell>
          <cell r="F14">
            <v>0</v>
          </cell>
          <cell r="G14">
            <v>0</v>
          </cell>
          <cell r="H14">
            <v>0</v>
          </cell>
          <cell r="I14">
            <v>0</v>
          </cell>
          <cell r="K14">
            <v>0</v>
          </cell>
        </row>
      </sheetData>
      <sheetData sheetId="20" refreshError="1">
        <row r="1">
          <cell r="A1" t="str">
            <v>Schedule 10A</v>
          </cell>
        </row>
        <row r="4">
          <cell r="H4">
            <v>0</v>
          </cell>
        </row>
        <row r="8">
          <cell r="H8">
            <v>0</v>
          </cell>
        </row>
        <row r="12">
          <cell r="H12">
            <v>0</v>
          </cell>
        </row>
        <row r="16">
          <cell r="H16">
            <v>0</v>
          </cell>
        </row>
        <row r="20">
          <cell r="H20">
            <v>0</v>
          </cell>
        </row>
        <row r="22">
          <cell r="H22">
            <v>0</v>
          </cell>
        </row>
        <row r="24">
          <cell r="A24" t="str">
            <v>Schedule 10AA</v>
          </cell>
        </row>
        <row r="27">
          <cell r="H27">
            <v>0</v>
          </cell>
        </row>
        <row r="29">
          <cell r="A29" t="str">
            <v>Schedule 10B</v>
          </cell>
        </row>
        <row r="32">
          <cell r="H32">
            <v>0</v>
          </cell>
        </row>
        <row r="34">
          <cell r="A34" t="str">
            <v>Schedule 10BA</v>
          </cell>
        </row>
        <row r="37">
          <cell r="H37">
            <v>0</v>
          </cell>
        </row>
      </sheetData>
      <sheetData sheetId="21" refreshError="1">
        <row r="1">
          <cell r="B1" t="str">
            <v>Sch 80G</v>
          </cell>
        </row>
        <row r="9">
          <cell r="J9">
            <v>0</v>
          </cell>
        </row>
        <row r="15">
          <cell r="J15">
            <v>0</v>
          </cell>
        </row>
        <row r="19">
          <cell r="D19" t="str">
            <v>HH SHRI MATAJI NIRMALA DEVI FOUNDATION</v>
          </cell>
          <cell r="E19" t="str">
            <v>AAATH2600K</v>
          </cell>
          <cell r="F19" t="str">
            <v>NIRMAL PREM, PLOT NO-9,INSTITUTIONAL AREA, GREATER NOIDA</v>
          </cell>
          <cell r="G19" t="str">
            <v>GAUTAM BUDH NAGAR</v>
          </cell>
          <cell r="H19" t="str">
            <v>31-UTTAR PRADESH</v>
          </cell>
          <cell r="I19" t="str">
            <v>201301</v>
          </cell>
          <cell r="K19">
            <v>1000000</v>
          </cell>
        </row>
        <row r="21">
          <cell r="K21">
            <v>1000000</v>
          </cell>
        </row>
        <row r="23">
          <cell r="K23">
            <v>1000000</v>
          </cell>
        </row>
        <row r="50">
          <cell r="F50" t="str">
            <v>01-ANDAMAN AND NICOBAR ISLANDS</v>
          </cell>
          <cell r="H50" t="str">
            <v>01-ANDAMAN AND NICOBAR ISLANDS</v>
          </cell>
          <cell r="J50" t="str">
            <v>01-ANDAMAN AND NICOBAR ISLANDS</v>
          </cell>
        </row>
        <row r="51">
          <cell r="F51" t="str">
            <v>02-ANDHRA PRADESH</v>
          </cell>
          <cell r="H51" t="str">
            <v>02-ANDHRA PRADESH</v>
          </cell>
          <cell r="J51" t="str">
            <v>02-ANDHRA PRADESH</v>
          </cell>
        </row>
        <row r="52">
          <cell r="F52" t="str">
            <v>03-ARUNACHAL PRADESH</v>
          </cell>
          <cell r="H52" t="str">
            <v>03-ARUNACHAL PRADESH</v>
          </cell>
          <cell r="J52" t="str">
            <v>03-ARUNACHAL PRADESH</v>
          </cell>
        </row>
        <row r="53">
          <cell r="F53" t="str">
            <v>04-ASSAM</v>
          </cell>
          <cell r="H53" t="str">
            <v>04-ASSAM</v>
          </cell>
          <cell r="J53" t="str">
            <v>04-ASSAM</v>
          </cell>
        </row>
        <row r="54">
          <cell r="F54" t="str">
            <v>05-BIHAR</v>
          </cell>
          <cell r="H54" t="str">
            <v>05-BIHAR</v>
          </cell>
          <cell r="J54" t="str">
            <v>05-BIHAR</v>
          </cell>
        </row>
        <row r="55">
          <cell r="F55" t="str">
            <v>06-CHANDIGARH</v>
          </cell>
          <cell r="H55" t="str">
            <v>06-CHANDIGARH</v>
          </cell>
          <cell r="J55" t="str">
            <v>06-CHANDIGARH</v>
          </cell>
        </row>
        <row r="56">
          <cell r="F56" t="str">
            <v>07-DADRA AND NAGAR HAVELI</v>
          </cell>
          <cell r="H56" t="str">
            <v>07-DADRA AND NAGAR HAVELI</v>
          </cell>
          <cell r="J56" t="str">
            <v>07-DADRA AND NAGAR HAVELI</v>
          </cell>
        </row>
        <row r="57">
          <cell r="F57" t="str">
            <v>08-DAMAN AND DIU</v>
          </cell>
          <cell r="H57" t="str">
            <v>08-DAMAN AND DIU</v>
          </cell>
          <cell r="J57" t="str">
            <v>08-DAMAN AND DIU</v>
          </cell>
        </row>
        <row r="58">
          <cell r="F58" t="str">
            <v>09-DELHI</v>
          </cell>
          <cell r="H58" t="str">
            <v>09-DELHI</v>
          </cell>
          <cell r="J58" t="str">
            <v>09-DELHI</v>
          </cell>
        </row>
        <row r="59">
          <cell r="F59" t="str">
            <v>10-GOA</v>
          </cell>
          <cell r="H59" t="str">
            <v>10-GOA</v>
          </cell>
          <cell r="J59" t="str">
            <v>10-GOA</v>
          </cell>
        </row>
        <row r="60">
          <cell r="F60" t="str">
            <v>11-GUJARAT</v>
          </cell>
          <cell r="H60" t="str">
            <v>11-GUJARAT</v>
          </cell>
          <cell r="J60" t="str">
            <v>11-GUJARAT</v>
          </cell>
        </row>
        <row r="61">
          <cell r="F61" t="str">
            <v>12-HARYANA</v>
          </cell>
          <cell r="H61" t="str">
            <v>12-HARYANA</v>
          </cell>
          <cell r="J61" t="str">
            <v>12-HARYANA</v>
          </cell>
        </row>
        <row r="62">
          <cell r="F62" t="str">
            <v>13-HIMACHAL PRADESH</v>
          </cell>
          <cell r="H62" t="str">
            <v>13-HIMACHAL PRADESH</v>
          </cell>
          <cell r="J62" t="str">
            <v>13-HIMACHAL PRADESH</v>
          </cell>
        </row>
        <row r="63">
          <cell r="F63" t="str">
            <v>14-JAMMU AND KASHMIR</v>
          </cell>
          <cell r="H63" t="str">
            <v>14-JAMMU AND KASHMIR</v>
          </cell>
          <cell r="J63" t="str">
            <v>14-JAMMU AND KASHMIR</v>
          </cell>
        </row>
        <row r="64">
          <cell r="F64" t="str">
            <v>15-KARNATAKA</v>
          </cell>
          <cell r="H64" t="str">
            <v>15-KARNATAKA</v>
          </cell>
          <cell r="J64" t="str">
            <v>15-KARNATAKA</v>
          </cell>
        </row>
        <row r="65">
          <cell r="F65" t="str">
            <v>16-KERALA</v>
          </cell>
          <cell r="H65" t="str">
            <v>16-KERALA</v>
          </cell>
          <cell r="J65" t="str">
            <v>16-KERALA</v>
          </cell>
        </row>
        <row r="66">
          <cell r="F66" t="str">
            <v>17-LAKHSWADEEP</v>
          </cell>
          <cell r="H66" t="str">
            <v>17-LAKHSWADEEP</v>
          </cell>
          <cell r="J66" t="str">
            <v>17-LAKHSWADEEP</v>
          </cell>
        </row>
        <row r="67">
          <cell r="F67" t="str">
            <v>18-MADHYA PRADESH</v>
          </cell>
          <cell r="H67" t="str">
            <v>18-MADHYA PRADESH</v>
          </cell>
          <cell r="J67" t="str">
            <v>18-MADHYA PRADESH</v>
          </cell>
        </row>
        <row r="68">
          <cell r="F68" t="str">
            <v>19-MAHARASHTRA</v>
          </cell>
          <cell r="H68" t="str">
            <v>19-MAHARASHTRA</v>
          </cell>
          <cell r="J68" t="str">
            <v>19-MAHARASHTRA</v>
          </cell>
        </row>
        <row r="69">
          <cell r="F69" t="str">
            <v>20-MANIPUR</v>
          </cell>
          <cell r="H69" t="str">
            <v>20-MANIPUR</v>
          </cell>
          <cell r="J69" t="str">
            <v>20-MANIPUR</v>
          </cell>
        </row>
        <row r="70">
          <cell r="F70" t="str">
            <v>21-MEGHALAYA</v>
          </cell>
          <cell r="H70" t="str">
            <v>21-MEGHALAYA</v>
          </cell>
          <cell r="J70" t="str">
            <v>21-MEGHALAYA</v>
          </cell>
        </row>
        <row r="71">
          <cell r="F71" t="str">
            <v>22-MIZORAM</v>
          </cell>
          <cell r="H71" t="str">
            <v>22-MIZORAM</v>
          </cell>
          <cell r="J71" t="str">
            <v>22-MIZORAM</v>
          </cell>
        </row>
        <row r="72">
          <cell r="F72" t="str">
            <v>23-NAGALAND</v>
          </cell>
          <cell r="H72" t="str">
            <v>23-NAGALAND</v>
          </cell>
          <cell r="J72" t="str">
            <v>23-NAGALAND</v>
          </cell>
        </row>
        <row r="73">
          <cell r="F73" t="str">
            <v>24-ORISSA</v>
          </cell>
          <cell r="H73" t="str">
            <v>24-ORISSA</v>
          </cell>
          <cell r="J73" t="str">
            <v>24-ORISSA</v>
          </cell>
        </row>
        <row r="74">
          <cell r="F74" t="str">
            <v>25-PONDICHERRY</v>
          </cell>
          <cell r="H74" t="str">
            <v>25-PONDICHERRY</v>
          </cell>
          <cell r="J74" t="str">
            <v>25-PONDICHERRY</v>
          </cell>
        </row>
        <row r="75">
          <cell r="F75" t="str">
            <v>26-PUNJAB</v>
          </cell>
          <cell r="H75" t="str">
            <v>26-PUNJAB</v>
          </cell>
          <cell r="J75" t="str">
            <v>26-PUNJAB</v>
          </cell>
        </row>
        <row r="76">
          <cell r="F76" t="str">
            <v>27-RAJASTHAN</v>
          </cell>
          <cell r="H76" t="str">
            <v>27-RAJASTHAN</v>
          </cell>
          <cell r="J76" t="str">
            <v>27-RAJASTHAN</v>
          </cell>
        </row>
        <row r="77">
          <cell r="F77" t="str">
            <v>28-SIKKIM</v>
          </cell>
          <cell r="H77" t="str">
            <v>28-SIKKIM</v>
          </cell>
          <cell r="J77" t="str">
            <v>28-SIKKIM</v>
          </cell>
        </row>
        <row r="78">
          <cell r="F78" t="str">
            <v>29-TAMILNADU</v>
          </cell>
          <cell r="H78" t="str">
            <v>29-TAMILNADU</v>
          </cell>
          <cell r="J78" t="str">
            <v>29-TAMILNADU</v>
          </cell>
        </row>
        <row r="79">
          <cell r="F79" t="str">
            <v>30-TRIPURA</v>
          </cell>
          <cell r="H79" t="str">
            <v>30-TRIPURA</v>
          </cell>
          <cell r="J79" t="str">
            <v>30-TRIPURA</v>
          </cell>
        </row>
        <row r="80">
          <cell r="F80" t="str">
            <v>31-UTTAR PRADESH</v>
          </cell>
          <cell r="H80" t="str">
            <v>31-UTTAR PRADESH</v>
          </cell>
          <cell r="J80" t="str">
            <v>31-UTTAR PRADESH</v>
          </cell>
        </row>
        <row r="81">
          <cell r="F81" t="str">
            <v>32-WEST BENGAL</v>
          </cell>
          <cell r="H81" t="str">
            <v>32-WEST BENGAL</v>
          </cell>
          <cell r="J81" t="str">
            <v>32-WEST BENGAL</v>
          </cell>
        </row>
        <row r="82">
          <cell r="F82" t="str">
            <v>33-CHHATISHGARH</v>
          </cell>
          <cell r="H82" t="str">
            <v>33-CHHATISHGARH</v>
          </cell>
          <cell r="J82" t="str">
            <v>33-CHHATISHGARH</v>
          </cell>
        </row>
        <row r="83">
          <cell r="F83" t="str">
            <v>34-UTTARANCHAL</v>
          </cell>
          <cell r="H83" t="str">
            <v>34-UTTARANCHAL</v>
          </cell>
          <cell r="J83" t="str">
            <v>34-UTTARANCHAL</v>
          </cell>
        </row>
        <row r="84">
          <cell r="F84" t="str">
            <v>35-JHARKHAND</v>
          </cell>
          <cell r="H84" t="str">
            <v>35-JHARKHAND</v>
          </cell>
          <cell r="J84" t="str">
            <v>35-JHARKHAND</v>
          </cell>
        </row>
        <row r="85">
          <cell r="F85" t="str">
            <v>99-FOREIGN</v>
          </cell>
          <cell r="H85" t="str">
            <v>99-FOREIGN</v>
          </cell>
          <cell r="J85" t="str">
            <v>99-FOREIGN</v>
          </cell>
        </row>
      </sheetData>
      <sheetData sheetId="22" refreshError="1">
        <row r="2">
          <cell r="A2" t="str">
            <v>Schedule 80-IA</v>
          </cell>
        </row>
        <row r="8">
          <cell r="I8">
            <v>0</v>
          </cell>
        </row>
        <row r="10">
          <cell r="A10" t="str">
            <v>Schedule 80-IB</v>
          </cell>
        </row>
        <row r="24">
          <cell r="I24">
            <v>0</v>
          </cell>
        </row>
        <row r="26">
          <cell r="A26" t="str">
            <v>Schedule 80-IC/80-IE</v>
          </cell>
        </row>
        <row r="38">
          <cell r="I38">
            <v>0</v>
          </cell>
        </row>
        <row r="39">
          <cell r="I39">
            <v>0</v>
          </cell>
        </row>
        <row r="41">
          <cell r="A41" t="str">
            <v>Schedule VI-A</v>
          </cell>
        </row>
        <row r="42">
          <cell r="G42">
            <v>500000</v>
          </cell>
        </row>
        <row r="46">
          <cell r="G46">
            <v>0</v>
          </cell>
        </row>
        <row r="48">
          <cell r="G48">
            <v>0</v>
          </cell>
        </row>
        <row r="49">
          <cell r="G49">
            <v>0</v>
          </cell>
        </row>
        <row r="54">
          <cell r="I54">
            <v>500000</v>
          </cell>
        </row>
        <row r="56">
          <cell r="A56" t="str">
            <v>Schedule STTC</v>
          </cell>
          <cell r="D56" t="str">
            <v>Rebate under section 88E</v>
          </cell>
        </row>
        <row r="57">
          <cell r="A57" t="str">
            <v>STT REBATE</v>
          </cell>
          <cell r="B57">
            <v>1</v>
          </cell>
          <cell r="C57" t="str">
            <v>Income arising from transactions chargeable to Securities Transaction Tax (STT) chargeable under the head “Profit from business or profession and included in the gross total income</v>
          </cell>
        </row>
        <row r="58">
          <cell r="C58" t="str">
            <v>i</v>
          </cell>
          <cell r="D58" t="str">
            <v>Being from non speculative business included in A34 of Schedule BP</v>
          </cell>
          <cell r="F58" t="str">
            <v>1i</v>
          </cell>
        </row>
        <row r="59">
          <cell r="C59" t="str">
            <v>ii</v>
          </cell>
          <cell r="D59" t="str">
            <v>Being from speculative business included in B38 of Schedule BP</v>
          </cell>
          <cell r="F59" t="str">
            <v>1ii</v>
          </cell>
        </row>
        <row r="60">
          <cell r="C60" t="str">
            <v>iii</v>
          </cell>
          <cell r="D60" t="str">
            <v>Total</v>
          </cell>
          <cell r="H60" t="str">
            <v>1iii</v>
          </cell>
          <cell r="I60">
            <v>0</v>
          </cell>
        </row>
        <row r="61">
          <cell r="B61">
            <v>2</v>
          </cell>
          <cell r="C61" t="str">
            <v>Tax payable on (1)(iii) above on average rate of tax</v>
          </cell>
          <cell r="F61">
            <v>2</v>
          </cell>
        </row>
        <row r="62">
          <cell r="B62">
            <v>3</v>
          </cell>
          <cell r="C62" t="str">
            <v>STT paid during the year on the transactions chargeable to STT which have been entered into in the course of business during the year</v>
          </cell>
          <cell r="F62">
            <v>3</v>
          </cell>
        </row>
        <row r="63">
          <cell r="B63">
            <v>4</v>
          </cell>
          <cell r="C63" t="str">
            <v>Rebate under section 88E, lower of (2) and (3)</v>
          </cell>
          <cell r="H63">
            <v>4</v>
          </cell>
          <cell r="I63">
            <v>0</v>
          </cell>
        </row>
      </sheetData>
      <sheetData sheetId="23" refreshError="1">
        <row r="1">
          <cell r="A1" t="str">
            <v>Schedule SI</v>
          </cell>
          <cell r="C1" t="str">
            <v>Income chargeable to Income tax at special rates IB [Please see instruction Number-9(iii) for section code and rate of tax]</v>
          </cell>
        </row>
        <row r="2">
          <cell r="B2" t="str">
            <v>SlNo</v>
          </cell>
          <cell r="C2" t="str">
            <v>Sectioncode</v>
          </cell>
          <cell r="D2" t="str">
            <v>Special rate(%) (Default 1 if left blank)</v>
          </cell>
          <cell r="E2" t="str">
            <v>Income i</v>
          </cell>
          <cell r="F2" t="str">
            <v>Tax thereonii</v>
          </cell>
        </row>
        <row r="3">
          <cell r="B3">
            <v>1</v>
          </cell>
          <cell r="C3" t="str">
            <v>1A</v>
          </cell>
          <cell r="D3">
            <v>10</v>
          </cell>
          <cell r="E3">
            <v>376146</v>
          </cell>
          <cell r="F3">
            <v>37615</v>
          </cell>
        </row>
        <row r="4">
          <cell r="B4">
            <v>2</v>
          </cell>
        </row>
        <row r="5">
          <cell r="B5">
            <v>3</v>
          </cell>
        </row>
        <row r="6">
          <cell r="B6">
            <v>4</v>
          </cell>
        </row>
        <row r="7">
          <cell r="B7">
            <v>5</v>
          </cell>
        </row>
        <row r="8">
          <cell r="B8">
            <v>6</v>
          </cell>
        </row>
        <row r="9">
          <cell r="B9">
            <v>7</v>
          </cell>
        </row>
        <row r="10">
          <cell r="B10">
            <v>8</v>
          </cell>
        </row>
        <row r="11">
          <cell r="B11">
            <v>9</v>
          </cell>
        </row>
        <row r="12">
          <cell r="B12">
            <v>10</v>
          </cell>
        </row>
        <row r="13">
          <cell r="B13">
            <v>11</v>
          </cell>
          <cell r="C13" t="str">
            <v>Total (1ii to 10 ii)</v>
          </cell>
          <cell r="F13">
            <v>37615</v>
          </cell>
        </row>
        <row r="21">
          <cell r="C21">
            <v>1</v>
          </cell>
          <cell r="D21">
            <v>1</v>
          </cell>
        </row>
        <row r="22">
          <cell r="C22" t="str">
            <v>1A</v>
          </cell>
          <cell r="D22">
            <v>10</v>
          </cell>
        </row>
        <row r="23">
          <cell r="C23">
            <v>21</v>
          </cell>
          <cell r="D23">
            <v>12.5</v>
          </cell>
        </row>
        <row r="24">
          <cell r="C24">
            <v>22</v>
          </cell>
          <cell r="D24">
            <v>20</v>
          </cell>
        </row>
        <row r="25">
          <cell r="C25" t="str">
            <v>5A1a</v>
          </cell>
          <cell r="D25">
            <v>30</v>
          </cell>
        </row>
        <row r="26">
          <cell r="C26" t="str">
            <v>FA</v>
          </cell>
          <cell r="D26">
            <v>50</v>
          </cell>
        </row>
        <row r="27">
          <cell r="C27" t="str">
            <v>5A1b1</v>
          </cell>
        </row>
        <row r="28">
          <cell r="C28" t="str">
            <v>5A1b2</v>
          </cell>
        </row>
        <row r="29">
          <cell r="C29" t="str">
            <v>5A1b3</v>
          </cell>
        </row>
        <row r="30">
          <cell r="C30" t="str">
            <v>5AB1a</v>
          </cell>
        </row>
        <row r="31">
          <cell r="C31" t="str">
            <v>5AB1b</v>
          </cell>
        </row>
        <row r="32">
          <cell r="C32" t="str">
            <v>5AC</v>
          </cell>
        </row>
        <row r="33">
          <cell r="C33" t="str">
            <v>5ACA</v>
          </cell>
        </row>
        <row r="34">
          <cell r="C34" t="str">
            <v>5B</v>
          </cell>
        </row>
        <row r="35">
          <cell r="C35" t="str">
            <v>5BB</v>
          </cell>
        </row>
        <row r="36">
          <cell r="C36" t="str">
            <v>5BBA</v>
          </cell>
        </row>
        <row r="37">
          <cell r="C37" t="str">
            <v>5BBB</v>
          </cell>
        </row>
        <row r="38">
          <cell r="C38" t="str">
            <v>5BBC</v>
          </cell>
        </row>
        <row r="39">
          <cell r="C39" t="str">
            <v>5Ea</v>
          </cell>
        </row>
        <row r="40">
          <cell r="C40" t="str">
            <v>5Eb</v>
          </cell>
        </row>
        <row r="41">
          <cell r="C41" t="str">
            <v>DTAA</v>
          </cell>
        </row>
      </sheetData>
      <sheetData sheetId="24" refreshError="1">
        <row r="1">
          <cell r="A1" t="str">
            <v>Schedule - EI</v>
          </cell>
        </row>
        <row r="3">
          <cell r="F3">
            <v>334087092</v>
          </cell>
        </row>
        <row r="8">
          <cell r="F8">
            <v>334087092</v>
          </cell>
        </row>
        <row r="14">
          <cell r="A14" t="str">
            <v>Schedule MAT</v>
          </cell>
        </row>
        <row r="39">
          <cell r="A39" t="str">
            <v>Schedule MATC</v>
          </cell>
        </row>
      </sheetData>
      <sheetData sheetId="25" refreshError="1">
        <row r="1">
          <cell r="A1" t="str">
            <v>Schedule - FBI</v>
          </cell>
          <cell r="D1" t="str">
            <v>Information regarding calculation of value of fringe benefits</v>
          </cell>
        </row>
        <row r="2">
          <cell r="A2" t="str">
            <v>Fringe benefitinformation</v>
          </cell>
          <cell r="B2">
            <v>1</v>
          </cell>
          <cell r="C2" t="str">
            <v>Are you having employees based both in and outside India? If yes write 1, and if no write 2</v>
          </cell>
          <cell r="F2">
            <v>2</v>
          </cell>
          <cell r="P2">
            <v>1</v>
          </cell>
          <cell r="Q2">
            <v>1</v>
          </cell>
        </row>
        <row r="3">
          <cell r="B3">
            <v>2</v>
          </cell>
          <cell r="C3" t="str">
            <v>If answer to ‘1’ is yes, are you maintaining separate books of account for Indian and foreign operations? If yes write 1, and if no write 2</v>
          </cell>
          <cell r="F3">
            <v>1</v>
          </cell>
          <cell r="P3">
            <v>2</v>
          </cell>
          <cell r="Q3">
            <v>2</v>
          </cell>
        </row>
        <row r="4">
          <cell r="B4">
            <v>3</v>
          </cell>
          <cell r="C4" t="str">
            <v>Total number of employees</v>
          </cell>
        </row>
        <row r="5">
          <cell r="C5" t="str">
            <v>a</v>
          </cell>
          <cell r="D5" t="str">
            <v>Number of employees in India</v>
          </cell>
          <cell r="E5" t="str">
            <v>3a</v>
          </cell>
          <cell r="F5">
            <v>8340</v>
          </cell>
        </row>
        <row r="6">
          <cell r="C6" t="str">
            <v>b</v>
          </cell>
          <cell r="D6" t="str">
            <v>Number of employees outside India</v>
          </cell>
          <cell r="E6" t="str">
            <v>3b</v>
          </cell>
          <cell r="F6">
            <v>0</v>
          </cell>
        </row>
        <row r="7">
          <cell r="C7" t="str">
            <v>c</v>
          </cell>
          <cell r="D7" t="str">
            <v>Total number of employees</v>
          </cell>
          <cell r="E7" t="str">
            <v>3c</v>
          </cell>
          <cell r="F7">
            <v>8340</v>
          </cell>
        </row>
        <row r="9">
          <cell r="A9" t="str">
            <v>Schedule FB</v>
          </cell>
          <cell r="D9" t="str">
            <v>Computation of value of fringe benefits</v>
          </cell>
        </row>
        <row r="10">
          <cell r="A10" t="str">
            <v>VALUE OF FRINGE BENEFITS</v>
          </cell>
          <cell r="B10" t="str">
            <v>Sl.No.</v>
          </cell>
          <cell r="C10" t="str">
            <v>Nature of expenditure</v>
          </cell>
          <cell r="E10" t="str">
            <v>Amount/value ofexpenditure*</v>
          </cell>
          <cell r="G10" t="str">
            <v>Percent-age</v>
          </cell>
          <cell r="I10" t="str">
            <v>Value of fringe benefitsiv= ii x iii ÷ 100</v>
          </cell>
        </row>
        <row r="11">
          <cell r="C11" t="str">
            <v>i</v>
          </cell>
          <cell r="E11" t="str">
            <v>ii</v>
          </cell>
          <cell r="G11" t="str">
            <v>iii</v>
          </cell>
          <cell r="J11" t="str">
            <v>iv</v>
          </cell>
        </row>
        <row r="12">
          <cell r="B12">
            <v>1</v>
          </cell>
          <cell r="C12" t="str">
            <v>Free or concessional tickets provided for private journeys of employees or their family members (the value in column ii shall be the cost of the ticket to the general public as reduced by the amount, if any, paid by or recovered from the employee)</v>
          </cell>
          <cell r="E12" t="str">
            <v>1ii</v>
          </cell>
          <cell r="G12">
            <v>100</v>
          </cell>
          <cell r="I12" t="str">
            <v>1iv</v>
          </cell>
          <cell r="J12">
            <v>0</v>
          </cell>
        </row>
        <row r="13">
          <cell r="B13">
            <v>2</v>
          </cell>
          <cell r="C13" t="str">
            <v>Any specified security or sweat equity shares [Sections 115WB(1)(d)] [Difference between the fair market value on the vesting date and amount recovered from or paid by the employee] and  contribution to an approved superannuation fund for employees (in ex</v>
          </cell>
          <cell r="E13" t="str">
            <v>2ii</v>
          </cell>
          <cell r="F13">
            <v>166549342</v>
          </cell>
          <cell r="G13">
            <v>100</v>
          </cell>
          <cell r="I13" t="str">
            <v>2iv</v>
          </cell>
          <cell r="J13">
            <v>166549342</v>
          </cell>
        </row>
        <row r="14">
          <cell r="B14">
            <v>3</v>
          </cell>
          <cell r="C14" t="str">
            <v>Entertainment</v>
          </cell>
          <cell r="E14" t="str">
            <v>3ii</v>
          </cell>
          <cell r="G14">
            <v>20</v>
          </cell>
          <cell r="I14" t="str">
            <v>3iv</v>
          </cell>
          <cell r="J14">
            <v>0</v>
          </cell>
        </row>
        <row r="15">
          <cell r="B15">
            <v>4</v>
          </cell>
          <cell r="C15" t="str">
            <v>a</v>
          </cell>
          <cell r="D15" t="str">
            <v>Hospitality in the business other than business referred to in 4b or 4c or 4d</v>
          </cell>
          <cell r="E15" t="str">
            <v>aii</v>
          </cell>
          <cell r="G15">
            <v>20</v>
          </cell>
          <cell r="I15" t="str">
            <v>aiv</v>
          </cell>
          <cell r="J15">
            <v>0</v>
          </cell>
        </row>
        <row r="16">
          <cell r="C16" t="str">
            <v>b</v>
          </cell>
          <cell r="D16" t="str">
            <v>Hospitality in the business of hotel</v>
          </cell>
          <cell r="E16" t="str">
            <v>bii</v>
          </cell>
          <cell r="G16">
            <v>5</v>
          </cell>
          <cell r="I16" t="str">
            <v>biv</v>
          </cell>
          <cell r="J16">
            <v>0</v>
          </cell>
        </row>
        <row r="17">
          <cell r="C17" t="str">
            <v>c</v>
          </cell>
          <cell r="D17" t="str">
            <v>Hospitality in the business of carriage of passengers or goods by aircraft</v>
          </cell>
          <cell r="E17" t="str">
            <v>cii</v>
          </cell>
          <cell r="G17">
            <v>5</v>
          </cell>
          <cell r="I17" t="str">
            <v>civ</v>
          </cell>
          <cell r="J17">
            <v>0</v>
          </cell>
        </row>
        <row r="18">
          <cell r="C18" t="str">
            <v>d</v>
          </cell>
          <cell r="D18" t="str">
            <v>Hospitality in the business of carriage of passengers or goods by ship</v>
          </cell>
          <cell r="E18" t="str">
            <v>dii</v>
          </cell>
          <cell r="G18">
            <v>5</v>
          </cell>
          <cell r="I18" t="str">
            <v>div</v>
          </cell>
          <cell r="J18">
            <v>0</v>
          </cell>
        </row>
        <row r="19">
          <cell r="B19">
            <v>5</v>
          </cell>
          <cell r="C19" t="str">
            <v>Conference (other than fee for participation by the employees in any conference)</v>
          </cell>
          <cell r="E19" t="str">
            <v>5ii</v>
          </cell>
          <cell r="F19">
            <v>16241</v>
          </cell>
          <cell r="G19">
            <v>20</v>
          </cell>
          <cell r="I19" t="str">
            <v>5iv</v>
          </cell>
          <cell r="J19">
            <v>3248</v>
          </cell>
        </row>
        <row r="20">
          <cell r="B20">
            <v>6</v>
          </cell>
          <cell r="C20" t="str">
            <v>Sales promotion including publicity (excluding any expenditure on advertisement referred to in proviso to section 115WB(2)(D)</v>
          </cell>
          <cell r="E20" t="str">
            <v>6ii</v>
          </cell>
          <cell r="F20">
            <v>4024416</v>
          </cell>
          <cell r="G20">
            <v>20</v>
          </cell>
          <cell r="I20" t="str">
            <v>6iv</v>
          </cell>
          <cell r="J20">
            <v>804883</v>
          </cell>
        </row>
        <row r="21">
          <cell r="B21">
            <v>7</v>
          </cell>
          <cell r="C21" t="str">
            <v>Employees welfare</v>
          </cell>
          <cell r="E21" t="str">
            <v>7ii</v>
          </cell>
          <cell r="F21">
            <v>5633902</v>
          </cell>
          <cell r="G21">
            <v>20</v>
          </cell>
          <cell r="I21" t="str">
            <v>7iv</v>
          </cell>
          <cell r="J21">
            <v>1126780</v>
          </cell>
        </row>
        <row r="22">
          <cell r="B22">
            <v>8</v>
          </cell>
          <cell r="C22" t="str">
            <v>a</v>
          </cell>
          <cell r="D22" t="str">
            <v>Conveyance, in the business other than the business referred to in 8b or 8c or 8d</v>
          </cell>
          <cell r="E22" t="str">
            <v>aii</v>
          </cell>
          <cell r="F22">
            <v>33125083</v>
          </cell>
          <cell r="G22">
            <v>20</v>
          </cell>
          <cell r="I22" t="str">
            <v>aiv</v>
          </cell>
          <cell r="J22">
            <v>6625017</v>
          </cell>
        </row>
        <row r="23">
          <cell r="C23" t="str">
            <v>b</v>
          </cell>
          <cell r="D23" t="str">
            <v>Conveyance, in business of construction</v>
          </cell>
          <cell r="E23" t="str">
            <v>bii</v>
          </cell>
          <cell r="G23">
            <v>5</v>
          </cell>
          <cell r="I23" t="str">
            <v>biv</v>
          </cell>
          <cell r="J23">
            <v>0</v>
          </cell>
        </row>
        <row r="24">
          <cell r="C24" t="str">
            <v>c</v>
          </cell>
          <cell r="D24" t="str">
            <v>Conveyance in the business of manufacture orproduction of pharmaceuticals</v>
          </cell>
          <cell r="E24" t="str">
            <v>cii</v>
          </cell>
          <cell r="G24">
            <v>5</v>
          </cell>
          <cell r="I24" t="str">
            <v>civ</v>
          </cell>
          <cell r="J24">
            <v>0</v>
          </cell>
        </row>
        <row r="25">
          <cell r="C25" t="str">
            <v>d</v>
          </cell>
          <cell r="D25" t="str">
            <v>Conveyance in the business of manufacture orproduction of computer software</v>
          </cell>
          <cell r="E25" t="str">
            <v>dii</v>
          </cell>
          <cell r="G25">
            <v>5</v>
          </cell>
          <cell r="I25" t="str">
            <v>div</v>
          </cell>
          <cell r="J25">
            <v>0</v>
          </cell>
        </row>
        <row r="26">
          <cell r="B26">
            <v>9</v>
          </cell>
          <cell r="C26" t="str">
            <v>a</v>
          </cell>
          <cell r="D26" t="str">
            <v>Use of hotel, boarding and lodging facilities in thebusiness other than the business referred to in 9b or9c or 9d or 9e</v>
          </cell>
          <cell r="E26" t="str">
            <v>aii</v>
          </cell>
          <cell r="F26">
            <v>17895400</v>
          </cell>
          <cell r="G26">
            <v>20</v>
          </cell>
          <cell r="I26" t="str">
            <v>aiv</v>
          </cell>
          <cell r="J26">
            <v>3579080</v>
          </cell>
        </row>
        <row r="27">
          <cell r="C27" t="str">
            <v>b</v>
          </cell>
          <cell r="D27" t="str">
            <v>Use of hotel, boarding and lodging facilities in the business of manufacture or production of pharmaceuticals</v>
          </cell>
          <cell r="E27" t="str">
            <v>bii</v>
          </cell>
          <cell r="G27">
            <v>5</v>
          </cell>
          <cell r="I27" t="str">
            <v>biv</v>
          </cell>
          <cell r="J27">
            <v>0</v>
          </cell>
        </row>
        <row r="28">
          <cell r="C28" t="str">
            <v>c</v>
          </cell>
          <cell r="D28" t="str">
            <v>Use of hotel, boarding and lodging facilities in the business of manufacture or production of computer software</v>
          </cell>
          <cell r="E28" t="str">
            <v>cii</v>
          </cell>
          <cell r="G28">
            <v>5</v>
          </cell>
          <cell r="I28" t="str">
            <v>civ</v>
          </cell>
          <cell r="J28">
            <v>0</v>
          </cell>
        </row>
        <row r="29">
          <cell r="C29" t="str">
            <v>d</v>
          </cell>
          <cell r="D29" t="str">
            <v>Use of hotel, boarding and lodging facilities in thebusiness of carriage of passengers or goods byaircraft</v>
          </cell>
          <cell r="E29" t="str">
            <v>dii</v>
          </cell>
          <cell r="G29">
            <v>5</v>
          </cell>
          <cell r="I29" t="str">
            <v>div</v>
          </cell>
          <cell r="J29">
            <v>0</v>
          </cell>
        </row>
        <row r="30">
          <cell r="C30" t="str">
            <v>e</v>
          </cell>
          <cell r="D30" t="str">
            <v>Use of hotel, boarding and lodging facilities in thebusiness of carriage of passengers or goods by ship</v>
          </cell>
          <cell r="E30" t="str">
            <v>eii</v>
          </cell>
          <cell r="G30">
            <v>5</v>
          </cell>
          <cell r="I30" t="str">
            <v>eiv</v>
          </cell>
          <cell r="J30">
            <v>0</v>
          </cell>
        </row>
        <row r="31">
          <cell r="B31">
            <v>10</v>
          </cell>
          <cell r="C31" t="str">
            <v>a</v>
          </cell>
          <cell r="D31" t="str">
            <v>Repair, running (including fuel), maintenance of motor cars and the amount of depreciation thereon in the business other than the business of carriage of passengers or goods by motor car</v>
          </cell>
          <cell r="E31" t="str">
            <v>aii</v>
          </cell>
          <cell r="G31">
            <v>20</v>
          </cell>
          <cell r="I31" t="str">
            <v>aiv</v>
          </cell>
          <cell r="J31">
            <v>0</v>
          </cell>
        </row>
        <row r="32">
          <cell r="C32" t="str">
            <v>b</v>
          </cell>
          <cell r="D32" t="str">
            <v>Repair, running (including fuel), maintenance of motor cars and the amount of depreciation thereon in the business of carriage of passengers or goods by motor car</v>
          </cell>
          <cell r="E32" t="str">
            <v>bii</v>
          </cell>
          <cell r="G32">
            <v>5</v>
          </cell>
          <cell r="I32" t="str">
            <v>biv</v>
          </cell>
          <cell r="J32">
            <v>0</v>
          </cell>
        </row>
        <row r="33">
          <cell r="B33">
            <v>11</v>
          </cell>
          <cell r="C33" t="str">
            <v>Repair, running (including fuel) and maintenance of aircrafts and the amount of depreciation thereon in the business other than the business of carriage of passengers or goods by aircraft</v>
          </cell>
          <cell r="F33">
            <v>6061284</v>
          </cell>
          <cell r="G33">
            <v>20</v>
          </cell>
          <cell r="I33" t="str">
            <v>11iv</v>
          </cell>
          <cell r="J33">
            <v>1212257</v>
          </cell>
        </row>
        <row r="34">
          <cell r="B34">
            <v>12</v>
          </cell>
          <cell r="C34" t="str">
            <v>Use of telephone (including mobile phone) other than expenditure on leased telephone lines</v>
          </cell>
          <cell r="F34">
            <v>86182922</v>
          </cell>
          <cell r="G34">
            <v>20</v>
          </cell>
          <cell r="I34" t="str">
            <v>12iv</v>
          </cell>
          <cell r="J34">
            <v>17236584</v>
          </cell>
        </row>
        <row r="35">
          <cell r="B35">
            <v>13</v>
          </cell>
          <cell r="C35" t="str">
            <v>Maintenance of any accommodation in the nature of guest house other than accommodation used for training purposes</v>
          </cell>
          <cell r="G35">
            <v>20</v>
          </cell>
          <cell r="I35" t="str">
            <v>13iv</v>
          </cell>
          <cell r="J35">
            <v>0</v>
          </cell>
        </row>
        <row r="36">
          <cell r="B36">
            <v>14</v>
          </cell>
          <cell r="C36" t="str">
            <v>Festival celebrations</v>
          </cell>
          <cell r="F36">
            <v>30022</v>
          </cell>
          <cell r="G36">
            <v>50</v>
          </cell>
          <cell r="I36" t="str">
            <v>14iv</v>
          </cell>
          <cell r="J36">
            <v>15011</v>
          </cell>
        </row>
        <row r="37">
          <cell r="B37">
            <v>15</v>
          </cell>
          <cell r="C37" t="str">
            <v>Use of health club and similar facilities</v>
          </cell>
          <cell r="G37">
            <v>50</v>
          </cell>
          <cell r="I37" t="str">
            <v>15iv</v>
          </cell>
          <cell r="J37">
            <v>0</v>
          </cell>
        </row>
        <row r="38">
          <cell r="B38">
            <v>16</v>
          </cell>
          <cell r="C38" t="str">
            <v>Use of any other club facilities</v>
          </cell>
          <cell r="F38">
            <v>2440400</v>
          </cell>
          <cell r="G38">
            <v>50</v>
          </cell>
          <cell r="I38" t="str">
            <v>16iv</v>
          </cell>
          <cell r="J38">
            <v>1220200</v>
          </cell>
        </row>
        <row r="39">
          <cell r="B39">
            <v>17</v>
          </cell>
          <cell r="C39" t="str">
            <v>Gifts</v>
          </cell>
          <cell r="G39">
            <v>50</v>
          </cell>
          <cell r="I39" t="str">
            <v>17iv</v>
          </cell>
          <cell r="J39">
            <v>0</v>
          </cell>
        </row>
        <row r="40">
          <cell r="B40">
            <v>18</v>
          </cell>
          <cell r="C40" t="str">
            <v>Scholarships</v>
          </cell>
          <cell r="G40">
            <v>50</v>
          </cell>
          <cell r="I40" t="str">
            <v>18iv</v>
          </cell>
          <cell r="J40">
            <v>0</v>
          </cell>
        </row>
        <row r="41">
          <cell r="B41">
            <v>19</v>
          </cell>
          <cell r="C41" t="str">
            <v>Tour and Travel (including foreign travel)</v>
          </cell>
          <cell r="F41">
            <v>7073516</v>
          </cell>
          <cell r="G41">
            <v>5</v>
          </cell>
          <cell r="I41" t="str">
            <v>19iv</v>
          </cell>
          <cell r="J41">
            <v>353676</v>
          </cell>
        </row>
        <row r="42">
          <cell r="B42">
            <v>20</v>
          </cell>
          <cell r="C42" t="str">
            <v>Value of fringe benefits (total of Column iv)</v>
          </cell>
          <cell r="I42" t="str">
            <v>20iv</v>
          </cell>
          <cell r="J42">
            <v>198726078</v>
          </cell>
        </row>
        <row r="43">
          <cell r="B43">
            <v>21</v>
          </cell>
          <cell r="C43" t="str">
            <v>If answer to ‘1’ of Schedule-FBI is no, value of fringe benefits (same as20iv)</v>
          </cell>
          <cell r="I43" t="str">
            <v>21iv</v>
          </cell>
          <cell r="J43">
            <v>198726078</v>
          </cell>
        </row>
        <row r="44">
          <cell r="B44">
            <v>22</v>
          </cell>
          <cell r="C44" t="str">
            <v>If answer to ‘2’of Schedule-FBI is yes, value of fringe benefits (same as20iv)</v>
          </cell>
          <cell r="I44" t="str">
            <v>22iv</v>
          </cell>
          <cell r="J44">
            <v>198726078</v>
          </cell>
        </row>
        <row r="45">
          <cell r="B45">
            <v>23</v>
          </cell>
          <cell r="C45" t="str">
            <v>If answer to ‘2’of Schedule-FBI is no, value of fringe benefits ( 20iv x 3a of Schedule-FBI ÷3c of Schedule-FBI)</v>
          </cell>
          <cell r="I45" t="str">
            <v>23iv</v>
          </cell>
          <cell r="J45">
            <v>0</v>
          </cell>
        </row>
        <row r="46">
          <cell r="B46">
            <v>24</v>
          </cell>
          <cell r="C46" t="str">
            <v>Value of fringe benefits(21iv or 22iv or 23iv as the case may be)</v>
          </cell>
          <cell r="I46" t="str">
            <v>24iv</v>
          </cell>
          <cell r="J46">
            <v>198726078</v>
          </cell>
        </row>
        <row r="47">
          <cell r="B47" t="str">
            <v>NOTE :</v>
          </cell>
          <cell r="D47" t="str">
            <v>*If answer to ‘2’of Schedule-FBI is yes, enter the figures in 1ii to 19ii on the basis of books of account maintained for Indian operation.</v>
          </cell>
        </row>
      </sheetData>
      <sheetData sheetId="26" refreshError="1">
        <row r="1">
          <cell r="A1" t="str">
            <v>Schedule IT</v>
          </cell>
          <cell r="D1" t="str">
            <v>Details of Advance Tax and Self Assessment Tax Payments of Income-tax</v>
          </cell>
        </row>
        <row r="2">
          <cell r="A2" t="str">
            <v>TAX PAYMENTS</v>
          </cell>
          <cell r="B2" t="str">
            <v>SlNo</v>
          </cell>
          <cell r="C2" t="str">
            <v xml:space="preserve">Name of Bank </v>
          </cell>
          <cell r="D2" t="str">
            <v>Name of Branch</v>
          </cell>
          <cell r="E2" t="str">
            <v>BSR Code</v>
          </cell>
          <cell r="F2" t="str">
            <v>Date of Deposit(DD/MM/YYYY)</v>
          </cell>
          <cell r="G2" t="str">
            <v>Serial Number ofChallan</v>
          </cell>
          <cell r="H2" t="str">
            <v>Amount (Rs)</v>
          </cell>
        </row>
        <row r="3">
          <cell r="B3">
            <v>1</v>
          </cell>
          <cell r="C3">
            <v>2</v>
          </cell>
          <cell r="D3">
            <v>3</v>
          </cell>
          <cell r="E3">
            <v>4</v>
          </cell>
          <cell r="F3">
            <v>5</v>
          </cell>
          <cell r="G3">
            <v>6</v>
          </cell>
          <cell r="H3">
            <v>7</v>
          </cell>
        </row>
        <row r="4">
          <cell r="B4">
            <v>1</v>
          </cell>
          <cell r="C4" t="str">
            <v>HDFC BANK LTD</v>
          </cell>
          <cell r="D4" t="str">
            <v>SEC-14,GURGAON</v>
          </cell>
          <cell r="E4" t="str">
            <v>0510091</v>
          </cell>
          <cell r="F4" t="str">
            <v>14/09/2007</v>
          </cell>
          <cell r="G4">
            <v>14056</v>
          </cell>
          <cell r="H4">
            <v>50000000</v>
          </cell>
          <cell r="S4">
            <v>1</v>
          </cell>
        </row>
        <row r="5">
          <cell r="B5">
            <v>2</v>
          </cell>
          <cell r="C5" t="str">
            <v>HDFC BANK LTD</v>
          </cell>
          <cell r="D5" t="str">
            <v>SEC-14,GURGAON</v>
          </cell>
          <cell r="E5" t="str">
            <v>0510091</v>
          </cell>
          <cell r="F5" t="str">
            <v>14/12/2007</v>
          </cell>
          <cell r="G5">
            <v>14103</v>
          </cell>
          <cell r="H5">
            <v>250000000</v>
          </cell>
          <cell r="S5">
            <v>1</v>
          </cell>
        </row>
        <row r="6">
          <cell r="B6">
            <v>3</v>
          </cell>
          <cell r="C6" t="str">
            <v>HDFC BANK LTD</v>
          </cell>
          <cell r="D6" t="str">
            <v>GOREGAON(W)</v>
          </cell>
          <cell r="E6" t="str">
            <v>0510308</v>
          </cell>
          <cell r="F6" t="str">
            <v>15/03/2008</v>
          </cell>
          <cell r="G6">
            <v>12</v>
          </cell>
          <cell r="H6">
            <v>350000000</v>
          </cell>
          <cell r="S6">
            <v>1</v>
          </cell>
        </row>
        <row r="7">
          <cell r="B7">
            <v>4</v>
          </cell>
          <cell r="C7" t="str">
            <v>HDFC BANK LTD</v>
          </cell>
          <cell r="D7" t="str">
            <v>GOREGAON(W)</v>
          </cell>
          <cell r="E7" t="str">
            <v>0510308</v>
          </cell>
          <cell r="F7" t="str">
            <v>29/09/2008</v>
          </cell>
          <cell r="G7">
            <v>2472</v>
          </cell>
          <cell r="H7">
            <v>114210364</v>
          </cell>
          <cell r="S7">
            <v>2</v>
          </cell>
        </row>
        <row r="8">
          <cell r="B8">
            <v>5</v>
          </cell>
          <cell r="S8" t="e">
            <v>#VALUE!</v>
          </cell>
        </row>
        <row r="9">
          <cell r="B9">
            <v>6</v>
          </cell>
          <cell r="S9" t="e">
            <v>#VALUE!</v>
          </cell>
        </row>
        <row r="10">
          <cell r="B10" t="str">
            <v>NOTE</v>
          </cell>
          <cell r="D10" t="str">
            <v>Totals of Advance tax and Self Assessment tax linked to PartB-TTI</v>
          </cell>
        </row>
        <row r="28">
          <cell r="A28" t="str">
            <v>Schedule FBT</v>
          </cell>
          <cell r="D28" t="str">
            <v>Details of payment of Fringe Benefit Tax</v>
          </cell>
        </row>
        <row r="30">
          <cell r="B30">
            <v>1</v>
          </cell>
          <cell r="C30" t="str">
            <v>HDFC BANK LTD</v>
          </cell>
          <cell r="D30" t="str">
            <v>KG MARG, NEW DELHI</v>
          </cell>
          <cell r="E30" t="str">
            <v>0510005</v>
          </cell>
          <cell r="F30" t="str">
            <v>15/06/2007</v>
          </cell>
          <cell r="G30">
            <v>55764</v>
          </cell>
          <cell r="H30">
            <v>150000</v>
          </cell>
          <cell r="R30">
            <v>1</v>
          </cell>
        </row>
        <row r="31">
          <cell r="B31">
            <v>2</v>
          </cell>
          <cell r="C31" t="str">
            <v>HDFC BANK LTD</v>
          </cell>
          <cell r="D31" t="str">
            <v>SEC-14, GURGAON</v>
          </cell>
          <cell r="E31" t="str">
            <v>0510091</v>
          </cell>
          <cell r="F31" t="str">
            <v>15/06/2007</v>
          </cell>
          <cell r="G31">
            <v>15039</v>
          </cell>
          <cell r="H31">
            <v>920000</v>
          </cell>
          <cell r="R31">
            <v>1</v>
          </cell>
        </row>
        <row r="32">
          <cell r="B32">
            <v>3</v>
          </cell>
          <cell r="C32" t="str">
            <v>HDFC BANK LTD</v>
          </cell>
          <cell r="D32" t="str">
            <v>SEC-14, GURGAON</v>
          </cell>
          <cell r="E32" t="str">
            <v>0510091</v>
          </cell>
          <cell r="F32" t="str">
            <v>14/09/2007</v>
          </cell>
          <cell r="G32">
            <v>14061</v>
          </cell>
          <cell r="H32">
            <v>2910000</v>
          </cell>
          <cell r="R32">
            <v>1</v>
          </cell>
        </row>
        <row r="33">
          <cell r="B33">
            <v>4</v>
          </cell>
          <cell r="C33" t="str">
            <v>HDFC BANK LTD</v>
          </cell>
          <cell r="D33" t="str">
            <v>SEC-14, GURGAON</v>
          </cell>
          <cell r="E33" t="str">
            <v>0510091</v>
          </cell>
          <cell r="F33" t="str">
            <v>14/09/2007</v>
          </cell>
          <cell r="G33">
            <v>14058</v>
          </cell>
          <cell r="H33">
            <v>800000</v>
          </cell>
          <cell r="R33">
            <v>1</v>
          </cell>
        </row>
        <row r="34">
          <cell r="B34">
            <v>5</v>
          </cell>
          <cell r="C34" t="str">
            <v>HDFC BANK LTD</v>
          </cell>
          <cell r="D34" t="str">
            <v>SEC-14, GURGAON</v>
          </cell>
          <cell r="E34" t="str">
            <v>0510091</v>
          </cell>
          <cell r="F34" t="str">
            <v>15/12/2007</v>
          </cell>
          <cell r="G34">
            <v>15008</v>
          </cell>
          <cell r="H34">
            <v>54600000</v>
          </cell>
          <cell r="R34">
            <v>1</v>
          </cell>
        </row>
        <row r="35">
          <cell r="B35">
            <v>6</v>
          </cell>
          <cell r="C35" t="str">
            <v>HDFC BANK LTD</v>
          </cell>
          <cell r="D35" t="str">
            <v>SEC-14, GURGAON</v>
          </cell>
          <cell r="E35" t="str">
            <v>0510091</v>
          </cell>
          <cell r="F35" t="str">
            <v>14/12/2007</v>
          </cell>
          <cell r="G35">
            <v>14098</v>
          </cell>
          <cell r="H35">
            <v>750000</v>
          </cell>
          <cell r="R35">
            <v>1</v>
          </cell>
        </row>
        <row r="36">
          <cell r="B36">
            <v>7</v>
          </cell>
          <cell r="C36" t="str">
            <v>HDFC BANK LTD</v>
          </cell>
          <cell r="D36" t="str">
            <v>GOREGAON(W)</v>
          </cell>
          <cell r="E36" t="str">
            <v>0510308</v>
          </cell>
          <cell r="F36" t="str">
            <v>14/03/2008</v>
          </cell>
          <cell r="G36">
            <v>72</v>
          </cell>
          <cell r="H36">
            <v>7970000</v>
          </cell>
          <cell r="R36">
            <v>1</v>
          </cell>
        </row>
        <row r="37">
          <cell r="B37">
            <v>8</v>
          </cell>
          <cell r="R37" t="e">
            <v>#VALUE!</v>
          </cell>
        </row>
        <row r="38">
          <cell r="B38">
            <v>9</v>
          </cell>
          <cell r="R38" t="e">
            <v>#VALUE!</v>
          </cell>
        </row>
        <row r="39">
          <cell r="B39">
            <v>10</v>
          </cell>
          <cell r="R39" t="e">
            <v>#VALUE!</v>
          </cell>
        </row>
        <row r="40">
          <cell r="B40">
            <v>11</v>
          </cell>
          <cell r="R40" t="e">
            <v>#VALUE!</v>
          </cell>
        </row>
        <row r="41">
          <cell r="B41" t="str">
            <v>NOTE</v>
          </cell>
          <cell r="D41" t="str">
            <v>Linked to Part C</v>
          </cell>
        </row>
        <row r="47">
          <cell r="C47" t="str">
            <v>Sch : Dividend Distribution Tax Payment</v>
          </cell>
        </row>
        <row r="49">
          <cell r="C49" t="str">
            <v>HDFC BANK LTD</v>
          </cell>
          <cell r="D49" t="str">
            <v>SEC-14, GURGAON</v>
          </cell>
          <cell r="E49" t="str">
            <v>0510091</v>
          </cell>
          <cell r="F49" t="str">
            <v>27/07/2007</v>
          </cell>
          <cell r="G49">
            <v>27061</v>
          </cell>
          <cell r="H49">
            <v>3411273</v>
          </cell>
        </row>
        <row r="50">
          <cell r="C50" t="str">
            <v>HDFC BANK LTD</v>
          </cell>
          <cell r="D50" t="str">
            <v>K.G.MARG, NEW DELHI</v>
          </cell>
          <cell r="E50" t="str">
            <v>0510005</v>
          </cell>
          <cell r="F50" t="str">
            <v>03/11/2007</v>
          </cell>
          <cell r="G50">
            <v>59127</v>
          </cell>
          <cell r="H50">
            <v>3448759</v>
          </cell>
        </row>
        <row r="51">
          <cell r="C51" t="str">
            <v>HDFC BANK LTD</v>
          </cell>
          <cell r="D51" t="str">
            <v>SEC-14, GURGAON</v>
          </cell>
          <cell r="E51" t="str">
            <v>0510091</v>
          </cell>
          <cell r="F51" t="str">
            <v>28/09/2007</v>
          </cell>
          <cell r="G51">
            <v>28006</v>
          </cell>
          <cell r="H51">
            <v>37855730</v>
          </cell>
        </row>
        <row r="52">
          <cell r="C52" t="str">
            <v>HDFC BANK LTD</v>
          </cell>
          <cell r="D52" t="str">
            <v>GOREGAON(W)</v>
          </cell>
          <cell r="E52" t="str">
            <v>0510308</v>
          </cell>
          <cell r="F52" t="str">
            <v>30/01/2008</v>
          </cell>
          <cell r="G52">
            <v>5</v>
          </cell>
          <cell r="H52">
            <v>3350618</v>
          </cell>
        </row>
        <row r="53">
          <cell r="C53" t="str">
            <v>HDFC BANK LTD</v>
          </cell>
          <cell r="D53" t="str">
            <v>GOREGAON(W)</v>
          </cell>
          <cell r="E53" t="str">
            <v>0510308</v>
          </cell>
          <cell r="F53" t="str">
            <v>22/05/2008</v>
          </cell>
          <cell r="G53">
            <v>87</v>
          </cell>
          <cell r="H53">
            <v>5462965</v>
          </cell>
        </row>
        <row r="70">
          <cell r="J70" t="str">
            <v>01-ANDAMAN AND NICOBAR ISLANDS</v>
          </cell>
        </row>
        <row r="71">
          <cell r="J71" t="str">
            <v>02-ANDHRA PRADESH</v>
          </cell>
        </row>
        <row r="72">
          <cell r="J72" t="str">
            <v>03-ARUNACHAL PRADESH</v>
          </cell>
        </row>
        <row r="73">
          <cell r="J73" t="str">
            <v>04-ASSAM</v>
          </cell>
        </row>
        <row r="74">
          <cell r="J74" t="str">
            <v>05-BIHAR</v>
          </cell>
        </row>
        <row r="75">
          <cell r="J75" t="str">
            <v>06-CHANDIGARH</v>
          </cell>
        </row>
        <row r="76">
          <cell r="J76" t="str">
            <v>07-DADRA AND NAGAR HAVELI</v>
          </cell>
        </row>
        <row r="77">
          <cell r="J77" t="str">
            <v>08-DAMAN AND DIU</v>
          </cell>
        </row>
        <row r="78">
          <cell r="J78" t="str">
            <v>09-DELHI</v>
          </cell>
        </row>
        <row r="79">
          <cell r="J79" t="str">
            <v>10-GOA</v>
          </cell>
        </row>
        <row r="80">
          <cell r="J80" t="str">
            <v>11-GUJARAT</v>
          </cell>
        </row>
        <row r="81">
          <cell r="J81" t="str">
            <v>12-HARYANA</v>
          </cell>
        </row>
        <row r="82">
          <cell r="J82" t="str">
            <v>13-HIMACHAL PRADESH</v>
          </cell>
        </row>
        <row r="83">
          <cell r="J83" t="str">
            <v>14-JAMMU AND KASHMIR</v>
          </cell>
        </row>
        <row r="84">
          <cell r="J84" t="str">
            <v>15-KARNATAKA</v>
          </cell>
        </row>
        <row r="85">
          <cell r="J85" t="str">
            <v>16-KERALA</v>
          </cell>
        </row>
        <row r="86">
          <cell r="J86" t="str">
            <v>17-LAKHSWADEEP</v>
          </cell>
        </row>
        <row r="87">
          <cell r="J87" t="str">
            <v>18-MADHYA PRADESH</v>
          </cell>
        </row>
        <row r="88">
          <cell r="J88" t="str">
            <v>19-MAHARASHTRA</v>
          </cell>
        </row>
        <row r="89">
          <cell r="J89" t="str">
            <v>20-MANIPUR</v>
          </cell>
        </row>
        <row r="90">
          <cell r="J90" t="str">
            <v>21-MEGHALAYA</v>
          </cell>
        </row>
        <row r="91">
          <cell r="J91" t="str">
            <v>22-MIZORAM</v>
          </cell>
        </row>
        <row r="92">
          <cell r="J92" t="str">
            <v>23-NAGALAND</v>
          </cell>
        </row>
        <row r="93">
          <cell r="J93" t="str">
            <v>24-ORISSA</v>
          </cell>
        </row>
        <row r="94">
          <cell r="J94" t="str">
            <v>25-PONDICHERRY</v>
          </cell>
        </row>
        <row r="95">
          <cell r="J95" t="str">
            <v>26-PUNJAB</v>
          </cell>
        </row>
        <row r="96">
          <cell r="J96" t="str">
            <v>27-RAJASTHAN</v>
          </cell>
        </row>
        <row r="97">
          <cell r="J97" t="str">
            <v>28-SIKKIM</v>
          </cell>
        </row>
        <row r="98">
          <cell r="J98" t="str">
            <v>29-TAMILNADU</v>
          </cell>
        </row>
        <row r="99">
          <cell r="J99" t="str">
            <v>30-TRIPURA</v>
          </cell>
        </row>
        <row r="100">
          <cell r="J100" t="str">
            <v>31-UTTAR PRADESH</v>
          </cell>
        </row>
        <row r="101">
          <cell r="J101" t="str">
            <v>32-WEST BENGAL</v>
          </cell>
        </row>
        <row r="102">
          <cell r="J102" t="str">
            <v>33-CHHATISHGARH</v>
          </cell>
        </row>
        <row r="103">
          <cell r="J103" t="str">
            <v>34-UTTARANCHAL</v>
          </cell>
        </row>
        <row r="104">
          <cell r="J104" t="str">
            <v>35-JHARKHAND</v>
          </cell>
        </row>
        <row r="105">
          <cell r="J105" t="str">
            <v>99-FOREIGN</v>
          </cell>
        </row>
      </sheetData>
      <sheetData sheetId="27" refreshError="1"/>
      <sheetData sheetId="28" refreshError="1">
        <row r="1">
          <cell r="B1" t="str">
            <v>Instructions to fill up Excel Utility</v>
          </cell>
        </row>
        <row r="13">
          <cell r="C13" t="str">
            <v>Overview</v>
          </cell>
        </row>
        <row r="25">
          <cell r="B25" t="str">
            <v>The validation page shows the error free entries that the utility will convert into XML format when the user clicks on Publish XML button.</v>
          </cell>
        </row>
        <row r="28">
          <cell r="B28" t="str">
            <v>Before you begin</v>
          </cell>
        </row>
        <row r="31">
          <cell r="B31" t="str">
            <v>The following elements are available on ever sheet</v>
          </cell>
        </row>
        <row r="34">
          <cell r="B34" t="str">
            <v>c) Validate Sheet button , which allows the user to check for errors / omissions if any, per sheet.</v>
          </cell>
        </row>
        <row r="40">
          <cell r="B40" t="str">
            <v>Structure of the utility for ITR6</v>
          </cell>
        </row>
        <row r="41">
          <cell r="B41" t="str">
            <v>The various sheets and the schedules covered per sheet is as below.</v>
          </cell>
        </row>
        <row r="47">
          <cell r="B47" t="str">
            <v>Customisation of the utility by clicking on the Home button shown here ----&gt;</v>
          </cell>
        </row>
        <row r="54">
          <cell r="B54" t="str">
            <v>Filling up the sections of the form using the utility.</v>
          </cell>
        </row>
        <row r="74">
          <cell r="B74" t="str">
            <v>Validating the sheets :</v>
          </cell>
        </row>
        <row r="77">
          <cell r="B77" t="str">
            <v>Generating the XML and Verification :</v>
          </cell>
        </row>
        <row r="82">
          <cell r="B82" t="str">
            <v>Printing.</v>
          </cell>
        </row>
        <row r="86">
          <cell r="B86" t="str">
            <v>Importing</v>
          </cell>
        </row>
        <row r="120">
          <cell r="B120" t="str">
            <v>GENERAL</v>
          </cell>
        </row>
        <row r="136">
          <cell r="B136" t="str">
            <v>GENERAL2</v>
          </cell>
        </row>
        <row r="139">
          <cell r="B139" t="str">
            <v>SUBSIDIARY DETAILS</v>
          </cell>
        </row>
        <row r="143">
          <cell r="B143" t="str">
            <v>NATURE  OF BUSINESS</v>
          </cell>
        </row>
        <row r="148">
          <cell r="B148" t="str">
            <v>BALANCE_SHEET</v>
          </cell>
        </row>
        <row r="157">
          <cell r="B157" t="str">
            <v>PROFIT_LOSS</v>
          </cell>
        </row>
        <row r="167">
          <cell r="B167" t="str">
            <v>OTHER_INFORMATION</v>
          </cell>
        </row>
        <row r="179">
          <cell r="B179" t="str">
            <v>QUANTITATIVE_DETAILS</v>
          </cell>
        </row>
        <row r="187">
          <cell r="B187" t="str">
            <v>PART_B</v>
          </cell>
        </row>
        <row r="212">
          <cell r="B212" t="str">
            <v>PART_C</v>
          </cell>
        </row>
        <row r="243">
          <cell r="B243" t="str">
            <v>HOUSE_PROPERTY</v>
          </cell>
        </row>
        <row r="260">
          <cell r="B260" t="str">
            <v>BP</v>
          </cell>
        </row>
        <row r="274">
          <cell r="B274" t="str">
            <v>DPM_DOA</v>
          </cell>
        </row>
        <row r="281">
          <cell r="B281" t="str">
            <v>DEP_DCG</v>
          </cell>
        </row>
        <row r="289">
          <cell r="B289" t="str">
            <v>ESR</v>
          </cell>
        </row>
        <row r="296">
          <cell r="B296" t="str">
            <v>CG_OS</v>
          </cell>
        </row>
        <row r="342">
          <cell r="B342" t="str">
            <v>CYLA BFLA</v>
          </cell>
        </row>
        <row r="363">
          <cell r="B363" t="str">
            <v>CFL</v>
          </cell>
        </row>
        <row r="373">
          <cell r="B373" t="str">
            <v>10A</v>
          </cell>
        </row>
        <row r="393">
          <cell r="B393" t="str">
            <v>80G</v>
          </cell>
        </row>
        <row r="411">
          <cell r="B411" t="str">
            <v>80_</v>
          </cell>
        </row>
        <row r="444">
          <cell r="B444" t="str">
            <v>SI</v>
          </cell>
        </row>
        <row r="473">
          <cell r="B473" t="str">
            <v>EI / MAT</v>
          </cell>
        </row>
        <row r="485">
          <cell r="B485" t="str">
            <v>FRINGE_BENEFIT_INFO</v>
          </cell>
        </row>
        <row r="492">
          <cell r="B492" t="str">
            <v>FRINGE_BENEFITS</v>
          </cell>
        </row>
        <row r="526">
          <cell r="B526" t="str">
            <v>IT_TDS_TCS_FBT</v>
          </cell>
        </row>
        <row r="545">
          <cell r="B545" t="str">
            <v>DDT</v>
          </cell>
        </row>
        <row r="554">
          <cell r="B554" t="str">
            <v>General Instructions for filling in the form</v>
          </cell>
        </row>
        <row r="575">
          <cell r="B575" t="str">
            <v>6. Filling out the acknowledgement</v>
          </cell>
        </row>
        <row r="774">
          <cell r="A774" t="str">
            <v>Pre XML Checks</v>
          </cell>
        </row>
      </sheetData>
      <sheetData sheetId="29" refreshError="1">
        <row r="2">
          <cell r="B2">
            <v>0</v>
          </cell>
          <cell r="E2">
            <v>0</v>
          </cell>
        </row>
        <row r="3">
          <cell r="B3">
            <v>1</v>
          </cell>
          <cell r="E3">
            <v>0</v>
          </cell>
        </row>
        <row r="4">
          <cell r="B4">
            <v>0</v>
          </cell>
          <cell r="E4">
            <v>0</v>
          </cell>
        </row>
        <row r="5">
          <cell r="B5">
            <v>0</v>
          </cell>
          <cell r="E5">
            <v>1</v>
          </cell>
        </row>
        <row r="6">
          <cell r="B6">
            <v>0</v>
          </cell>
          <cell r="E6">
            <v>0</v>
          </cell>
        </row>
        <row r="7">
          <cell r="B7">
            <v>0</v>
          </cell>
          <cell r="E7">
            <v>0</v>
          </cell>
        </row>
        <row r="8">
          <cell r="B8">
            <v>0</v>
          </cell>
          <cell r="E8">
            <v>0</v>
          </cell>
        </row>
        <row r="9">
          <cell r="B9">
            <v>0</v>
          </cell>
          <cell r="E9">
            <v>1</v>
          </cell>
        </row>
        <row r="10">
          <cell r="B10">
            <v>0</v>
          </cell>
          <cell r="E10">
            <v>0</v>
          </cell>
        </row>
        <row r="11">
          <cell r="B11">
            <v>0</v>
          </cell>
        </row>
        <row r="12">
          <cell r="B12">
            <v>0</v>
          </cell>
          <cell r="E12">
            <v>0</v>
          </cell>
        </row>
        <row r="13">
          <cell r="B13">
            <v>0</v>
          </cell>
          <cell r="E13">
            <v>0</v>
          </cell>
        </row>
        <row r="14">
          <cell r="B14">
            <v>0</v>
          </cell>
          <cell r="E14">
            <v>0</v>
          </cell>
        </row>
      </sheetData>
      <sheetData sheetId="30" refreshError="1"/>
      <sheetData sheetId="3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data"/>
      <sheetName val="Input-inf"/>
      <sheetName val="Out-putinforce"/>
      <sheetName val="out-put"/>
      <sheetName val="input-data"/>
      <sheetName val="SM MASTER"/>
    </sheetNames>
    <sheetDataSet>
      <sheetData sheetId="0"/>
      <sheetData sheetId="1"/>
      <sheetData sheetId="2" refreshError="1"/>
      <sheetData sheetId="3" refreshError="1"/>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d details"/>
      <sheetName val="dd canellation"/>
      <sheetName val="Account_NO_Co_code"/>
      <sheetName val="Other notes"/>
      <sheetName val="dd_details"/>
      <sheetName val="dd_canellation"/>
      <sheetName val="V-13_NRV Testing-FG"/>
      <sheetName val="Sheet2"/>
      <sheetName val="Control"/>
      <sheetName val="PARTY MASTER"/>
      <sheetName val="2003 Budget-PL-case1"/>
      <sheetName val="BS"/>
      <sheetName val="factor"/>
      <sheetName val="CASHFLOWS"/>
    </sheetNames>
    <sheetDataSet>
      <sheetData sheetId="0" refreshError="1"/>
      <sheetData sheetId="1" refreshError="1"/>
      <sheetData sheetId="2"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0600340035030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600340035949.</v>
          </cell>
        </row>
        <row r="231">
          <cell r="A231" t="str">
            <v>0600340035983</v>
          </cell>
        </row>
        <row r="232">
          <cell r="A232" t="str">
            <v>0600340035990</v>
          </cell>
        </row>
        <row r="233">
          <cell r="A233" t="str">
            <v>0600350000885</v>
          </cell>
        </row>
        <row r="234">
          <cell r="A234" t="str">
            <v>0600350001722</v>
          </cell>
        </row>
        <row r="235">
          <cell r="A235" t="str">
            <v>0600350002050</v>
          </cell>
        </row>
        <row r="236">
          <cell r="A236" t="str">
            <v>0600350008477</v>
          </cell>
        </row>
        <row r="237">
          <cell r="A237" t="str">
            <v>0600350013370</v>
          </cell>
        </row>
        <row r="238">
          <cell r="A238" t="str">
            <v>0600350020182</v>
          </cell>
        </row>
        <row r="239">
          <cell r="A239" t="str">
            <v>0600350025564</v>
          </cell>
        </row>
        <row r="240">
          <cell r="A240" t="str">
            <v>0602740001242</v>
          </cell>
        </row>
        <row r="241">
          <cell r="A241" t="str">
            <v>0608510000061</v>
          </cell>
        </row>
        <row r="242">
          <cell r="A242" t="str">
            <v>5422000008892</v>
          </cell>
        </row>
        <row r="243">
          <cell r="A243" t="str">
            <v>5982300000050</v>
          </cell>
        </row>
        <row r="244">
          <cell r="A244" t="str">
            <v>5988510000024</v>
          </cell>
        </row>
        <row r="245">
          <cell r="A245" t="str">
            <v>317901011012015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IO"/>
      <sheetName val="fco"/>
      <sheetName val="J"/>
    </sheetNames>
    <sheetDataSet>
      <sheetData sheetId="0" refreshError="1"/>
      <sheetData sheetId="1" refreshError="1">
        <row r="3">
          <cell r="A3" t="str">
            <v>2100</v>
          </cell>
          <cell r="I3">
            <v>39253</v>
          </cell>
        </row>
        <row r="4">
          <cell r="A4" t="str">
            <v>2100</v>
          </cell>
          <cell r="I4">
            <v>39253</v>
          </cell>
        </row>
        <row r="5">
          <cell r="A5" t="str">
            <v>2100</v>
          </cell>
          <cell r="I5">
            <v>39253</v>
          </cell>
        </row>
        <row r="6">
          <cell r="A6" t="str">
            <v>2100</v>
          </cell>
          <cell r="I6">
            <v>39252</v>
          </cell>
        </row>
        <row r="7">
          <cell r="A7" t="str">
            <v>2100</v>
          </cell>
          <cell r="I7">
            <v>39253</v>
          </cell>
        </row>
        <row r="8">
          <cell r="A8" t="str">
            <v>2100</v>
          </cell>
          <cell r="I8">
            <v>39252</v>
          </cell>
        </row>
        <row r="9">
          <cell r="A9" t="str">
            <v>2100</v>
          </cell>
          <cell r="I9">
            <v>39253</v>
          </cell>
        </row>
        <row r="10">
          <cell r="A10" t="str">
            <v>2100</v>
          </cell>
          <cell r="I10">
            <v>39253</v>
          </cell>
        </row>
        <row r="11">
          <cell r="A11" t="str">
            <v>2100</v>
          </cell>
          <cell r="I11">
            <v>39253</v>
          </cell>
        </row>
        <row r="12">
          <cell r="A12" t="str">
            <v>2100</v>
          </cell>
          <cell r="I12">
            <v>39253</v>
          </cell>
        </row>
        <row r="13">
          <cell r="A13" t="str">
            <v>2100</v>
          </cell>
          <cell r="I13">
            <v>39253</v>
          </cell>
        </row>
        <row r="14">
          <cell r="A14" t="str">
            <v>2100</v>
          </cell>
          <cell r="I14">
            <v>39253</v>
          </cell>
        </row>
        <row r="15">
          <cell r="A15" t="str">
            <v>2100</v>
          </cell>
          <cell r="I15">
            <v>39253</v>
          </cell>
        </row>
        <row r="16">
          <cell r="A16" t="str">
            <v>2100</v>
          </cell>
          <cell r="I16">
            <v>39253</v>
          </cell>
        </row>
        <row r="17">
          <cell r="A17" t="str">
            <v>2100</v>
          </cell>
          <cell r="I17">
            <v>39253</v>
          </cell>
        </row>
        <row r="18">
          <cell r="A18" t="str">
            <v>2100</v>
          </cell>
          <cell r="I18">
            <v>39260</v>
          </cell>
        </row>
        <row r="19">
          <cell r="A19" t="str">
            <v>2100</v>
          </cell>
          <cell r="I19">
            <v>39252</v>
          </cell>
        </row>
        <row r="20">
          <cell r="A20" t="str">
            <v>2100</v>
          </cell>
          <cell r="I20">
            <v>39256</v>
          </cell>
        </row>
        <row r="21">
          <cell r="A21" t="str">
            <v>2100</v>
          </cell>
          <cell r="I21">
            <v>39253</v>
          </cell>
        </row>
        <row r="22">
          <cell r="A22" t="str">
            <v>2100</v>
          </cell>
          <cell r="I22">
            <v>39253</v>
          </cell>
        </row>
        <row r="23">
          <cell r="A23" t="str">
            <v>2100</v>
          </cell>
          <cell r="I23">
            <v>39253</v>
          </cell>
        </row>
        <row r="24">
          <cell r="A24" t="str">
            <v>2100</v>
          </cell>
          <cell r="I24">
            <v>39253</v>
          </cell>
        </row>
        <row r="25">
          <cell r="A25" t="str">
            <v>2100</v>
          </cell>
          <cell r="I25">
            <v>39253</v>
          </cell>
        </row>
        <row r="26">
          <cell r="A26" t="str">
            <v>2100</v>
          </cell>
          <cell r="I26">
            <v>39253</v>
          </cell>
        </row>
        <row r="27">
          <cell r="A27" t="str">
            <v>2100</v>
          </cell>
          <cell r="I27">
            <v>39256</v>
          </cell>
        </row>
        <row r="28">
          <cell r="A28" t="str">
            <v>2100</v>
          </cell>
          <cell r="I28">
            <v>39259</v>
          </cell>
        </row>
        <row r="29">
          <cell r="A29" t="str">
            <v>2100</v>
          </cell>
          <cell r="I29">
            <v>39259</v>
          </cell>
        </row>
        <row r="30">
          <cell r="A30" t="str">
            <v>2100</v>
          </cell>
          <cell r="I30">
            <v>39259</v>
          </cell>
        </row>
        <row r="31">
          <cell r="A31" t="str">
            <v>2100</v>
          </cell>
          <cell r="I31">
            <v>39259</v>
          </cell>
        </row>
        <row r="32">
          <cell r="A32" t="str">
            <v>2100</v>
          </cell>
          <cell r="I32">
            <v>39259</v>
          </cell>
        </row>
        <row r="33">
          <cell r="A33" t="str">
            <v>2100</v>
          </cell>
          <cell r="I33">
            <v>39248</v>
          </cell>
        </row>
        <row r="34">
          <cell r="A34" t="str">
            <v>2100</v>
          </cell>
          <cell r="I34">
            <v>39248</v>
          </cell>
        </row>
        <row r="35">
          <cell r="A35" t="str">
            <v>2100</v>
          </cell>
          <cell r="I35">
            <v>39252</v>
          </cell>
        </row>
        <row r="36">
          <cell r="A36" t="str">
            <v>2100</v>
          </cell>
          <cell r="I36">
            <v>39259</v>
          </cell>
        </row>
        <row r="37">
          <cell r="A37" t="str">
            <v>2100</v>
          </cell>
          <cell r="I37">
            <v>39259</v>
          </cell>
        </row>
        <row r="38">
          <cell r="A38" t="str">
            <v>2100</v>
          </cell>
          <cell r="I38">
            <v>39251</v>
          </cell>
        </row>
        <row r="39">
          <cell r="A39" t="str">
            <v>2100</v>
          </cell>
          <cell r="I39">
            <v>39260</v>
          </cell>
        </row>
        <row r="40">
          <cell r="A40" t="str">
            <v>2100</v>
          </cell>
          <cell r="I40">
            <v>39259</v>
          </cell>
        </row>
        <row r="41">
          <cell r="A41" t="str">
            <v>2100</v>
          </cell>
          <cell r="I41">
            <v>39259</v>
          </cell>
        </row>
        <row r="42">
          <cell r="A42" t="str">
            <v>2100</v>
          </cell>
          <cell r="I42">
            <v>39260</v>
          </cell>
        </row>
        <row r="43">
          <cell r="A43" t="str">
            <v>2100</v>
          </cell>
          <cell r="I43">
            <v>39260</v>
          </cell>
        </row>
        <row r="44">
          <cell r="A44" t="str">
            <v>2100</v>
          </cell>
          <cell r="I44">
            <v>39255</v>
          </cell>
        </row>
        <row r="45">
          <cell r="A45" t="str">
            <v>2100</v>
          </cell>
          <cell r="I45">
            <v>39247</v>
          </cell>
        </row>
        <row r="46">
          <cell r="A46" t="str">
            <v>2100</v>
          </cell>
          <cell r="I46">
            <v>39255</v>
          </cell>
        </row>
        <row r="47">
          <cell r="A47" t="str">
            <v>2100</v>
          </cell>
          <cell r="I47">
            <v>39255</v>
          </cell>
        </row>
        <row r="48">
          <cell r="A48" t="str">
            <v>2100</v>
          </cell>
          <cell r="I48">
            <v>39255</v>
          </cell>
        </row>
        <row r="49">
          <cell r="A49" t="str">
            <v>2100</v>
          </cell>
          <cell r="I49">
            <v>39256</v>
          </cell>
        </row>
        <row r="50">
          <cell r="A50" t="str">
            <v>2100</v>
          </cell>
          <cell r="I50">
            <v>39256</v>
          </cell>
        </row>
        <row r="51">
          <cell r="A51" t="str">
            <v>2100</v>
          </cell>
          <cell r="I51">
            <v>39256</v>
          </cell>
        </row>
        <row r="52">
          <cell r="A52" t="str">
            <v>2100</v>
          </cell>
          <cell r="I52">
            <v>39256</v>
          </cell>
        </row>
        <row r="53">
          <cell r="A53" t="str">
            <v>2100</v>
          </cell>
          <cell r="I53">
            <v>39256</v>
          </cell>
        </row>
        <row r="54">
          <cell r="A54" t="str">
            <v>2100</v>
          </cell>
          <cell r="I54">
            <v>39256</v>
          </cell>
        </row>
        <row r="55">
          <cell r="A55" t="str">
            <v>2100</v>
          </cell>
          <cell r="I55">
            <v>39256</v>
          </cell>
        </row>
        <row r="56">
          <cell r="A56" t="str">
            <v>2100</v>
          </cell>
          <cell r="I56">
            <v>39256</v>
          </cell>
        </row>
        <row r="57">
          <cell r="A57" t="str">
            <v>2100</v>
          </cell>
          <cell r="I57">
            <v>39256</v>
          </cell>
        </row>
        <row r="58">
          <cell r="A58" t="str">
            <v>2100</v>
          </cell>
          <cell r="I58">
            <v>39256</v>
          </cell>
        </row>
        <row r="59">
          <cell r="A59" t="str">
            <v>2100</v>
          </cell>
          <cell r="I59">
            <v>39255</v>
          </cell>
        </row>
        <row r="60">
          <cell r="A60" t="str">
            <v>2100</v>
          </cell>
          <cell r="I60">
            <v>39255</v>
          </cell>
        </row>
        <row r="61">
          <cell r="A61" t="str">
            <v>2100</v>
          </cell>
          <cell r="I61">
            <v>39255</v>
          </cell>
        </row>
        <row r="62">
          <cell r="A62" t="str">
            <v>2100</v>
          </cell>
          <cell r="I62">
            <v>39255</v>
          </cell>
        </row>
        <row r="63">
          <cell r="A63" t="str">
            <v>2100</v>
          </cell>
          <cell r="I63">
            <v>39255</v>
          </cell>
        </row>
        <row r="64">
          <cell r="A64" t="str">
            <v>2100</v>
          </cell>
          <cell r="I64">
            <v>39255</v>
          </cell>
        </row>
        <row r="65">
          <cell r="A65" t="str">
            <v>2100</v>
          </cell>
          <cell r="I65">
            <v>39248</v>
          </cell>
        </row>
        <row r="66">
          <cell r="A66" t="str">
            <v>2100</v>
          </cell>
          <cell r="I66">
            <v>39245</v>
          </cell>
        </row>
        <row r="67">
          <cell r="A67" t="str">
            <v>2100</v>
          </cell>
          <cell r="I67">
            <v>39256</v>
          </cell>
        </row>
        <row r="68">
          <cell r="A68" t="str">
            <v>2100</v>
          </cell>
          <cell r="I68">
            <v>39255</v>
          </cell>
        </row>
        <row r="69">
          <cell r="A69" t="str">
            <v>2100</v>
          </cell>
          <cell r="I69">
            <v>39255</v>
          </cell>
        </row>
        <row r="70">
          <cell r="A70" t="str">
            <v>2100</v>
          </cell>
          <cell r="I70">
            <v>39258</v>
          </cell>
        </row>
        <row r="71">
          <cell r="A71" t="str">
            <v>2100</v>
          </cell>
          <cell r="I71">
            <v>39259</v>
          </cell>
        </row>
        <row r="72">
          <cell r="A72" t="str">
            <v>2100</v>
          </cell>
          <cell r="I72">
            <v>39256</v>
          </cell>
        </row>
        <row r="73">
          <cell r="A73" t="str">
            <v>2100</v>
          </cell>
          <cell r="I73">
            <v>39259</v>
          </cell>
        </row>
        <row r="74">
          <cell r="A74" t="str">
            <v>2100</v>
          </cell>
          <cell r="I74">
            <v>39256</v>
          </cell>
        </row>
        <row r="75">
          <cell r="A75" t="str">
            <v>2100</v>
          </cell>
          <cell r="I75">
            <v>39255</v>
          </cell>
        </row>
        <row r="76">
          <cell r="A76" t="str">
            <v>2100</v>
          </cell>
          <cell r="I76">
            <v>39258</v>
          </cell>
        </row>
        <row r="77">
          <cell r="A77" t="str">
            <v>2100</v>
          </cell>
          <cell r="I77">
            <v>39253</v>
          </cell>
        </row>
        <row r="78">
          <cell r="A78" t="str">
            <v>2100</v>
          </cell>
          <cell r="I78">
            <v>39259</v>
          </cell>
        </row>
        <row r="79">
          <cell r="A79" t="str">
            <v>2100</v>
          </cell>
          <cell r="I79">
            <v>39259</v>
          </cell>
        </row>
        <row r="80">
          <cell r="A80" t="str">
            <v>2100</v>
          </cell>
          <cell r="I80">
            <v>39259</v>
          </cell>
        </row>
        <row r="81">
          <cell r="A81" t="str">
            <v>2100</v>
          </cell>
          <cell r="I81">
            <v>39259</v>
          </cell>
        </row>
        <row r="82">
          <cell r="A82" t="str">
            <v>2100</v>
          </cell>
          <cell r="I82">
            <v>39259</v>
          </cell>
        </row>
        <row r="83">
          <cell r="A83" t="str">
            <v>2100</v>
          </cell>
          <cell r="I83">
            <v>39253</v>
          </cell>
        </row>
        <row r="84">
          <cell r="A84" t="str">
            <v>2100</v>
          </cell>
          <cell r="I84">
            <v>39253</v>
          </cell>
        </row>
        <row r="85">
          <cell r="A85" t="str">
            <v>2100</v>
          </cell>
          <cell r="I85">
            <v>39255</v>
          </cell>
        </row>
        <row r="86">
          <cell r="A86" t="str">
            <v>2100</v>
          </cell>
          <cell r="I86">
            <v>39253</v>
          </cell>
        </row>
        <row r="87">
          <cell r="A87" t="str">
            <v>2100</v>
          </cell>
          <cell r="I87">
            <v>39253</v>
          </cell>
        </row>
        <row r="88">
          <cell r="A88" t="str">
            <v>2100</v>
          </cell>
          <cell r="I88">
            <v>39253</v>
          </cell>
        </row>
        <row r="89">
          <cell r="A89" t="str">
            <v>2100</v>
          </cell>
          <cell r="I89">
            <v>39259</v>
          </cell>
        </row>
        <row r="90">
          <cell r="A90" t="str">
            <v>2100</v>
          </cell>
          <cell r="I90">
            <v>39253</v>
          </cell>
        </row>
        <row r="91">
          <cell r="A91" t="str">
            <v>2100</v>
          </cell>
          <cell r="I91">
            <v>39253</v>
          </cell>
        </row>
        <row r="92">
          <cell r="A92" t="str">
            <v>2100</v>
          </cell>
          <cell r="I92">
            <v>39259</v>
          </cell>
        </row>
        <row r="93">
          <cell r="A93" t="str">
            <v>2100</v>
          </cell>
          <cell r="I93">
            <v>39253</v>
          </cell>
        </row>
        <row r="94">
          <cell r="A94" t="str">
            <v>2100</v>
          </cell>
          <cell r="I94">
            <v>39253</v>
          </cell>
        </row>
        <row r="95">
          <cell r="A95" t="str">
            <v>2100</v>
          </cell>
          <cell r="I95">
            <v>39247</v>
          </cell>
        </row>
        <row r="96">
          <cell r="A96" t="str">
            <v>2100</v>
          </cell>
          <cell r="I96">
            <v>39260</v>
          </cell>
        </row>
        <row r="97">
          <cell r="A97" t="str">
            <v>2100</v>
          </cell>
          <cell r="I97">
            <v>39251</v>
          </cell>
        </row>
        <row r="98">
          <cell r="A98" t="str">
            <v>2100</v>
          </cell>
          <cell r="I98">
            <v>39253</v>
          </cell>
        </row>
        <row r="99">
          <cell r="A99" t="str">
            <v>2100</v>
          </cell>
          <cell r="I99">
            <v>39259</v>
          </cell>
        </row>
        <row r="100">
          <cell r="A100" t="str">
            <v>2100</v>
          </cell>
          <cell r="I100">
            <v>39252</v>
          </cell>
        </row>
        <row r="101">
          <cell r="A101" t="str">
            <v>2100</v>
          </cell>
          <cell r="I101">
            <v>39255</v>
          </cell>
        </row>
        <row r="102">
          <cell r="A102" t="str">
            <v>2100</v>
          </cell>
          <cell r="I102">
            <v>39259</v>
          </cell>
        </row>
        <row r="103">
          <cell r="A103" t="str">
            <v>2100</v>
          </cell>
          <cell r="I103">
            <v>39259</v>
          </cell>
        </row>
        <row r="104">
          <cell r="A104" t="str">
            <v>2100</v>
          </cell>
          <cell r="I104">
            <v>39259</v>
          </cell>
        </row>
        <row r="105">
          <cell r="A105" t="str">
            <v>2100</v>
          </cell>
          <cell r="I105">
            <v>39252</v>
          </cell>
        </row>
        <row r="106">
          <cell r="A106" t="str">
            <v>2100</v>
          </cell>
          <cell r="I106">
            <v>39252</v>
          </cell>
        </row>
        <row r="107">
          <cell r="A107" t="str">
            <v>2100</v>
          </cell>
          <cell r="I107">
            <v>39252</v>
          </cell>
        </row>
        <row r="108">
          <cell r="A108" t="str">
            <v>2100</v>
          </cell>
          <cell r="I108">
            <v>39252</v>
          </cell>
        </row>
        <row r="109">
          <cell r="A109" t="str">
            <v>2100</v>
          </cell>
          <cell r="I109">
            <v>39253</v>
          </cell>
        </row>
        <row r="110">
          <cell r="A110" t="str">
            <v>2100</v>
          </cell>
          <cell r="I110">
            <v>39251</v>
          </cell>
        </row>
        <row r="111">
          <cell r="A111" t="str">
            <v>2100</v>
          </cell>
          <cell r="I111">
            <v>39259</v>
          </cell>
        </row>
        <row r="112">
          <cell r="A112" t="str">
            <v>2100</v>
          </cell>
          <cell r="I112">
            <v>39253</v>
          </cell>
        </row>
        <row r="113">
          <cell r="A113" t="str">
            <v>2100</v>
          </cell>
          <cell r="I113">
            <v>39254</v>
          </cell>
        </row>
        <row r="114">
          <cell r="A114" t="str">
            <v>2100</v>
          </cell>
          <cell r="I114">
            <v>39259</v>
          </cell>
        </row>
        <row r="115">
          <cell r="A115" t="str">
            <v>2100</v>
          </cell>
          <cell r="I115">
            <v>39254</v>
          </cell>
        </row>
        <row r="116">
          <cell r="A116" t="str">
            <v>2100</v>
          </cell>
          <cell r="I116">
            <v>39253</v>
          </cell>
        </row>
        <row r="117">
          <cell r="A117" t="str">
            <v>2100</v>
          </cell>
          <cell r="I117">
            <v>39253</v>
          </cell>
        </row>
        <row r="118">
          <cell r="A118" t="str">
            <v>2100</v>
          </cell>
          <cell r="I118">
            <v>39252</v>
          </cell>
        </row>
        <row r="119">
          <cell r="A119" t="str">
            <v>2100</v>
          </cell>
          <cell r="I119">
            <v>39252</v>
          </cell>
        </row>
        <row r="120">
          <cell r="A120" t="str">
            <v>2100</v>
          </cell>
          <cell r="I120">
            <v>39253</v>
          </cell>
        </row>
        <row r="121">
          <cell r="A121" t="str">
            <v>2100</v>
          </cell>
          <cell r="I121">
            <v>39252</v>
          </cell>
        </row>
        <row r="122">
          <cell r="A122" t="str">
            <v>2100</v>
          </cell>
          <cell r="I122">
            <v>39254</v>
          </cell>
        </row>
        <row r="123">
          <cell r="A123" t="str">
            <v>2100</v>
          </cell>
          <cell r="I123">
            <v>39254</v>
          </cell>
        </row>
        <row r="124">
          <cell r="A124" t="str">
            <v>2100</v>
          </cell>
          <cell r="I124">
            <v>39252</v>
          </cell>
        </row>
        <row r="125">
          <cell r="A125" t="str">
            <v>2100</v>
          </cell>
          <cell r="I125">
            <v>39252</v>
          </cell>
        </row>
        <row r="126">
          <cell r="A126" t="str">
            <v>2100</v>
          </cell>
          <cell r="I126">
            <v>39252</v>
          </cell>
        </row>
        <row r="127">
          <cell r="A127" t="str">
            <v>2100</v>
          </cell>
          <cell r="I127">
            <v>39252</v>
          </cell>
        </row>
        <row r="128">
          <cell r="A128" t="str">
            <v>2100</v>
          </cell>
          <cell r="I128">
            <v>39260</v>
          </cell>
        </row>
        <row r="129">
          <cell r="A129" t="str">
            <v>2100</v>
          </cell>
          <cell r="I129">
            <v>39252</v>
          </cell>
        </row>
        <row r="130">
          <cell r="A130" t="str">
            <v>2100</v>
          </cell>
          <cell r="I130">
            <v>39252</v>
          </cell>
        </row>
        <row r="131">
          <cell r="A131" t="str">
            <v>2100</v>
          </cell>
          <cell r="I131">
            <v>39253</v>
          </cell>
        </row>
        <row r="132">
          <cell r="A132" t="str">
            <v>2100</v>
          </cell>
          <cell r="I132">
            <v>39252</v>
          </cell>
        </row>
        <row r="133">
          <cell r="A133" t="str">
            <v>2100</v>
          </cell>
          <cell r="I133">
            <v>39252</v>
          </cell>
        </row>
        <row r="134">
          <cell r="A134" t="str">
            <v>2100</v>
          </cell>
          <cell r="I134">
            <v>39258</v>
          </cell>
        </row>
        <row r="135">
          <cell r="A135" t="str">
            <v>2100</v>
          </cell>
          <cell r="I135">
            <v>39253</v>
          </cell>
        </row>
        <row r="136">
          <cell r="A136" t="str">
            <v>2100</v>
          </cell>
          <cell r="I136">
            <v>39252</v>
          </cell>
        </row>
        <row r="137">
          <cell r="A137" t="str">
            <v>2100</v>
          </cell>
          <cell r="I137">
            <v>39258</v>
          </cell>
        </row>
        <row r="138">
          <cell r="A138" t="str">
            <v>2100</v>
          </cell>
          <cell r="I138">
            <v>39259</v>
          </cell>
        </row>
        <row r="139">
          <cell r="A139" t="str">
            <v>2100</v>
          </cell>
          <cell r="I139">
            <v>39252</v>
          </cell>
        </row>
        <row r="140">
          <cell r="A140" t="str">
            <v>2100</v>
          </cell>
          <cell r="I140">
            <v>39252</v>
          </cell>
        </row>
        <row r="141">
          <cell r="A141" t="str">
            <v>2100</v>
          </cell>
          <cell r="I141">
            <v>39253</v>
          </cell>
        </row>
        <row r="142">
          <cell r="A142" t="str">
            <v>2100</v>
          </cell>
          <cell r="I142">
            <v>39253</v>
          </cell>
        </row>
        <row r="143">
          <cell r="A143" t="str">
            <v>2100</v>
          </cell>
          <cell r="I143">
            <v>39253</v>
          </cell>
        </row>
        <row r="144">
          <cell r="A144" t="str">
            <v>2100</v>
          </cell>
          <cell r="I144">
            <v>39259</v>
          </cell>
        </row>
        <row r="145">
          <cell r="A145" t="str">
            <v>2100</v>
          </cell>
          <cell r="I145">
            <v>39259</v>
          </cell>
        </row>
        <row r="146">
          <cell r="A146" t="str">
            <v>2100</v>
          </cell>
          <cell r="I146">
            <v>39256</v>
          </cell>
        </row>
        <row r="147">
          <cell r="A147" t="str">
            <v>2100</v>
          </cell>
          <cell r="I147">
            <v>39253</v>
          </cell>
        </row>
        <row r="148">
          <cell r="A148" t="str">
            <v>2100</v>
          </cell>
          <cell r="I148">
            <v>39260</v>
          </cell>
        </row>
        <row r="149">
          <cell r="A149" t="str">
            <v>2100</v>
          </cell>
          <cell r="I149">
            <v>39259</v>
          </cell>
        </row>
        <row r="150">
          <cell r="A150" t="str">
            <v>2100</v>
          </cell>
          <cell r="I150">
            <v>39260</v>
          </cell>
        </row>
        <row r="151">
          <cell r="A151" t="str">
            <v>2100</v>
          </cell>
          <cell r="I151">
            <v>39260</v>
          </cell>
        </row>
        <row r="152">
          <cell r="A152" t="str">
            <v>2100</v>
          </cell>
          <cell r="I152">
            <v>39256</v>
          </cell>
        </row>
        <row r="153">
          <cell r="A153" t="str">
            <v>2100</v>
          </cell>
          <cell r="I153">
            <v>39247</v>
          </cell>
        </row>
        <row r="154">
          <cell r="A154" t="str">
            <v>2100</v>
          </cell>
          <cell r="I154">
            <v>39259</v>
          </cell>
        </row>
        <row r="155">
          <cell r="A155" t="str">
            <v>2100</v>
          </cell>
          <cell r="I155">
            <v>39253</v>
          </cell>
        </row>
        <row r="156">
          <cell r="A156" t="str">
            <v>2100</v>
          </cell>
          <cell r="I156">
            <v>39253</v>
          </cell>
        </row>
        <row r="157">
          <cell r="A157" t="str">
            <v>2100</v>
          </cell>
          <cell r="I157">
            <v>39253</v>
          </cell>
        </row>
        <row r="158">
          <cell r="A158" t="str">
            <v>2100</v>
          </cell>
          <cell r="I158">
            <v>39259</v>
          </cell>
        </row>
        <row r="159">
          <cell r="A159" t="str">
            <v>2100</v>
          </cell>
          <cell r="I159">
            <v>39248</v>
          </cell>
        </row>
        <row r="160">
          <cell r="A160" t="str">
            <v>2100</v>
          </cell>
          <cell r="I160">
            <v>39245</v>
          </cell>
        </row>
        <row r="161">
          <cell r="A161" t="str">
            <v>2100</v>
          </cell>
          <cell r="I161">
            <v>39258</v>
          </cell>
        </row>
        <row r="162">
          <cell r="A162" t="str">
            <v>2100</v>
          </cell>
          <cell r="I162">
            <v>39258</v>
          </cell>
        </row>
        <row r="163">
          <cell r="A163" t="str">
            <v>2100</v>
          </cell>
          <cell r="I163">
            <v>39259</v>
          </cell>
        </row>
        <row r="164">
          <cell r="A164" t="str">
            <v>2100</v>
          </cell>
          <cell r="I164">
            <v>39259</v>
          </cell>
        </row>
        <row r="165">
          <cell r="A165" t="str">
            <v>2100</v>
          </cell>
          <cell r="I165">
            <v>39259</v>
          </cell>
        </row>
        <row r="166">
          <cell r="A166" t="str">
            <v>2100</v>
          </cell>
          <cell r="I166">
            <v>39256</v>
          </cell>
        </row>
        <row r="167">
          <cell r="A167" t="str">
            <v>2100</v>
          </cell>
          <cell r="I167">
            <v>39246</v>
          </cell>
        </row>
        <row r="168">
          <cell r="A168" t="str">
            <v>2100</v>
          </cell>
          <cell r="I168">
            <v>39258</v>
          </cell>
        </row>
        <row r="169">
          <cell r="A169" t="str">
            <v>2100</v>
          </cell>
          <cell r="I169">
            <v>39258</v>
          </cell>
        </row>
        <row r="170">
          <cell r="A170" t="str">
            <v>2100</v>
          </cell>
          <cell r="I170">
            <v>39253</v>
          </cell>
        </row>
        <row r="171">
          <cell r="A171" t="str">
            <v>2100</v>
          </cell>
          <cell r="I171">
            <v>39253</v>
          </cell>
        </row>
        <row r="172">
          <cell r="A172" t="str">
            <v>2100</v>
          </cell>
          <cell r="I172">
            <v>39253</v>
          </cell>
        </row>
        <row r="173">
          <cell r="A173" t="str">
            <v>2100</v>
          </cell>
          <cell r="I173">
            <v>39260</v>
          </cell>
        </row>
        <row r="174">
          <cell r="A174" t="str">
            <v>2100</v>
          </cell>
          <cell r="I174">
            <v>39245</v>
          </cell>
        </row>
        <row r="175">
          <cell r="A175" t="str">
            <v>2100</v>
          </cell>
          <cell r="I175">
            <v>39245</v>
          </cell>
        </row>
        <row r="176">
          <cell r="A176" t="str">
            <v>2100</v>
          </cell>
          <cell r="I176">
            <v>39245</v>
          </cell>
        </row>
        <row r="177">
          <cell r="A177" t="str">
            <v>2100</v>
          </cell>
          <cell r="I177">
            <v>39245</v>
          </cell>
        </row>
        <row r="178">
          <cell r="A178" t="str">
            <v>2100</v>
          </cell>
          <cell r="I178">
            <v>39245</v>
          </cell>
        </row>
        <row r="179">
          <cell r="A179" t="str">
            <v>2100</v>
          </cell>
          <cell r="I179">
            <v>39245</v>
          </cell>
        </row>
        <row r="180">
          <cell r="A180" t="str">
            <v>2100</v>
          </cell>
          <cell r="I180">
            <v>39245</v>
          </cell>
        </row>
        <row r="181">
          <cell r="A181" t="str">
            <v>2100</v>
          </cell>
          <cell r="I181">
            <v>39245</v>
          </cell>
        </row>
        <row r="182">
          <cell r="A182" t="str">
            <v>2100</v>
          </cell>
          <cell r="I182">
            <v>39259</v>
          </cell>
        </row>
        <row r="183">
          <cell r="A183" t="str">
            <v>2100</v>
          </cell>
          <cell r="I183">
            <v>39253</v>
          </cell>
        </row>
        <row r="184">
          <cell r="A184" t="str">
            <v>2100</v>
          </cell>
          <cell r="I184">
            <v>39245</v>
          </cell>
        </row>
        <row r="185">
          <cell r="A185" t="str">
            <v>2100</v>
          </cell>
          <cell r="I185">
            <v>39245</v>
          </cell>
        </row>
        <row r="186">
          <cell r="A186" t="str">
            <v>2100</v>
          </cell>
          <cell r="I186">
            <v>39253</v>
          </cell>
        </row>
        <row r="187">
          <cell r="A187" t="str">
            <v>2100</v>
          </cell>
          <cell r="I187">
            <v>39253</v>
          </cell>
        </row>
        <row r="188">
          <cell r="A188" t="str">
            <v>2100</v>
          </cell>
          <cell r="I188">
            <v>39245</v>
          </cell>
        </row>
        <row r="189">
          <cell r="A189" t="str">
            <v>2100</v>
          </cell>
          <cell r="I189">
            <v>39256</v>
          </cell>
        </row>
        <row r="190">
          <cell r="A190" t="str">
            <v>2100</v>
          </cell>
          <cell r="I190">
            <v>39259</v>
          </cell>
        </row>
        <row r="191">
          <cell r="A191" t="str">
            <v>2100</v>
          </cell>
          <cell r="I191">
            <v>39253</v>
          </cell>
        </row>
        <row r="192">
          <cell r="A192" t="str">
            <v>2100</v>
          </cell>
          <cell r="I192">
            <v>39253</v>
          </cell>
        </row>
        <row r="193">
          <cell r="A193" t="str">
            <v>2100</v>
          </cell>
          <cell r="I193">
            <v>39253</v>
          </cell>
        </row>
        <row r="194">
          <cell r="A194" t="str">
            <v>2100</v>
          </cell>
          <cell r="I194">
            <v>39259</v>
          </cell>
        </row>
        <row r="195">
          <cell r="A195" t="str">
            <v>2100</v>
          </cell>
          <cell r="I195">
            <v>39253</v>
          </cell>
        </row>
        <row r="196">
          <cell r="A196" t="str">
            <v>2100</v>
          </cell>
          <cell r="I196">
            <v>39253</v>
          </cell>
        </row>
        <row r="197">
          <cell r="A197" t="str">
            <v>2100</v>
          </cell>
          <cell r="I197">
            <v>39253</v>
          </cell>
        </row>
        <row r="198">
          <cell r="A198" t="str">
            <v>2100</v>
          </cell>
          <cell r="I198">
            <v>39253</v>
          </cell>
        </row>
        <row r="199">
          <cell r="A199" t="str">
            <v>2100</v>
          </cell>
          <cell r="I199">
            <v>39259</v>
          </cell>
        </row>
        <row r="200">
          <cell r="A200" t="str">
            <v>2100</v>
          </cell>
          <cell r="I200">
            <v>39253</v>
          </cell>
        </row>
        <row r="201">
          <cell r="A201" t="str">
            <v>2100</v>
          </cell>
          <cell r="I201">
            <v>39248</v>
          </cell>
        </row>
        <row r="202">
          <cell r="A202" t="str">
            <v>2100</v>
          </cell>
          <cell r="I202">
            <v>39248</v>
          </cell>
        </row>
        <row r="203">
          <cell r="A203" t="str">
            <v>2100</v>
          </cell>
          <cell r="I203">
            <v>39253</v>
          </cell>
        </row>
        <row r="204">
          <cell r="A204" t="str">
            <v>2100</v>
          </cell>
          <cell r="I204">
            <v>39259</v>
          </cell>
        </row>
        <row r="205">
          <cell r="A205" t="str">
            <v>2100</v>
          </cell>
          <cell r="I205">
            <v>39253</v>
          </cell>
        </row>
        <row r="206">
          <cell r="A206" t="str">
            <v>2100</v>
          </cell>
          <cell r="I206">
            <v>39259</v>
          </cell>
        </row>
        <row r="207">
          <cell r="A207" t="str">
            <v>2100</v>
          </cell>
          <cell r="I207">
            <v>39253</v>
          </cell>
        </row>
        <row r="208">
          <cell r="A208" t="str">
            <v>2100</v>
          </cell>
          <cell r="I208">
            <v>39248</v>
          </cell>
        </row>
        <row r="209">
          <cell r="A209" t="str">
            <v>2100</v>
          </cell>
          <cell r="I209">
            <v>39245</v>
          </cell>
        </row>
        <row r="210">
          <cell r="A210" t="str">
            <v>2100</v>
          </cell>
          <cell r="I210">
            <v>39256</v>
          </cell>
        </row>
        <row r="211">
          <cell r="A211" t="str">
            <v>2100</v>
          </cell>
          <cell r="I211">
            <v>39248</v>
          </cell>
        </row>
        <row r="212">
          <cell r="A212" t="str">
            <v>2100</v>
          </cell>
          <cell r="I212">
            <v>39248</v>
          </cell>
        </row>
        <row r="213">
          <cell r="A213" t="str">
            <v>2100</v>
          </cell>
          <cell r="I213">
            <v>39259</v>
          </cell>
        </row>
        <row r="214">
          <cell r="A214" t="str">
            <v>2100</v>
          </cell>
          <cell r="I214">
            <v>39253</v>
          </cell>
        </row>
        <row r="215">
          <cell r="A215" t="str">
            <v>2100</v>
          </cell>
          <cell r="I215">
            <v>39253</v>
          </cell>
        </row>
        <row r="216">
          <cell r="A216" t="str">
            <v>2100</v>
          </cell>
          <cell r="I216">
            <v>39253</v>
          </cell>
        </row>
        <row r="217">
          <cell r="A217" t="str">
            <v>2100</v>
          </cell>
          <cell r="I217">
            <v>39253</v>
          </cell>
        </row>
        <row r="218">
          <cell r="A218" t="str">
            <v>2100</v>
          </cell>
          <cell r="I218">
            <v>39259</v>
          </cell>
        </row>
        <row r="219">
          <cell r="A219" t="str">
            <v>2100</v>
          </cell>
          <cell r="I219">
            <v>39259</v>
          </cell>
        </row>
        <row r="220">
          <cell r="A220" t="str">
            <v>2100</v>
          </cell>
          <cell r="I220">
            <v>39260</v>
          </cell>
        </row>
        <row r="221">
          <cell r="A221" t="str">
            <v>2100</v>
          </cell>
          <cell r="I221">
            <v>39253</v>
          </cell>
        </row>
        <row r="222">
          <cell r="A222" t="str">
            <v>2100</v>
          </cell>
          <cell r="I222">
            <v>39253</v>
          </cell>
        </row>
        <row r="223">
          <cell r="A223" t="str">
            <v>2100</v>
          </cell>
          <cell r="I223">
            <v>39259</v>
          </cell>
        </row>
        <row r="224">
          <cell r="A224" t="str">
            <v>2100</v>
          </cell>
          <cell r="I224">
            <v>39253</v>
          </cell>
        </row>
        <row r="225">
          <cell r="A225" t="str">
            <v>2100</v>
          </cell>
          <cell r="I225">
            <v>39253</v>
          </cell>
        </row>
        <row r="226">
          <cell r="A226" t="str">
            <v>2100</v>
          </cell>
          <cell r="I226">
            <v>39253</v>
          </cell>
        </row>
        <row r="227">
          <cell r="A227" t="str">
            <v>2100</v>
          </cell>
          <cell r="I227">
            <v>39253</v>
          </cell>
        </row>
        <row r="228">
          <cell r="A228" t="str">
            <v>2100</v>
          </cell>
          <cell r="I228">
            <v>39253</v>
          </cell>
        </row>
        <row r="229">
          <cell r="A229" t="str">
            <v>2100</v>
          </cell>
          <cell r="I229">
            <v>39253</v>
          </cell>
        </row>
        <row r="230">
          <cell r="A230" t="str">
            <v>2100</v>
          </cell>
          <cell r="I230">
            <v>39253</v>
          </cell>
        </row>
        <row r="231">
          <cell r="A231" t="str">
            <v>2100</v>
          </cell>
          <cell r="I231">
            <v>39253</v>
          </cell>
        </row>
        <row r="232">
          <cell r="A232" t="str">
            <v>2100</v>
          </cell>
          <cell r="I232">
            <v>39258</v>
          </cell>
        </row>
        <row r="233">
          <cell r="A233" t="str">
            <v>2100</v>
          </cell>
          <cell r="I233">
            <v>39253</v>
          </cell>
        </row>
        <row r="234">
          <cell r="A234" t="str">
            <v>2100</v>
          </cell>
          <cell r="I234">
            <v>39260</v>
          </cell>
        </row>
        <row r="235">
          <cell r="A235" t="str">
            <v>2100</v>
          </cell>
          <cell r="I235">
            <v>39260</v>
          </cell>
        </row>
        <row r="236">
          <cell r="A236" t="str">
            <v>2100</v>
          </cell>
          <cell r="I236">
            <v>39248</v>
          </cell>
        </row>
        <row r="237">
          <cell r="A237" t="str">
            <v>2100</v>
          </cell>
          <cell r="I237">
            <v>39256</v>
          </cell>
        </row>
        <row r="238">
          <cell r="A238" t="str">
            <v>2100</v>
          </cell>
          <cell r="I238">
            <v>39260</v>
          </cell>
        </row>
        <row r="239">
          <cell r="A239" t="str">
            <v>2100</v>
          </cell>
          <cell r="I239">
            <v>39258</v>
          </cell>
        </row>
        <row r="240">
          <cell r="A240" t="str">
            <v>2100</v>
          </cell>
          <cell r="I240">
            <v>39254</v>
          </cell>
        </row>
        <row r="241">
          <cell r="A241" t="str">
            <v>2100</v>
          </cell>
          <cell r="I241">
            <v>39255</v>
          </cell>
        </row>
        <row r="242">
          <cell r="A242" t="str">
            <v>2100</v>
          </cell>
          <cell r="I242">
            <v>39253</v>
          </cell>
        </row>
        <row r="243">
          <cell r="A243" t="str">
            <v>2100</v>
          </cell>
          <cell r="I243">
            <v>39253</v>
          </cell>
        </row>
        <row r="244">
          <cell r="A244" t="str">
            <v>2100</v>
          </cell>
          <cell r="I244">
            <v>39248</v>
          </cell>
        </row>
        <row r="245">
          <cell r="A245" t="str">
            <v>2100</v>
          </cell>
          <cell r="I245">
            <v>39251</v>
          </cell>
        </row>
        <row r="246">
          <cell r="A246" t="str">
            <v>2100</v>
          </cell>
          <cell r="I246">
            <v>39255</v>
          </cell>
        </row>
        <row r="247">
          <cell r="A247" t="str">
            <v>2100</v>
          </cell>
          <cell r="I247">
            <v>39252</v>
          </cell>
        </row>
        <row r="248">
          <cell r="A248" t="str">
            <v>2100</v>
          </cell>
          <cell r="I248">
            <v>39251</v>
          </cell>
        </row>
        <row r="249">
          <cell r="A249" t="str">
            <v>2100</v>
          </cell>
          <cell r="I249">
            <v>39254</v>
          </cell>
        </row>
        <row r="250">
          <cell r="A250" t="str">
            <v>2100</v>
          </cell>
          <cell r="I250">
            <v>39251</v>
          </cell>
        </row>
        <row r="251">
          <cell r="A251" t="str">
            <v>2100</v>
          </cell>
          <cell r="I251">
            <v>39258</v>
          </cell>
        </row>
        <row r="252">
          <cell r="A252" t="str">
            <v>2100</v>
          </cell>
          <cell r="I252">
            <v>39258</v>
          </cell>
        </row>
        <row r="253">
          <cell r="A253" t="str">
            <v>2100</v>
          </cell>
          <cell r="I253">
            <v>39258</v>
          </cell>
        </row>
        <row r="254">
          <cell r="A254" t="str">
            <v>2100</v>
          </cell>
          <cell r="I254">
            <v>39254</v>
          </cell>
        </row>
        <row r="255">
          <cell r="A255" t="str">
            <v>2100</v>
          </cell>
          <cell r="I255">
            <v>39251</v>
          </cell>
        </row>
        <row r="256">
          <cell r="A256" t="str">
            <v>2100</v>
          </cell>
          <cell r="I256">
            <v>39251</v>
          </cell>
        </row>
        <row r="257">
          <cell r="A257" t="str">
            <v>2100</v>
          </cell>
          <cell r="I257">
            <v>39254</v>
          </cell>
        </row>
        <row r="258">
          <cell r="A258" t="str">
            <v>2100</v>
          </cell>
          <cell r="I258">
            <v>39254</v>
          </cell>
        </row>
        <row r="259">
          <cell r="A259" t="str">
            <v>2100</v>
          </cell>
          <cell r="I259">
            <v>39252</v>
          </cell>
        </row>
        <row r="260">
          <cell r="A260" t="str">
            <v>2100</v>
          </cell>
          <cell r="I260">
            <v>39254</v>
          </cell>
        </row>
        <row r="261">
          <cell r="A261" t="str">
            <v>2100</v>
          </cell>
          <cell r="I261">
            <v>39251</v>
          </cell>
        </row>
        <row r="262">
          <cell r="A262" t="str">
            <v>2100</v>
          </cell>
          <cell r="I262">
            <v>39254</v>
          </cell>
        </row>
        <row r="263">
          <cell r="A263" t="str">
            <v>2100</v>
          </cell>
          <cell r="I263">
            <v>39255</v>
          </cell>
        </row>
        <row r="264">
          <cell r="A264" t="str">
            <v>2100</v>
          </cell>
          <cell r="I264">
            <v>39253</v>
          </cell>
        </row>
        <row r="265">
          <cell r="A265" t="str">
            <v>2100</v>
          </cell>
          <cell r="I265">
            <v>39259</v>
          </cell>
        </row>
        <row r="266">
          <cell r="A266" t="str">
            <v>2100</v>
          </cell>
          <cell r="I266">
            <v>39251</v>
          </cell>
        </row>
        <row r="267">
          <cell r="A267" t="str">
            <v>2100</v>
          </cell>
          <cell r="I267">
            <v>39255</v>
          </cell>
        </row>
        <row r="268">
          <cell r="A268" t="str">
            <v>2100</v>
          </cell>
          <cell r="I268">
            <v>39258</v>
          </cell>
        </row>
        <row r="269">
          <cell r="A269" t="str">
            <v>2100</v>
          </cell>
          <cell r="I269">
            <v>39258</v>
          </cell>
        </row>
        <row r="270">
          <cell r="A270" t="str">
            <v>2100</v>
          </cell>
          <cell r="I270">
            <v>39248</v>
          </cell>
        </row>
        <row r="271">
          <cell r="A271" t="str">
            <v>2100</v>
          </cell>
          <cell r="I271">
            <v>39258</v>
          </cell>
        </row>
        <row r="272">
          <cell r="A272" t="str">
            <v>2100</v>
          </cell>
          <cell r="I272">
            <v>39258</v>
          </cell>
        </row>
        <row r="273">
          <cell r="A273" t="str">
            <v>2100</v>
          </cell>
          <cell r="I273">
            <v>39255</v>
          </cell>
        </row>
        <row r="274">
          <cell r="A274" t="str">
            <v>2100</v>
          </cell>
          <cell r="I274">
            <v>39253</v>
          </cell>
        </row>
        <row r="275">
          <cell r="A275" t="str">
            <v>2100</v>
          </cell>
          <cell r="I275">
            <v>39253</v>
          </cell>
        </row>
        <row r="276">
          <cell r="A276" t="str">
            <v>2100</v>
          </cell>
          <cell r="I276">
            <v>39258</v>
          </cell>
        </row>
        <row r="277">
          <cell r="A277" t="str">
            <v>2100</v>
          </cell>
          <cell r="I277">
            <v>39258</v>
          </cell>
        </row>
        <row r="278">
          <cell r="A278" t="str">
            <v>2100</v>
          </cell>
          <cell r="I278">
            <v>39258</v>
          </cell>
        </row>
        <row r="279">
          <cell r="A279" t="str">
            <v>2100</v>
          </cell>
          <cell r="I279">
            <v>39258</v>
          </cell>
        </row>
        <row r="280">
          <cell r="A280" t="str">
            <v>2100</v>
          </cell>
          <cell r="I280">
            <v>39258</v>
          </cell>
        </row>
        <row r="281">
          <cell r="A281" t="str">
            <v>2100</v>
          </cell>
          <cell r="I281">
            <v>39258</v>
          </cell>
        </row>
        <row r="282">
          <cell r="A282" t="str">
            <v>2100</v>
          </cell>
          <cell r="I282">
            <v>39258</v>
          </cell>
        </row>
        <row r="283">
          <cell r="A283" t="str">
            <v>2100</v>
          </cell>
          <cell r="I283">
            <v>39258</v>
          </cell>
        </row>
        <row r="284">
          <cell r="A284" t="str">
            <v>2100</v>
          </cell>
          <cell r="I284">
            <v>39258</v>
          </cell>
        </row>
        <row r="285">
          <cell r="A285" t="str">
            <v>2100</v>
          </cell>
          <cell r="I285">
            <v>39258</v>
          </cell>
        </row>
        <row r="286">
          <cell r="A286" t="str">
            <v>2100</v>
          </cell>
          <cell r="I286">
            <v>39258</v>
          </cell>
        </row>
        <row r="287">
          <cell r="A287" t="str">
            <v>2100</v>
          </cell>
          <cell r="I287">
            <v>39260</v>
          </cell>
        </row>
        <row r="288">
          <cell r="A288" t="str">
            <v>2100</v>
          </cell>
          <cell r="I288">
            <v>39252</v>
          </cell>
        </row>
        <row r="289">
          <cell r="A289" t="str">
            <v>2100</v>
          </cell>
          <cell r="I289">
            <v>39252</v>
          </cell>
        </row>
        <row r="290">
          <cell r="A290" t="str">
            <v>2100</v>
          </cell>
          <cell r="I290">
            <v>39252</v>
          </cell>
        </row>
        <row r="291">
          <cell r="A291" t="str">
            <v>2100</v>
          </cell>
          <cell r="I291">
            <v>39255</v>
          </cell>
        </row>
        <row r="292">
          <cell r="A292" t="str">
            <v>2100</v>
          </cell>
          <cell r="I292">
            <v>39258</v>
          </cell>
        </row>
        <row r="293">
          <cell r="A293" t="str">
            <v>2100</v>
          </cell>
          <cell r="I293">
            <v>39258</v>
          </cell>
        </row>
        <row r="294">
          <cell r="A294" t="str">
            <v>2100</v>
          </cell>
          <cell r="I294">
            <v>39258</v>
          </cell>
        </row>
        <row r="295">
          <cell r="A295" t="str">
            <v>2100</v>
          </cell>
          <cell r="I295">
            <v>39258</v>
          </cell>
        </row>
        <row r="296">
          <cell r="A296" t="str">
            <v>2100</v>
          </cell>
          <cell r="I296">
            <v>39255</v>
          </cell>
        </row>
        <row r="297">
          <cell r="A297" t="str">
            <v>2100</v>
          </cell>
          <cell r="I297">
            <v>39258</v>
          </cell>
        </row>
        <row r="298">
          <cell r="A298" t="str">
            <v>2100</v>
          </cell>
          <cell r="I298">
            <v>39258</v>
          </cell>
        </row>
        <row r="299">
          <cell r="A299" t="str">
            <v>2100</v>
          </cell>
          <cell r="I299">
            <v>39253</v>
          </cell>
        </row>
        <row r="300">
          <cell r="A300" t="str">
            <v>2100</v>
          </cell>
          <cell r="I300">
            <v>39253</v>
          </cell>
        </row>
        <row r="301">
          <cell r="A301" t="str">
            <v>2100</v>
          </cell>
          <cell r="I301">
            <v>39255</v>
          </cell>
        </row>
        <row r="302">
          <cell r="A302" t="str">
            <v>2100</v>
          </cell>
          <cell r="I302">
            <v>39255</v>
          </cell>
        </row>
        <row r="303">
          <cell r="A303" t="str">
            <v>2100</v>
          </cell>
          <cell r="I303">
            <v>39255</v>
          </cell>
        </row>
        <row r="304">
          <cell r="A304" t="str">
            <v>2100</v>
          </cell>
          <cell r="I304">
            <v>39253</v>
          </cell>
        </row>
        <row r="305">
          <cell r="A305" t="str">
            <v>2100</v>
          </cell>
          <cell r="I305">
            <v>39254</v>
          </cell>
        </row>
        <row r="306">
          <cell r="A306" t="str">
            <v>2100</v>
          </cell>
          <cell r="I306">
            <v>39254</v>
          </cell>
        </row>
        <row r="307">
          <cell r="A307" t="str">
            <v>2100</v>
          </cell>
          <cell r="I307">
            <v>39259</v>
          </cell>
        </row>
        <row r="308">
          <cell r="A308" t="str">
            <v>2100</v>
          </cell>
          <cell r="I308">
            <v>39252</v>
          </cell>
        </row>
        <row r="309">
          <cell r="A309" t="str">
            <v>2100</v>
          </cell>
          <cell r="I309">
            <v>39259</v>
          </cell>
        </row>
        <row r="310">
          <cell r="A310" t="str">
            <v>2100</v>
          </cell>
          <cell r="I310">
            <v>39252</v>
          </cell>
        </row>
        <row r="311">
          <cell r="A311" t="str">
            <v>2100</v>
          </cell>
          <cell r="I311">
            <v>39251</v>
          </cell>
        </row>
        <row r="312">
          <cell r="A312" t="str">
            <v>2100</v>
          </cell>
          <cell r="I312">
            <v>39258</v>
          </cell>
        </row>
        <row r="313">
          <cell r="A313" t="str">
            <v>2100</v>
          </cell>
          <cell r="I313">
            <v>39251</v>
          </cell>
        </row>
        <row r="314">
          <cell r="A314" t="str">
            <v>2100</v>
          </cell>
          <cell r="I314">
            <v>39258</v>
          </cell>
        </row>
        <row r="315">
          <cell r="A315" t="str">
            <v>2100</v>
          </cell>
          <cell r="I315">
            <v>39251</v>
          </cell>
        </row>
        <row r="316">
          <cell r="A316" t="str">
            <v>2100</v>
          </cell>
          <cell r="I316">
            <v>39255</v>
          </cell>
        </row>
        <row r="317">
          <cell r="A317" t="str">
            <v>2100</v>
          </cell>
          <cell r="I317">
            <v>39248</v>
          </cell>
        </row>
        <row r="318">
          <cell r="A318" t="str">
            <v>2100</v>
          </cell>
          <cell r="I318">
            <v>39258</v>
          </cell>
        </row>
        <row r="319">
          <cell r="A319" t="str">
            <v>2100</v>
          </cell>
          <cell r="I319">
            <v>39260</v>
          </cell>
        </row>
        <row r="320">
          <cell r="A320" t="str">
            <v>2100</v>
          </cell>
          <cell r="I320">
            <v>39251</v>
          </cell>
        </row>
        <row r="321">
          <cell r="A321" t="str">
            <v>2100</v>
          </cell>
          <cell r="I321">
            <v>39251</v>
          </cell>
        </row>
        <row r="322">
          <cell r="A322" t="str">
            <v>2100</v>
          </cell>
          <cell r="I322">
            <v>39258</v>
          </cell>
        </row>
        <row r="323">
          <cell r="A323" t="str">
            <v>2100</v>
          </cell>
          <cell r="I323">
            <v>39255</v>
          </cell>
        </row>
        <row r="324">
          <cell r="A324" t="str">
            <v>2100</v>
          </cell>
          <cell r="I324">
            <v>39255</v>
          </cell>
        </row>
        <row r="325">
          <cell r="A325" t="str">
            <v>2100</v>
          </cell>
          <cell r="I325">
            <v>39247</v>
          </cell>
        </row>
        <row r="326">
          <cell r="A326" t="str">
            <v>2100</v>
          </cell>
          <cell r="I326">
            <v>39247</v>
          </cell>
        </row>
        <row r="327">
          <cell r="A327" t="str">
            <v>2100</v>
          </cell>
          <cell r="I327">
            <v>39259</v>
          </cell>
        </row>
        <row r="328">
          <cell r="A328" t="str">
            <v>2100</v>
          </cell>
          <cell r="I328">
            <v>39252</v>
          </cell>
        </row>
        <row r="329">
          <cell r="A329" t="str">
            <v>2100</v>
          </cell>
          <cell r="I329">
            <v>39252</v>
          </cell>
        </row>
        <row r="330">
          <cell r="A330" t="str">
            <v>2100</v>
          </cell>
          <cell r="I330">
            <v>39259</v>
          </cell>
        </row>
        <row r="331">
          <cell r="A331" t="str">
            <v>2100</v>
          </cell>
          <cell r="I331">
            <v>39259</v>
          </cell>
        </row>
        <row r="332">
          <cell r="A332" t="str">
            <v>2100</v>
          </cell>
          <cell r="I332">
            <v>39254</v>
          </cell>
        </row>
        <row r="333">
          <cell r="A333" t="str">
            <v>2100</v>
          </cell>
          <cell r="I333">
            <v>39254</v>
          </cell>
        </row>
        <row r="334">
          <cell r="A334" t="str">
            <v>2100</v>
          </cell>
          <cell r="I334">
            <v>39259</v>
          </cell>
        </row>
        <row r="335">
          <cell r="A335" t="str">
            <v>2100</v>
          </cell>
          <cell r="I335">
            <v>39258</v>
          </cell>
        </row>
        <row r="336">
          <cell r="A336" t="str">
            <v>2100</v>
          </cell>
          <cell r="I336">
            <v>39254</v>
          </cell>
        </row>
        <row r="337">
          <cell r="A337" t="str">
            <v>2100</v>
          </cell>
          <cell r="I337">
            <v>39253</v>
          </cell>
        </row>
        <row r="338">
          <cell r="A338" t="str">
            <v>2100</v>
          </cell>
          <cell r="I338">
            <v>39253</v>
          </cell>
        </row>
        <row r="339">
          <cell r="A339" t="str">
            <v>2100</v>
          </cell>
          <cell r="I339">
            <v>39253</v>
          </cell>
        </row>
        <row r="340">
          <cell r="A340" t="str">
            <v>2100</v>
          </cell>
          <cell r="I340">
            <v>39253</v>
          </cell>
        </row>
        <row r="341">
          <cell r="A341" t="str">
            <v>2100</v>
          </cell>
          <cell r="I341">
            <v>39253</v>
          </cell>
        </row>
        <row r="342">
          <cell r="A342" t="str">
            <v>2100</v>
          </cell>
          <cell r="I342">
            <v>39253</v>
          </cell>
        </row>
        <row r="343">
          <cell r="A343" t="str">
            <v>2100</v>
          </cell>
          <cell r="I343">
            <v>39253</v>
          </cell>
        </row>
        <row r="344">
          <cell r="A344" t="str">
            <v>2100</v>
          </cell>
          <cell r="I344">
            <v>39253</v>
          </cell>
        </row>
        <row r="345">
          <cell r="A345" t="str">
            <v>2100</v>
          </cell>
          <cell r="I345">
            <v>39253</v>
          </cell>
        </row>
        <row r="346">
          <cell r="A346" t="str">
            <v>2100</v>
          </cell>
          <cell r="I346">
            <v>39253</v>
          </cell>
        </row>
        <row r="347">
          <cell r="A347" t="str">
            <v>2100</v>
          </cell>
          <cell r="I347">
            <v>39253</v>
          </cell>
        </row>
        <row r="348">
          <cell r="A348" t="str">
            <v>2100</v>
          </cell>
          <cell r="I348">
            <v>39253</v>
          </cell>
        </row>
        <row r="349">
          <cell r="A349" t="str">
            <v>2100</v>
          </cell>
          <cell r="I349">
            <v>39253</v>
          </cell>
        </row>
        <row r="350">
          <cell r="A350" t="str">
            <v>2100</v>
          </cell>
          <cell r="I350">
            <v>39253</v>
          </cell>
        </row>
        <row r="351">
          <cell r="A351" t="str">
            <v>2100</v>
          </cell>
          <cell r="I351">
            <v>39259</v>
          </cell>
        </row>
        <row r="352">
          <cell r="A352" t="str">
            <v>2100</v>
          </cell>
          <cell r="I352">
            <v>39259</v>
          </cell>
        </row>
        <row r="353">
          <cell r="A353" t="str">
            <v>2100</v>
          </cell>
          <cell r="I353">
            <v>39260</v>
          </cell>
        </row>
        <row r="354">
          <cell r="A354" t="str">
            <v>2100</v>
          </cell>
          <cell r="I354">
            <v>39260</v>
          </cell>
        </row>
        <row r="355">
          <cell r="A355" t="str">
            <v>2100</v>
          </cell>
          <cell r="I355">
            <v>39258</v>
          </cell>
        </row>
        <row r="356">
          <cell r="A356" t="str">
            <v>2100</v>
          </cell>
          <cell r="I356">
            <v>39245</v>
          </cell>
        </row>
        <row r="357">
          <cell r="A357" t="str">
            <v>2100</v>
          </cell>
          <cell r="I357">
            <v>39253</v>
          </cell>
        </row>
        <row r="358">
          <cell r="A358" t="str">
            <v>2100</v>
          </cell>
          <cell r="I358">
            <v>39253</v>
          </cell>
        </row>
        <row r="359">
          <cell r="A359" t="str">
            <v>2100</v>
          </cell>
          <cell r="I359">
            <v>39256</v>
          </cell>
        </row>
        <row r="360">
          <cell r="A360" t="str">
            <v>2100</v>
          </cell>
          <cell r="I360">
            <v>39253</v>
          </cell>
        </row>
        <row r="361">
          <cell r="A361" t="str">
            <v>2100</v>
          </cell>
          <cell r="I361">
            <v>39260</v>
          </cell>
        </row>
        <row r="362">
          <cell r="A362" t="str">
            <v>2100</v>
          </cell>
          <cell r="I362">
            <v>39253</v>
          </cell>
        </row>
        <row r="363">
          <cell r="A363" t="str">
            <v>2100</v>
          </cell>
          <cell r="I363">
            <v>39253</v>
          </cell>
        </row>
        <row r="364">
          <cell r="A364" t="str">
            <v>2100</v>
          </cell>
          <cell r="I364">
            <v>39253</v>
          </cell>
        </row>
        <row r="365">
          <cell r="A365" t="str">
            <v>2100</v>
          </cell>
          <cell r="I365">
            <v>39256</v>
          </cell>
        </row>
        <row r="366">
          <cell r="A366" t="str">
            <v>2100</v>
          </cell>
          <cell r="I366">
            <v>39247</v>
          </cell>
        </row>
        <row r="367">
          <cell r="A367" t="str">
            <v>2100</v>
          </cell>
          <cell r="I367">
            <v>39248</v>
          </cell>
        </row>
        <row r="368">
          <cell r="A368" t="str">
            <v>2100</v>
          </cell>
          <cell r="I368">
            <v>39256</v>
          </cell>
        </row>
        <row r="369">
          <cell r="A369" t="str">
            <v>2100</v>
          </cell>
          <cell r="I369">
            <v>39246</v>
          </cell>
        </row>
        <row r="370">
          <cell r="A370" t="str">
            <v>2100</v>
          </cell>
          <cell r="I370">
            <v>39253</v>
          </cell>
        </row>
        <row r="371">
          <cell r="A371" t="str">
            <v>2100</v>
          </cell>
          <cell r="I371">
            <v>39253</v>
          </cell>
        </row>
        <row r="372">
          <cell r="A372" t="str">
            <v>2100</v>
          </cell>
          <cell r="I372">
            <v>39253</v>
          </cell>
        </row>
        <row r="373">
          <cell r="A373" t="str">
            <v>2100</v>
          </cell>
          <cell r="I373">
            <v>39253</v>
          </cell>
        </row>
        <row r="374">
          <cell r="A374" t="str">
            <v>2100</v>
          </cell>
          <cell r="I374">
            <v>39253</v>
          </cell>
        </row>
        <row r="375">
          <cell r="A375" t="str">
            <v>2100</v>
          </cell>
          <cell r="I375">
            <v>39253</v>
          </cell>
        </row>
        <row r="376">
          <cell r="A376" t="str">
            <v>2100</v>
          </cell>
          <cell r="I376">
            <v>39256</v>
          </cell>
        </row>
        <row r="377">
          <cell r="A377" t="str">
            <v>2100</v>
          </cell>
          <cell r="I377">
            <v>39245</v>
          </cell>
        </row>
        <row r="378">
          <cell r="A378" t="str">
            <v>2100</v>
          </cell>
          <cell r="I378">
            <v>39253</v>
          </cell>
        </row>
        <row r="379">
          <cell r="A379" t="str">
            <v>2100</v>
          </cell>
          <cell r="I379">
            <v>39253</v>
          </cell>
        </row>
        <row r="380">
          <cell r="A380" t="str">
            <v>2100</v>
          </cell>
          <cell r="I380">
            <v>39253</v>
          </cell>
        </row>
        <row r="381">
          <cell r="A381" t="str">
            <v>2100</v>
          </cell>
          <cell r="I381">
            <v>39253</v>
          </cell>
        </row>
        <row r="382">
          <cell r="A382" t="str">
            <v>2100</v>
          </cell>
          <cell r="I382">
            <v>39253</v>
          </cell>
        </row>
        <row r="383">
          <cell r="A383" t="str">
            <v>2100</v>
          </cell>
          <cell r="I383">
            <v>39253</v>
          </cell>
        </row>
        <row r="384">
          <cell r="A384" t="str">
            <v>2100</v>
          </cell>
          <cell r="I384">
            <v>39253</v>
          </cell>
        </row>
        <row r="385">
          <cell r="A385" t="str">
            <v>2100</v>
          </cell>
          <cell r="I385">
            <v>39253</v>
          </cell>
        </row>
        <row r="386">
          <cell r="A386" t="str">
            <v>2100</v>
          </cell>
          <cell r="I386">
            <v>39253</v>
          </cell>
        </row>
        <row r="387">
          <cell r="A387" t="str">
            <v>2100</v>
          </cell>
          <cell r="I387">
            <v>39253</v>
          </cell>
        </row>
        <row r="388">
          <cell r="A388" t="str">
            <v>2100</v>
          </cell>
          <cell r="I388">
            <v>39253</v>
          </cell>
        </row>
        <row r="389">
          <cell r="A389" t="str">
            <v>2100</v>
          </cell>
          <cell r="I389">
            <v>39247</v>
          </cell>
        </row>
        <row r="390">
          <cell r="A390" t="str">
            <v>2100</v>
          </cell>
          <cell r="I390">
            <v>39253</v>
          </cell>
        </row>
        <row r="391">
          <cell r="A391" t="str">
            <v>2100</v>
          </cell>
          <cell r="I391">
            <v>39253</v>
          </cell>
        </row>
        <row r="392">
          <cell r="A392" t="str">
            <v>2100</v>
          </cell>
          <cell r="I392">
            <v>39258</v>
          </cell>
        </row>
        <row r="393">
          <cell r="A393" t="str">
            <v>2100</v>
          </cell>
          <cell r="I393">
            <v>39253</v>
          </cell>
        </row>
        <row r="394">
          <cell r="A394" t="str">
            <v>2100</v>
          </cell>
          <cell r="I394">
            <v>39253</v>
          </cell>
        </row>
        <row r="395">
          <cell r="A395" t="str">
            <v>2100</v>
          </cell>
          <cell r="I395">
            <v>39260</v>
          </cell>
        </row>
        <row r="396">
          <cell r="A396" t="str">
            <v>2100</v>
          </cell>
          <cell r="I396">
            <v>39253</v>
          </cell>
        </row>
        <row r="397">
          <cell r="A397" t="str">
            <v>2100</v>
          </cell>
          <cell r="I397">
            <v>39253</v>
          </cell>
        </row>
        <row r="398">
          <cell r="A398" t="str">
            <v>2100</v>
          </cell>
          <cell r="I398">
            <v>39253</v>
          </cell>
        </row>
        <row r="399">
          <cell r="A399" t="str">
            <v>2100</v>
          </cell>
          <cell r="I399">
            <v>39256</v>
          </cell>
        </row>
        <row r="400">
          <cell r="A400" t="str">
            <v>2100</v>
          </cell>
          <cell r="I400">
            <v>39259</v>
          </cell>
        </row>
        <row r="401">
          <cell r="A401" t="str">
            <v>2100</v>
          </cell>
          <cell r="I401">
            <v>39247</v>
          </cell>
        </row>
        <row r="402">
          <cell r="A402" t="str">
            <v>2100</v>
          </cell>
          <cell r="I402">
            <v>39248</v>
          </cell>
        </row>
        <row r="403">
          <cell r="A403" t="str">
            <v>2100</v>
          </cell>
          <cell r="I403">
            <v>39259</v>
          </cell>
        </row>
        <row r="404">
          <cell r="A404" t="str">
            <v>2100</v>
          </cell>
          <cell r="I404">
            <v>39256</v>
          </cell>
        </row>
        <row r="405">
          <cell r="A405" t="str">
            <v>2100</v>
          </cell>
          <cell r="I405">
            <v>39247</v>
          </cell>
        </row>
        <row r="406">
          <cell r="A406" t="str">
            <v>2100</v>
          </cell>
          <cell r="I406">
            <v>39245</v>
          </cell>
        </row>
        <row r="407">
          <cell r="A407" t="str">
            <v>2100</v>
          </cell>
          <cell r="I407">
            <v>39253</v>
          </cell>
        </row>
        <row r="408">
          <cell r="A408" t="str">
            <v>2100</v>
          </cell>
          <cell r="I408">
            <v>39253</v>
          </cell>
        </row>
        <row r="409">
          <cell r="A409" t="str">
            <v>2100</v>
          </cell>
          <cell r="I409">
            <v>39253</v>
          </cell>
        </row>
        <row r="410">
          <cell r="A410" t="str">
            <v>2100</v>
          </cell>
          <cell r="I410">
            <v>39248</v>
          </cell>
        </row>
        <row r="411">
          <cell r="A411" t="str">
            <v>2100</v>
          </cell>
          <cell r="I411">
            <v>39253</v>
          </cell>
        </row>
        <row r="412">
          <cell r="A412" t="str">
            <v>2100</v>
          </cell>
          <cell r="I412">
            <v>39253</v>
          </cell>
        </row>
        <row r="413">
          <cell r="A413" t="str">
            <v>2100</v>
          </cell>
          <cell r="I413">
            <v>39258</v>
          </cell>
        </row>
        <row r="414">
          <cell r="A414" t="str">
            <v>2100</v>
          </cell>
          <cell r="I414">
            <v>39258</v>
          </cell>
        </row>
        <row r="415">
          <cell r="A415" t="str">
            <v>2100</v>
          </cell>
          <cell r="I415">
            <v>39253</v>
          </cell>
        </row>
        <row r="416">
          <cell r="A416" t="str">
            <v>2100</v>
          </cell>
          <cell r="I416">
            <v>39253</v>
          </cell>
        </row>
        <row r="417">
          <cell r="A417" t="str">
            <v>2100</v>
          </cell>
          <cell r="I417">
            <v>39253</v>
          </cell>
        </row>
        <row r="418">
          <cell r="A418" t="str">
            <v>2100</v>
          </cell>
          <cell r="I418">
            <v>39253</v>
          </cell>
        </row>
        <row r="419">
          <cell r="A419" t="str">
            <v>2100</v>
          </cell>
          <cell r="I419">
            <v>39253</v>
          </cell>
        </row>
        <row r="420">
          <cell r="A420" t="str">
            <v>2100</v>
          </cell>
          <cell r="I420">
            <v>39253</v>
          </cell>
        </row>
        <row r="421">
          <cell r="A421" t="str">
            <v>2100</v>
          </cell>
          <cell r="I421">
            <v>39253</v>
          </cell>
        </row>
        <row r="422">
          <cell r="A422" t="str">
            <v>2100</v>
          </cell>
          <cell r="I422">
            <v>39253</v>
          </cell>
        </row>
        <row r="423">
          <cell r="A423" t="str">
            <v>2100</v>
          </cell>
          <cell r="I423">
            <v>39259</v>
          </cell>
        </row>
        <row r="424">
          <cell r="A424" t="str">
            <v>2100</v>
          </cell>
          <cell r="I424">
            <v>39256</v>
          </cell>
        </row>
        <row r="425">
          <cell r="A425" t="str">
            <v>2100</v>
          </cell>
          <cell r="I425">
            <v>39253</v>
          </cell>
        </row>
        <row r="426">
          <cell r="A426" t="str">
            <v>2100</v>
          </cell>
          <cell r="I426">
            <v>39259</v>
          </cell>
        </row>
        <row r="427">
          <cell r="A427" t="str">
            <v>2100</v>
          </cell>
          <cell r="I427">
            <v>39253</v>
          </cell>
        </row>
        <row r="428">
          <cell r="A428" t="str">
            <v>2100</v>
          </cell>
          <cell r="I428">
            <v>39253</v>
          </cell>
        </row>
        <row r="429">
          <cell r="A429" t="str">
            <v>2100</v>
          </cell>
          <cell r="I429">
            <v>39247</v>
          </cell>
        </row>
        <row r="430">
          <cell r="A430" t="str">
            <v>2100</v>
          </cell>
          <cell r="I430">
            <v>39253</v>
          </cell>
        </row>
        <row r="431">
          <cell r="A431" t="str">
            <v>2100</v>
          </cell>
          <cell r="I431">
            <v>39258</v>
          </cell>
        </row>
        <row r="432">
          <cell r="A432" t="str">
            <v>2100</v>
          </cell>
          <cell r="I432">
            <v>39258</v>
          </cell>
        </row>
        <row r="433">
          <cell r="A433" t="str">
            <v>2100</v>
          </cell>
          <cell r="I433">
            <v>39253</v>
          </cell>
        </row>
        <row r="434">
          <cell r="A434" t="str">
            <v>2100</v>
          </cell>
          <cell r="I434">
            <v>39253</v>
          </cell>
        </row>
        <row r="435">
          <cell r="A435" t="str">
            <v>2100</v>
          </cell>
          <cell r="I435">
            <v>39253</v>
          </cell>
        </row>
        <row r="436">
          <cell r="A436" t="str">
            <v>2100</v>
          </cell>
          <cell r="I436">
            <v>39258</v>
          </cell>
        </row>
        <row r="437">
          <cell r="A437" t="str">
            <v>2100</v>
          </cell>
          <cell r="I437">
            <v>39259</v>
          </cell>
        </row>
        <row r="438">
          <cell r="A438" t="str">
            <v>2100</v>
          </cell>
          <cell r="I438">
            <v>39247</v>
          </cell>
        </row>
        <row r="439">
          <cell r="A439" t="str">
            <v>2100</v>
          </cell>
          <cell r="I439">
            <v>39253</v>
          </cell>
        </row>
        <row r="440">
          <cell r="A440" t="str">
            <v>2100</v>
          </cell>
          <cell r="I440">
            <v>39253</v>
          </cell>
        </row>
        <row r="441">
          <cell r="A441" t="str">
            <v>2100</v>
          </cell>
          <cell r="I441">
            <v>39259</v>
          </cell>
        </row>
        <row r="442">
          <cell r="A442" t="str">
            <v>2100</v>
          </cell>
          <cell r="I442">
            <v>39253</v>
          </cell>
        </row>
        <row r="443">
          <cell r="A443" t="str">
            <v>2100</v>
          </cell>
          <cell r="I443">
            <v>39247</v>
          </cell>
        </row>
        <row r="444">
          <cell r="A444" t="str">
            <v>2100</v>
          </cell>
          <cell r="I444">
            <v>39248</v>
          </cell>
        </row>
        <row r="445">
          <cell r="A445" t="str">
            <v>2100</v>
          </cell>
          <cell r="I445">
            <v>39256</v>
          </cell>
        </row>
        <row r="446">
          <cell r="A446" t="str">
            <v>2100</v>
          </cell>
          <cell r="I446">
            <v>39245</v>
          </cell>
        </row>
        <row r="447">
          <cell r="A447" t="str">
            <v>2100</v>
          </cell>
          <cell r="I447">
            <v>39256</v>
          </cell>
        </row>
        <row r="448">
          <cell r="A448" t="str">
            <v>2100</v>
          </cell>
          <cell r="I448">
            <v>39253</v>
          </cell>
        </row>
        <row r="449">
          <cell r="A449" t="str">
            <v>2100</v>
          </cell>
          <cell r="I449">
            <v>39253</v>
          </cell>
        </row>
        <row r="450">
          <cell r="A450" t="str">
            <v>2100</v>
          </cell>
          <cell r="I450">
            <v>39245</v>
          </cell>
        </row>
        <row r="451">
          <cell r="A451" t="str">
            <v>2100</v>
          </cell>
          <cell r="I451">
            <v>39248</v>
          </cell>
        </row>
        <row r="452">
          <cell r="A452" t="str">
            <v>2100</v>
          </cell>
          <cell r="I452">
            <v>39253</v>
          </cell>
        </row>
        <row r="453">
          <cell r="A453" t="str">
            <v>2100</v>
          </cell>
          <cell r="I453">
            <v>39258</v>
          </cell>
        </row>
        <row r="454">
          <cell r="A454" t="str">
            <v>2100</v>
          </cell>
          <cell r="I454">
            <v>39253</v>
          </cell>
        </row>
        <row r="455">
          <cell r="A455" t="str">
            <v>2100</v>
          </cell>
          <cell r="I455">
            <v>39253</v>
          </cell>
        </row>
        <row r="456">
          <cell r="A456" t="str">
            <v>2100</v>
          </cell>
          <cell r="I456">
            <v>39253</v>
          </cell>
        </row>
        <row r="457">
          <cell r="A457" t="str">
            <v>2100</v>
          </cell>
          <cell r="I457">
            <v>39253</v>
          </cell>
        </row>
        <row r="458">
          <cell r="A458" t="str">
            <v>2100</v>
          </cell>
          <cell r="I458">
            <v>39253</v>
          </cell>
        </row>
        <row r="459">
          <cell r="A459" t="str">
            <v>2100</v>
          </cell>
          <cell r="I459">
            <v>39253</v>
          </cell>
        </row>
        <row r="460">
          <cell r="A460" t="str">
            <v>2100</v>
          </cell>
          <cell r="I460">
            <v>39253</v>
          </cell>
        </row>
        <row r="461">
          <cell r="A461" t="str">
            <v>2100</v>
          </cell>
          <cell r="I461">
            <v>39253</v>
          </cell>
        </row>
        <row r="462">
          <cell r="A462" t="str">
            <v>2100</v>
          </cell>
          <cell r="I462">
            <v>39253</v>
          </cell>
        </row>
        <row r="463">
          <cell r="A463" t="str">
            <v>2100</v>
          </cell>
          <cell r="I463">
            <v>39259</v>
          </cell>
        </row>
        <row r="464">
          <cell r="A464" t="str">
            <v>2100</v>
          </cell>
          <cell r="I464">
            <v>39256</v>
          </cell>
        </row>
        <row r="465">
          <cell r="A465" t="str">
            <v>2100</v>
          </cell>
          <cell r="I465">
            <v>39259</v>
          </cell>
        </row>
        <row r="466">
          <cell r="A466" t="str">
            <v>2100</v>
          </cell>
          <cell r="I466">
            <v>39253</v>
          </cell>
        </row>
        <row r="467">
          <cell r="A467" t="str">
            <v>2100</v>
          </cell>
          <cell r="I467">
            <v>39247</v>
          </cell>
        </row>
        <row r="468">
          <cell r="A468" t="str">
            <v>2100</v>
          </cell>
          <cell r="I468">
            <v>39245</v>
          </cell>
        </row>
        <row r="469">
          <cell r="A469" t="str">
            <v>2100</v>
          </cell>
          <cell r="I469">
            <v>39245</v>
          </cell>
        </row>
        <row r="470">
          <cell r="A470" t="str">
            <v>2100</v>
          </cell>
          <cell r="I470">
            <v>39253</v>
          </cell>
        </row>
        <row r="471">
          <cell r="A471" t="str">
            <v>2100</v>
          </cell>
          <cell r="I471">
            <v>39253</v>
          </cell>
        </row>
        <row r="472">
          <cell r="A472" t="str">
            <v>2100</v>
          </cell>
          <cell r="I472">
            <v>39253</v>
          </cell>
        </row>
        <row r="473">
          <cell r="A473" t="str">
            <v>2100</v>
          </cell>
          <cell r="I473">
            <v>39260</v>
          </cell>
        </row>
        <row r="474">
          <cell r="A474" t="str">
            <v>2100</v>
          </cell>
          <cell r="I474">
            <v>39253</v>
          </cell>
        </row>
        <row r="475">
          <cell r="A475" t="str">
            <v>2100</v>
          </cell>
          <cell r="I475">
            <v>39253</v>
          </cell>
        </row>
        <row r="476">
          <cell r="A476" t="str">
            <v>2100</v>
          </cell>
          <cell r="I476">
            <v>39253</v>
          </cell>
        </row>
        <row r="477">
          <cell r="A477" t="str">
            <v>2100</v>
          </cell>
          <cell r="I477">
            <v>39246</v>
          </cell>
        </row>
        <row r="478">
          <cell r="A478" t="str">
            <v>2100</v>
          </cell>
          <cell r="I478">
            <v>39253</v>
          </cell>
        </row>
        <row r="479">
          <cell r="A479" t="str">
            <v>2100</v>
          </cell>
          <cell r="I479">
            <v>39253</v>
          </cell>
        </row>
        <row r="480">
          <cell r="A480" t="str">
            <v>2100</v>
          </cell>
          <cell r="I480">
            <v>39253</v>
          </cell>
        </row>
        <row r="481">
          <cell r="A481" t="str">
            <v>2100</v>
          </cell>
          <cell r="I481">
            <v>39253</v>
          </cell>
        </row>
        <row r="482">
          <cell r="A482" t="str">
            <v>2100</v>
          </cell>
          <cell r="I482">
            <v>39253</v>
          </cell>
        </row>
        <row r="483">
          <cell r="A483" t="str">
            <v>2100</v>
          </cell>
          <cell r="I483">
            <v>39253</v>
          </cell>
        </row>
        <row r="484">
          <cell r="A484" t="str">
            <v>2100</v>
          </cell>
          <cell r="I484">
            <v>39253</v>
          </cell>
        </row>
        <row r="485">
          <cell r="A485" t="str">
            <v>2100</v>
          </cell>
          <cell r="I485">
            <v>39253</v>
          </cell>
        </row>
        <row r="486">
          <cell r="A486" t="str">
            <v>2100</v>
          </cell>
          <cell r="I486">
            <v>39253</v>
          </cell>
        </row>
        <row r="487">
          <cell r="A487" t="str">
            <v>2100</v>
          </cell>
          <cell r="I487">
            <v>39253</v>
          </cell>
        </row>
        <row r="488">
          <cell r="A488" t="str">
            <v>2100</v>
          </cell>
          <cell r="I488">
            <v>39253</v>
          </cell>
        </row>
        <row r="489">
          <cell r="A489" t="str">
            <v>2100</v>
          </cell>
          <cell r="I489">
            <v>39253</v>
          </cell>
        </row>
        <row r="490">
          <cell r="A490" t="str">
            <v>2100</v>
          </cell>
          <cell r="I490">
            <v>39253</v>
          </cell>
        </row>
        <row r="491">
          <cell r="A491" t="str">
            <v>2100</v>
          </cell>
          <cell r="I491">
            <v>39253</v>
          </cell>
        </row>
        <row r="492">
          <cell r="A492" t="str">
            <v>2100</v>
          </cell>
          <cell r="I492">
            <v>39253</v>
          </cell>
        </row>
        <row r="493">
          <cell r="A493" t="str">
            <v>2100</v>
          </cell>
          <cell r="I493">
            <v>39253</v>
          </cell>
        </row>
        <row r="494">
          <cell r="A494" t="str">
            <v>2100</v>
          </cell>
          <cell r="I494">
            <v>39253</v>
          </cell>
        </row>
        <row r="495">
          <cell r="A495" t="str">
            <v>2100</v>
          </cell>
          <cell r="I495">
            <v>39253</v>
          </cell>
        </row>
        <row r="496">
          <cell r="A496" t="str">
            <v>2100</v>
          </cell>
          <cell r="I496">
            <v>39253</v>
          </cell>
        </row>
        <row r="497">
          <cell r="A497" t="str">
            <v>2100</v>
          </cell>
          <cell r="I497">
            <v>39247</v>
          </cell>
        </row>
        <row r="498">
          <cell r="A498" t="str">
            <v>2100</v>
          </cell>
          <cell r="I498">
            <v>39253</v>
          </cell>
        </row>
        <row r="499">
          <cell r="A499" t="str">
            <v>2100</v>
          </cell>
          <cell r="I499">
            <v>39258</v>
          </cell>
        </row>
        <row r="500">
          <cell r="A500" t="str">
            <v>2100</v>
          </cell>
          <cell r="I500">
            <v>39258</v>
          </cell>
        </row>
        <row r="501">
          <cell r="A501" t="str">
            <v>2100</v>
          </cell>
          <cell r="I501">
            <v>39253</v>
          </cell>
        </row>
        <row r="502">
          <cell r="A502" t="str">
            <v>2100</v>
          </cell>
          <cell r="I502">
            <v>39253</v>
          </cell>
        </row>
        <row r="503">
          <cell r="A503" t="str">
            <v>2100</v>
          </cell>
          <cell r="I503">
            <v>39253</v>
          </cell>
        </row>
        <row r="504">
          <cell r="A504" t="str">
            <v>2100</v>
          </cell>
          <cell r="I504">
            <v>39255</v>
          </cell>
        </row>
        <row r="505">
          <cell r="A505" t="str">
            <v>2100</v>
          </cell>
          <cell r="I505">
            <v>39255</v>
          </cell>
        </row>
        <row r="506">
          <cell r="A506" t="str">
            <v>2100</v>
          </cell>
          <cell r="I506">
            <v>39255</v>
          </cell>
        </row>
        <row r="507">
          <cell r="A507" t="str">
            <v>2100</v>
          </cell>
          <cell r="I507">
            <v>39255</v>
          </cell>
        </row>
        <row r="508">
          <cell r="A508" t="str">
            <v>2100</v>
          </cell>
          <cell r="I508">
            <v>39255</v>
          </cell>
        </row>
        <row r="509">
          <cell r="A509" t="str">
            <v>2100</v>
          </cell>
          <cell r="I509">
            <v>39253</v>
          </cell>
        </row>
        <row r="510">
          <cell r="A510" t="str">
            <v>2100</v>
          </cell>
          <cell r="I510">
            <v>39259</v>
          </cell>
        </row>
        <row r="511">
          <cell r="A511" t="str">
            <v>2100</v>
          </cell>
          <cell r="I511">
            <v>39256</v>
          </cell>
        </row>
        <row r="512">
          <cell r="A512" t="str">
            <v>2100</v>
          </cell>
          <cell r="I512">
            <v>39255</v>
          </cell>
        </row>
        <row r="513">
          <cell r="A513" t="str">
            <v>2100</v>
          </cell>
          <cell r="I513">
            <v>39253</v>
          </cell>
        </row>
        <row r="514">
          <cell r="A514" t="str">
            <v>2100</v>
          </cell>
          <cell r="I514">
            <v>39255</v>
          </cell>
        </row>
        <row r="515">
          <cell r="A515" t="str">
            <v>2100</v>
          </cell>
          <cell r="I515">
            <v>39258</v>
          </cell>
        </row>
        <row r="516">
          <cell r="A516" t="str">
            <v>2100</v>
          </cell>
          <cell r="I516">
            <v>39258</v>
          </cell>
        </row>
        <row r="517">
          <cell r="A517" t="str">
            <v>2100</v>
          </cell>
          <cell r="I517">
            <v>39259</v>
          </cell>
        </row>
        <row r="518">
          <cell r="A518" t="str">
            <v>2100</v>
          </cell>
          <cell r="I518">
            <v>39255</v>
          </cell>
        </row>
        <row r="519">
          <cell r="A519" t="str">
            <v>2100</v>
          </cell>
          <cell r="I519">
            <v>39260</v>
          </cell>
        </row>
        <row r="520">
          <cell r="A520" t="str">
            <v>2100</v>
          </cell>
          <cell r="I520">
            <v>39252</v>
          </cell>
        </row>
        <row r="521">
          <cell r="A521" t="str">
            <v>2100</v>
          </cell>
          <cell r="I521">
            <v>39261</v>
          </cell>
        </row>
        <row r="522">
          <cell r="A522" t="str">
            <v>2100</v>
          </cell>
          <cell r="I522">
            <v>39253</v>
          </cell>
        </row>
        <row r="523">
          <cell r="A523" t="str">
            <v>2100</v>
          </cell>
          <cell r="I523">
            <v>39253</v>
          </cell>
        </row>
        <row r="524">
          <cell r="A524" t="str">
            <v>2100</v>
          </cell>
          <cell r="I524">
            <v>39247</v>
          </cell>
        </row>
        <row r="525">
          <cell r="A525" t="str">
            <v>2100</v>
          </cell>
          <cell r="I525">
            <v>39253</v>
          </cell>
        </row>
        <row r="526">
          <cell r="A526" t="str">
            <v>2100</v>
          </cell>
          <cell r="I526">
            <v>39253</v>
          </cell>
        </row>
        <row r="527">
          <cell r="A527" t="str">
            <v>2100</v>
          </cell>
          <cell r="I527">
            <v>39253</v>
          </cell>
        </row>
        <row r="528">
          <cell r="A528" t="str">
            <v>2100</v>
          </cell>
          <cell r="I528">
            <v>39253</v>
          </cell>
        </row>
        <row r="529">
          <cell r="A529" t="str">
            <v>2100</v>
          </cell>
          <cell r="I529">
            <v>39253</v>
          </cell>
        </row>
        <row r="530">
          <cell r="A530" t="str">
            <v>2100</v>
          </cell>
          <cell r="I530">
            <v>39253</v>
          </cell>
        </row>
        <row r="531">
          <cell r="A531" t="str">
            <v>2100</v>
          </cell>
          <cell r="I531">
            <v>39258</v>
          </cell>
        </row>
        <row r="532">
          <cell r="A532" t="str">
            <v>2100</v>
          </cell>
          <cell r="I532">
            <v>39258</v>
          </cell>
        </row>
        <row r="533">
          <cell r="A533" t="str">
            <v>2100</v>
          </cell>
          <cell r="I533">
            <v>39259</v>
          </cell>
        </row>
        <row r="534">
          <cell r="A534" t="str">
            <v>2100</v>
          </cell>
          <cell r="I534">
            <v>39251</v>
          </cell>
        </row>
        <row r="535">
          <cell r="A535" t="str">
            <v>2100</v>
          </cell>
          <cell r="I535">
            <v>39251</v>
          </cell>
        </row>
        <row r="536">
          <cell r="A536" t="str">
            <v>2100</v>
          </cell>
          <cell r="I536">
            <v>39260</v>
          </cell>
        </row>
        <row r="537">
          <cell r="A537" t="str">
            <v>2100</v>
          </cell>
          <cell r="I537">
            <v>39252</v>
          </cell>
        </row>
        <row r="538">
          <cell r="A538" t="str">
            <v>2100</v>
          </cell>
          <cell r="I538">
            <v>39252</v>
          </cell>
        </row>
        <row r="539">
          <cell r="A539" t="str">
            <v>2100</v>
          </cell>
          <cell r="I539">
            <v>39252</v>
          </cell>
        </row>
        <row r="540">
          <cell r="A540" t="str">
            <v>2100</v>
          </cell>
          <cell r="I540">
            <v>39252</v>
          </cell>
        </row>
        <row r="541">
          <cell r="A541" t="str">
            <v>2100</v>
          </cell>
          <cell r="I541">
            <v>39252</v>
          </cell>
        </row>
        <row r="542">
          <cell r="A542" t="str">
            <v>2100</v>
          </cell>
          <cell r="I542">
            <v>39252</v>
          </cell>
        </row>
        <row r="543">
          <cell r="A543" t="str">
            <v>2100</v>
          </cell>
          <cell r="I543">
            <v>39252</v>
          </cell>
        </row>
        <row r="544">
          <cell r="A544" t="str">
            <v>2100</v>
          </cell>
          <cell r="I544">
            <v>39252</v>
          </cell>
        </row>
        <row r="545">
          <cell r="A545" t="str">
            <v>2100</v>
          </cell>
          <cell r="I545">
            <v>39255</v>
          </cell>
        </row>
        <row r="546">
          <cell r="A546" t="str">
            <v>2100</v>
          </cell>
          <cell r="I546">
            <v>39245</v>
          </cell>
        </row>
        <row r="547">
          <cell r="A547" t="str">
            <v>2100</v>
          </cell>
          <cell r="I547">
            <v>39251</v>
          </cell>
        </row>
        <row r="548">
          <cell r="A548" t="str">
            <v>2100</v>
          </cell>
          <cell r="I548">
            <v>39248</v>
          </cell>
        </row>
        <row r="549">
          <cell r="A549" t="str">
            <v>2100</v>
          </cell>
          <cell r="I549">
            <v>39248</v>
          </cell>
        </row>
        <row r="550">
          <cell r="A550" t="str">
            <v>2100</v>
          </cell>
          <cell r="I550">
            <v>39248</v>
          </cell>
        </row>
        <row r="551">
          <cell r="A551" t="str">
            <v>2100</v>
          </cell>
          <cell r="I551">
            <v>39253</v>
          </cell>
        </row>
        <row r="552">
          <cell r="A552" t="str">
            <v>2100</v>
          </cell>
          <cell r="I552">
            <v>39253</v>
          </cell>
        </row>
        <row r="553">
          <cell r="A553" t="str">
            <v>2100</v>
          </cell>
          <cell r="I553">
            <v>39259</v>
          </cell>
        </row>
        <row r="554">
          <cell r="A554" t="str">
            <v>2100</v>
          </cell>
          <cell r="I554">
            <v>39251</v>
          </cell>
        </row>
        <row r="555">
          <cell r="A555" t="str">
            <v>2100</v>
          </cell>
          <cell r="I555">
            <v>39252</v>
          </cell>
        </row>
        <row r="556">
          <cell r="A556" t="str">
            <v>2100</v>
          </cell>
          <cell r="I556">
            <v>39254</v>
          </cell>
        </row>
        <row r="557">
          <cell r="A557" t="str">
            <v>2100</v>
          </cell>
          <cell r="I557">
            <v>39259</v>
          </cell>
        </row>
        <row r="558">
          <cell r="A558" t="str">
            <v>2100</v>
          </cell>
          <cell r="I558">
            <v>39259</v>
          </cell>
        </row>
        <row r="559">
          <cell r="A559" t="str">
            <v>2100</v>
          </cell>
          <cell r="I559">
            <v>39256</v>
          </cell>
        </row>
        <row r="560">
          <cell r="A560" t="str">
            <v>2100</v>
          </cell>
          <cell r="I560">
            <v>39259</v>
          </cell>
        </row>
        <row r="561">
          <cell r="A561" t="str">
            <v>2100</v>
          </cell>
          <cell r="I561">
            <v>39259</v>
          </cell>
        </row>
        <row r="562">
          <cell r="A562" t="str">
            <v>2100</v>
          </cell>
          <cell r="I562">
            <v>39248</v>
          </cell>
        </row>
        <row r="563">
          <cell r="A563" t="str">
            <v>2100</v>
          </cell>
          <cell r="I563">
            <v>39253</v>
          </cell>
        </row>
        <row r="564">
          <cell r="A564" t="str">
            <v>2100</v>
          </cell>
          <cell r="I564">
            <v>39253</v>
          </cell>
        </row>
        <row r="565">
          <cell r="A565" t="str">
            <v>2100</v>
          </cell>
          <cell r="I565">
            <v>39253</v>
          </cell>
        </row>
        <row r="566">
          <cell r="A566" t="str">
            <v>2100</v>
          </cell>
          <cell r="I566">
            <v>39259</v>
          </cell>
        </row>
        <row r="567">
          <cell r="A567" t="str">
            <v>2100</v>
          </cell>
          <cell r="I567">
            <v>39259</v>
          </cell>
        </row>
        <row r="568">
          <cell r="A568" t="str">
            <v>2100</v>
          </cell>
          <cell r="I568">
            <v>39259</v>
          </cell>
        </row>
        <row r="569">
          <cell r="A569" t="str">
            <v>2100</v>
          </cell>
          <cell r="I569">
            <v>39253</v>
          </cell>
        </row>
        <row r="570">
          <cell r="A570" t="str">
            <v>2100</v>
          </cell>
          <cell r="I570">
            <v>39253</v>
          </cell>
        </row>
        <row r="571">
          <cell r="A571" t="str">
            <v>2100</v>
          </cell>
          <cell r="I571">
            <v>39253</v>
          </cell>
        </row>
        <row r="572">
          <cell r="A572" t="str">
            <v>2100</v>
          </cell>
          <cell r="I572">
            <v>39253</v>
          </cell>
        </row>
        <row r="573">
          <cell r="A573" t="str">
            <v>2100</v>
          </cell>
          <cell r="I573">
            <v>39255</v>
          </cell>
        </row>
        <row r="574">
          <cell r="A574" t="str">
            <v>2100</v>
          </cell>
          <cell r="I574">
            <v>39253</v>
          </cell>
        </row>
        <row r="575">
          <cell r="A575" t="str">
            <v>2100</v>
          </cell>
          <cell r="I575">
            <v>39253</v>
          </cell>
        </row>
        <row r="576">
          <cell r="A576" t="str">
            <v>2100</v>
          </cell>
          <cell r="I576">
            <v>39253</v>
          </cell>
        </row>
        <row r="577">
          <cell r="A577" t="str">
            <v>2100</v>
          </cell>
          <cell r="I577">
            <v>39253</v>
          </cell>
        </row>
        <row r="578">
          <cell r="A578" t="str">
            <v>2100</v>
          </cell>
          <cell r="I578">
            <v>39253</v>
          </cell>
        </row>
        <row r="579">
          <cell r="A579" t="str">
            <v>2100</v>
          </cell>
          <cell r="I579">
            <v>39253</v>
          </cell>
        </row>
        <row r="580">
          <cell r="A580" t="str">
            <v>2100</v>
          </cell>
          <cell r="I580">
            <v>39253</v>
          </cell>
        </row>
        <row r="581">
          <cell r="A581" t="str">
            <v>2100</v>
          </cell>
          <cell r="I581">
            <v>39253</v>
          </cell>
        </row>
        <row r="582">
          <cell r="A582" t="str">
            <v>2100</v>
          </cell>
          <cell r="I582">
            <v>39253</v>
          </cell>
        </row>
        <row r="583">
          <cell r="A583" t="str">
            <v>2100</v>
          </cell>
          <cell r="I583">
            <v>39253</v>
          </cell>
        </row>
        <row r="584">
          <cell r="A584" t="str">
            <v>2100</v>
          </cell>
          <cell r="I584">
            <v>39253</v>
          </cell>
        </row>
        <row r="585">
          <cell r="A585" t="str">
            <v>2100</v>
          </cell>
          <cell r="I585">
            <v>39253</v>
          </cell>
        </row>
        <row r="586">
          <cell r="A586" t="str">
            <v>2100</v>
          </cell>
          <cell r="I586">
            <v>39258</v>
          </cell>
        </row>
        <row r="587">
          <cell r="A587" t="str">
            <v>2100</v>
          </cell>
          <cell r="I587">
            <v>39258</v>
          </cell>
        </row>
        <row r="588">
          <cell r="A588" t="str">
            <v>2100</v>
          </cell>
          <cell r="I588">
            <v>39253</v>
          </cell>
        </row>
        <row r="589">
          <cell r="A589" t="str">
            <v>2100</v>
          </cell>
          <cell r="I589">
            <v>39253</v>
          </cell>
        </row>
        <row r="590">
          <cell r="A590" t="str">
            <v>2100</v>
          </cell>
          <cell r="I590">
            <v>39253</v>
          </cell>
        </row>
        <row r="591">
          <cell r="A591" t="str">
            <v>2100</v>
          </cell>
          <cell r="I591">
            <v>39258</v>
          </cell>
        </row>
        <row r="592">
          <cell r="A592" t="str">
            <v>2100</v>
          </cell>
          <cell r="I592">
            <v>39253</v>
          </cell>
        </row>
        <row r="593">
          <cell r="A593" t="str">
            <v>2100</v>
          </cell>
          <cell r="I593">
            <v>39253</v>
          </cell>
        </row>
        <row r="594">
          <cell r="A594" t="str">
            <v>2100</v>
          </cell>
          <cell r="I594">
            <v>39256</v>
          </cell>
        </row>
        <row r="595">
          <cell r="A595" t="str">
            <v>2100</v>
          </cell>
          <cell r="I595">
            <v>39259</v>
          </cell>
        </row>
        <row r="596">
          <cell r="A596" t="str">
            <v>2100</v>
          </cell>
          <cell r="I596">
            <v>39248</v>
          </cell>
        </row>
        <row r="597">
          <cell r="A597" t="str">
            <v>2100</v>
          </cell>
          <cell r="I597">
            <v>39248</v>
          </cell>
        </row>
        <row r="598">
          <cell r="A598" t="str">
            <v>2100</v>
          </cell>
          <cell r="I598">
            <v>39248</v>
          </cell>
        </row>
        <row r="599">
          <cell r="A599" t="str">
            <v>2100</v>
          </cell>
          <cell r="I599">
            <v>39248</v>
          </cell>
        </row>
        <row r="600">
          <cell r="A600" t="str">
            <v>2100</v>
          </cell>
          <cell r="I600">
            <v>39248</v>
          </cell>
        </row>
        <row r="601">
          <cell r="A601" t="str">
            <v>2100</v>
          </cell>
          <cell r="I601">
            <v>39256</v>
          </cell>
        </row>
        <row r="602">
          <cell r="A602" t="str">
            <v>2100</v>
          </cell>
          <cell r="I602">
            <v>39251</v>
          </cell>
        </row>
        <row r="603">
          <cell r="A603" t="str">
            <v>2100</v>
          </cell>
          <cell r="I603">
            <v>39248</v>
          </cell>
        </row>
        <row r="604">
          <cell r="A604" t="str">
            <v>2100</v>
          </cell>
          <cell r="I604">
            <v>39248</v>
          </cell>
        </row>
        <row r="605">
          <cell r="A605" t="str">
            <v>2100</v>
          </cell>
          <cell r="I605">
            <v>39256</v>
          </cell>
        </row>
        <row r="606">
          <cell r="A606" t="str">
            <v>2100</v>
          </cell>
          <cell r="I606">
            <v>39256</v>
          </cell>
        </row>
        <row r="607">
          <cell r="A607" t="str">
            <v>2100</v>
          </cell>
          <cell r="I607">
            <v>39256</v>
          </cell>
        </row>
        <row r="608">
          <cell r="A608" t="str">
            <v>2100</v>
          </cell>
          <cell r="I608">
            <v>39256</v>
          </cell>
        </row>
        <row r="609">
          <cell r="A609" t="str">
            <v>2100</v>
          </cell>
          <cell r="I609">
            <v>39256</v>
          </cell>
        </row>
        <row r="610">
          <cell r="A610" t="str">
            <v>2100</v>
          </cell>
          <cell r="I610">
            <v>39251</v>
          </cell>
        </row>
        <row r="611">
          <cell r="A611" t="str">
            <v>2100</v>
          </cell>
          <cell r="I611">
            <v>39251</v>
          </cell>
        </row>
        <row r="612">
          <cell r="A612" t="str">
            <v>2100</v>
          </cell>
          <cell r="I612">
            <v>39251</v>
          </cell>
        </row>
        <row r="613">
          <cell r="A613" t="str">
            <v>2100</v>
          </cell>
          <cell r="I613">
            <v>39251</v>
          </cell>
        </row>
        <row r="614">
          <cell r="A614" t="str">
            <v>2100</v>
          </cell>
          <cell r="I614">
            <v>39251</v>
          </cell>
        </row>
        <row r="615">
          <cell r="A615" t="str">
            <v>2100</v>
          </cell>
          <cell r="I615">
            <v>39258</v>
          </cell>
        </row>
        <row r="616">
          <cell r="A616" t="str">
            <v>2100</v>
          </cell>
          <cell r="I616">
            <v>39251</v>
          </cell>
        </row>
        <row r="617">
          <cell r="A617" t="str">
            <v>2100</v>
          </cell>
          <cell r="I617">
            <v>39259</v>
          </cell>
        </row>
        <row r="618">
          <cell r="A618" t="str">
            <v>2100</v>
          </cell>
          <cell r="I618">
            <v>39259</v>
          </cell>
        </row>
        <row r="619">
          <cell r="A619" t="str">
            <v>2100</v>
          </cell>
          <cell r="I619">
            <v>39259</v>
          </cell>
        </row>
        <row r="620">
          <cell r="A620" t="str">
            <v>2100</v>
          </cell>
          <cell r="I620">
            <v>39259</v>
          </cell>
        </row>
        <row r="621">
          <cell r="A621" t="str">
            <v>2100</v>
          </cell>
          <cell r="I621">
            <v>39259</v>
          </cell>
        </row>
        <row r="622">
          <cell r="A622" t="str">
            <v>2100</v>
          </cell>
          <cell r="I622">
            <v>39259</v>
          </cell>
        </row>
        <row r="623">
          <cell r="A623" t="str">
            <v>2100</v>
          </cell>
          <cell r="I623">
            <v>39259</v>
          </cell>
        </row>
        <row r="624">
          <cell r="A624" t="str">
            <v>2100</v>
          </cell>
          <cell r="I624">
            <v>39259</v>
          </cell>
        </row>
        <row r="625">
          <cell r="A625" t="str">
            <v>2100</v>
          </cell>
          <cell r="I625">
            <v>39259</v>
          </cell>
        </row>
        <row r="626">
          <cell r="A626" t="str">
            <v>2100</v>
          </cell>
          <cell r="I626">
            <v>39251</v>
          </cell>
        </row>
        <row r="627">
          <cell r="A627" t="str">
            <v>2100</v>
          </cell>
          <cell r="I627">
            <v>39259</v>
          </cell>
        </row>
        <row r="628">
          <cell r="A628" t="str">
            <v>2100</v>
          </cell>
          <cell r="I628">
            <v>39256</v>
          </cell>
        </row>
        <row r="629">
          <cell r="A629" t="str">
            <v>2100</v>
          </cell>
          <cell r="I629">
            <v>39251</v>
          </cell>
        </row>
        <row r="630">
          <cell r="A630" t="str">
            <v>2100</v>
          </cell>
          <cell r="I630">
            <v>39251</v>
          </cell>
        </row>
        <row r="631">
          <cell r="A631" t="str">
            <v>2100</v>
          </cell>
          <cell r="I631">
            <v>39259</v>
          </cell>
        </row>
        <row r="632">
          <cell r="A632" t="str">
            <v>2100</v>
          </cell>
          <cell r="I632">
            <v>39259</v>
          </cell>
        </row>
        <row r="633">
          <cell r="A633" t="str">
            <v>2100</v>
          </cell>
          <cell r="I633">
            <v>39256</v>
          </cell>
        </row>
        <row r="634">
          <cell r="A634" t="str">
            <v>2100</v>
          </cell>
          <cell r="I634">
            <v>39256</v>
          </cell>
        </row>
        <row r="635">
          <cell r="A635" t="str">
            <v>2100</v>
          </cell>
          <cell r="I635">
            <v>39251</v>
          </cell>
        </row>
        <row r="636">
          <cell r="A636" t="str">
            <v>2100</v>
          </cell>
          <cell r="I636">
            <v>39251</v>
          </cell>
        </row>
        <row r="637">
          <cell r="A637" t="str">
            <v>2100</v>
          </cell>
          <cell r="I637">
            <v>39251</v>
          </cell>
        </row>
        <row r="638">
          <cell r="A638" t="str">
            <v>2100</v>
          </cell>
          <cell r="I638">
            <v>39251</v>
          </cell>
        </row>
        <row r="639">
          <cell r="A639" t="str">
            <v>2100</v>
          </cell>
          <cell r="I639">
            <v>39251</v>
          </cell>
        </row>
        <row r="640">
          <cell r="A640" t="str">
            <v>2100</v>
          </cell>
          <cell r="I640">
            <v>39251</v>
          </cell>
        </row>
        <row r="641">
          <cell r="A641" t="str">
            <v>2100</v>
          </cell>
          <cell r="I641">
            <v>39256</v>
          </cell>
        </row>
        <row r="642">
          <cell r="A642" t="str">
            <v>2100</v>
          </cell>
          <cell r="I642">
            <v>39251</v>
          </cell>
        </row>
        <row r="643">
          <cell r="A643" t="str">
            <v>2100</v>
          </cell>
          <cell r="I643">
            <v>39259</v>
          </cell>
        </row>
        <row r="644">
          <cell r="A644" t="str">
            <v>2100</v>
          </cell>
          <cell r="I644">
            <v>39248</v>
          </cell>
        </row>
        <row r="645">
          <cell r="A645" t="str">
            <v>2100</v>
          </cell>
          <cell r="I645">
            <v>39259</v>
          </cell>
        </row>
        <row r="646">
          <cell r="A646" t="str">
            <v>2100</v>
          </cell>
          <cell r="I646">
            <v>39259</v>
          </cell>
        </row>
        <row r="647">
          <cell r="A647" t="str">
            <v>2100</v>
          </cell>
          <cell r="I647">
            <v>39256</v>
          </cell>
        </row>
        <row r="648">
          <cell r="A648" t="str">
            <v>2100</v>
          </cell>
          <cell r="I648">
            <v>39256</v>
          </cell>
        </row>
        <row r="649">
          <cell r="A649" t="str">
            <v>2100</v>
          </cell>
          <cell r="I649">
            <v>39256</v>
          </cell>
        </row>
        <row r="650">
          <cell r="A650" t="str">
            <v>2100</v>
          </cell>
          <cell r="I650">
            <v>39248</v>
          </cell>
        </row>
        <row r="651">
          <cell r="A651" t="str">
            <v>2100</v>
          </cell>
          <cell r="I651">
            <v>39253</v>
          </cell>
        </row>
        <row r="652">
          <cell r="A652" t="str">
            <v>2100</v>
          </cell>
          <cell r="I652">
            <v>39253</v>
          </cell>
        </row>
        <row r="653">
          <cell r="A653" t="str">
            <v>2100</v>
          </cell>
          <cell r="I653">
            <v>39259</v>
          </cell>
        </row>
        <row r="654">
          <cell r="A654" t="str">
            <v>2100</v>
          </cell>
          <cell r="I654">
            <v>39258</v>
          </cell>
        </row>
        <row r="655">
          <cell r="A655" t="str">
            <v>2100</v>
          </cell>
          <cell r="I655">
            <v>39258</v>
          </cell>
        </row>
        <row r="656">
          <cell r="A656" t="str">
            <v>2100</v>
          </cell>
          <cell r="I656">
            <v>39255</v>
          </cell>
        </row>
        <row r="657">
          <cell r="A657" t="str">
            <v>2100</v>
          </cell>
          <cell r="I657">
            <v>39260</v>
          </cell>
        </row>
      </sheetData>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General"/>
      <sheetName val="PART-1"/>
      <sheetName val="PART-2"/>
      <sheetName val="PART-3"/>
      <sheetName val="PART-4"/>
      <sheetName val="PART-5"/>
      <sheetName val="PART-6"/>
      <sheetName val="PART-7"/>
      <sheetName val="PART-8"/>
      <sheetName val="PART-9"/>
      <sheetName val="PART-10"/>
      <sheetName val="PART-11"/>
      <sheetName val="PART-12"/>
      <sheetName val="PART-13"/>
      <sheetName val="PART-14"/>
      <sheetName val="PART-15"/>
      <sheetName val="PART-16"/>
      <sheetName val="ANNEX1"/>
      <sheetName val="ANNEX2"/>
      <sheetName val="ANNEX3"/>
      <sheetName val="ANNEX4"/>
      <sheetName val="ANNEX5"/>
    </sheetNames>
    <sheetDataSet>
      <sheetData sheetId="0" refreshError="1"/>
      <sheetData sheetId="1"/>
      <sheetData sheetId="2">
        <row r="5">
          <cell r="B5">
            <v>0</v>
          </cell>
        </row>
        <row r="6">
          <cell r="B6">
            <v>0</v>
          </cell>
        </row>
        <row r="7">
          <cell r="B7">
            <v>0</v>
          </cell>
        </row>
        <row r="8">
          <cell r="B8">
            <v>0</v>
          </cell>
        </row>
        <row r="9">
          <cell r="B9">
            <v>0</v>
          </cell>
        </row>
        <row r="11">
          <cell r="B11">
            <v>0</v>
          </cell>
        </row>
        <row r="12">
          <cell r="B12">
            <v>0</v>
          </cell>
        </row>
        <row r="13">
          <cell r="B13">
            <v>0</v>
          </cell>
        </row>
        <row r="14">
          <cell r="B14">
            <v>0</v>
          </cell>
        </row>
        <row r="15">
          <cell r="B15">
            <v>0</v>
          </cell>
        </row>
        <row r="16">
          <cell r="B16">
            <v>0</v>
          </cell>
        </row>
        <row r="17">
          <cell r="B17">
            <v>0</v>
          </cell>
        </row>
        <row r="18">
          <cell r="B18">
            <v>0</v>
          </cell>
        </row>
        <row r="19">
          <cell r="B19">
            <v>0</v>
          </cell>
        </row>
        <row r="20">
          <cell r="B20">
            <v>0</v>
          </cell>
        </row>
        <row r="21">
          <cell r="B21">
            <v>0</v>
          </cell>
        </row>
        <row r="22">
          <cell r="B22">
            <v>0</v>
          </cell>
        </row>
        <row r="24">
          <cell r="B24">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3">
          <cell r="B73">
            <v>0</v>
          </cell>
        </row>
        <row r="74">
          <cell r="B74">
            <v>0</v>
          </cell>
        </row>
        <row r="75">
          <cell r="B75">
            <v>0</v>
          </cell>
        </row>
        <row r="76">
          <cell r="B76">
            <v>0</v>
          </cell>
        </row>
        <row r="77">
          <cell r="B77">
            <v>0</v>
          </cell>
        </row>
        <row r="78">
          <cell r="B78">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sheetData>
      <sheetData sheetId="3">
        <row r="4">
          <cell r="B4">
            <v>0</v>
          </cell>
        </row>
        <row r="5">
          <cell r="B5">
            <v>0</v>
          </cell>
        </row>
        <row r="6">
          <cell r="B6">
            <v>0</v>
          </cell>
        </row>
        <row r="8">
          <cell r="B8">
            <v>0</v>
          </cell>
        </row>
        <row r="9">
          <cell r="B9">
            <v>0</v>
          </cell>
        </row>
        <row r="10">
          <cell r="B10">
            <v>0</v>
          </cell>
        </row>
        <row r="11">
          <cell r="B11">
            <v>0</v>
          </cell>
        </row>
        <row r="12">
          <cell r="B12">
            <v>0</v>
          </cell>
        </row>
        <row r="14">
          <cell r="B14">
            <v>0</v>
          </cell>
        </row>
        <row r="15">
          <cell r="B15">
            <v>0</v>
          </cell>
        </row>
        <row r="17">
          <cell r="B17">
            <v>0</v>
          </cell>
        </row>
        <row r="18">
          <cell r="B18">
            <v>0</v>
          </cell>
        </row>
        <row r="19">
          <cell r="B19">
            <v>0</v>
          </cell>
        </row>
        <row r="20">
          <cell r="B20">
            <v>0</v>
          </cell>
        </row>
        <row r="21">
          <cell r="B21">
            <v>0</v>
          </cell>
        </row>
        <row r="22">
          <cell r="B22">
            <v>0</v>
          </cell>
        </row>
        <row r="23">
          <cell r="B23">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50">
          <cell r="B50">
            <v>0</v>
          </cell>
        </row>
        <row r="51">
          <cell r="B51">
            <v>0</v>
          </cell>
        </row>
        <row r="52">
          <cell r="B52">
            <v>0</v>
          </cell>
        </row>
        <row r="53">
          <cell r="B53">
            <v>0</v>
          </cell>
        </row>
        <row r="55">
          <cell r="B55">
            <v>0</v>
          </cell>
        </row>
      </sheetData>
      <sheetData sheetId="4">
        <row r="17">
          <cell r="E17">
            <v>0</v>
          </cell>
        </row>
        <row r="44">
          <cell r="E44">
            <v>0</v>
          </cell>
        </row>
        <row r="50">
          <cell r="E50">
            <v>0</v>
          </cell>
        </row>
        <row r="51">
          <cell r="E51">
            <v>0</v>
          </cell>
        </row>
      </sheetData>
      <sheetData sheetId="5">
        <row r="6">
          <cell r="B6">
            <v>0</v>
          </cell>
          <cell r="E6">
            <v>0</v>
          </cell>
          <cell r="H6">
            <v>0</v>
          </cell>
        </row>
        <row r="8">
          <cell r="B8">
            <v>0</v>
          </cell>
          <cell r="E8">
            <v>0</v>
          </cell>
          <cell r="H8">
            <v>0</v>
          </cell>
        </row>
        <row r="9">
          <cell r="B9">
            <v>0</v>
          </cell>
          <cell r="E9">
            <v>0</v>
          </cell>
          <cell r="H9">
            <v>0</v>
          </cell>
        </row>
        <row r="10">
          <cell r="B10">
            <v>0</v>
          </cell>
          <cell r="E10">
            <v>0</v>
          </cell>
          <cell r="H10">
            <v>0</v>
          </cell>
        </row>
        <row r="11">
          <cell r="B11">
            <v>0</v>
          </cell>
          <cell r="E11">
            <v>0</v>
          </cell>
          <cell r="H11">
            <v>0</v>
          </cell>
        </row>
        <row r="12">
          <cell r="B12">
            <v>0</v>
          </cell>
        </row>
      </sheetData>
      <sheetData sheetId="6">
        <row r="6">
          <cell r="C6">
            <v>0</v>
          </cell>
          <cell r="F6">
            <v>0</v>
          </cell>
          <cell r="I6">
            <v>0</v>
          </cell>
          <cell r="L6">
            <v>0</v>
          </cell>
          <cell r="O6">
            <v>0</v>
          </cell>
          <cell r="R6">
            <v>0</v>
          </cell>
        </row>
        <row r="7">
          <cell r="C7">
            <v>0</v>
          </cell>
          <cell r="F7">
            <v>0</v>
          </cell>
          <cell r="I7">
            <v>0</v>
          </cell>
          <cell r="L7">
            <v>0</v>
          </cell>
          <cell r="O7">
            <v>0</v>
          </cell>
          <cell r="R7">
            <v>0</v>
          </cell>
        </row>
        <row r="8">
          <cell r="C8">
            <v>0</v>
          </cell>
          <cell r="F8">
            <v>0</v>
          </cell>
          <cell r="I8">
            <v>0</v>
          </cell>
          <cell r="L8">
            <v>0</v>
          </cell>
          <cell r="O8">
            <v>0</v>
          </cell>
          <cell r="R8">
            <v>0</v>
          </cell>
        </row>
        <row r="15">
          <cell r="C15">
            <v>0</v>
          </cell>
          <cell r="F15">
            <v>0</v>
          </cell>
          <cell r="I15">
            <v>0</v>
          </cell>
          <cell r="L15">
            <v>0</v>
          </cell>
          <cell r="O15">
            <v>0</v>
          </cell>
          <cell r="R15">
            <v>0</v>
          </cell>
          <cell r="U15">
            <v>0</v>
          </cell>
        </row>
        <row r="16">
          <cell r="C16">
            <v>0</v>
          </cell>
          <cell r="F16">
            <v>0</v>
          </cell>
          <cell r="I16">
            <v>0</v>
          </cell>
          <cell r="L16">
            <v>0</v>
          </cell>
          <cell r="O16">
            <v>0</v>
          </cell>
          <cell r="R16">
            <v>0</v>
          </cell>
          <cell r="U16">
            <v>0</v>
          </cell>
        </row>
        <row r="17">
          <cell r="C17">
            <v>0</v>
          </cell>
          <cell r="F17">
            <v>0</v>
          </cell>
          <cell r="I17">
            <v>0</v>
          </cell>
          <cell r="L17">
            <v>0</v>
          </cell>
          <cell r="O17">
            <v>0</v>
          </cell>
          <cell r="R17">
            <v>0</v>
          </cell>
          <cell r="U17">
            <v>0</v>
          </cell>
        </row>
      </sheetData>
      <sheetData sheetId="7">
        <row r="5">
          <cell r="C5">
            <v>0</v>
          </cell>
          <cell r="F5">
            <v>0</v>
          </cell>
          <cell r="I5">
            <v>0</v>
          </cell>
          <cell r="L5">
            <v>0</v>
          </cell>
          <cell r="O5">
            <v>0</v>
          </cell>
          <cell r="R5">
            <v>0</v>
          </cell>
        </row>
        <row r="6">
          <cell r="C6">
            <v>0</v>
          </cell>
          <cell r="F6">
            <v>0</v>
          </cell>
          <cell r="I6">
            <v>0</v>
          </cell>
          <cell r="L6">
            <v>0</v>
          </cell>
          <cell r="O6">
            <v>0</v>
          </cell>
          <cell r="R6">
            <v>0</v>
          </cell>
        </row>
        <row r="7">
          <cell r="C7">
            <v>0</v>
          </cell>
          <cell r="F7">
            <v>0</v>
          </cell>
          <cell r="I7">
            <v>0</v>
          </cell>
          <cell r="L7">
            <v>0</v>
          </cell>
          <cell r="O7">
            <v>0</v>
          </cell>
          <cell r="R7">
            <v>0</v>
          </cell>
        </row>
        <row r="13">
          <cell r="C13">
            <v>0</v>
          </cell>
          <cell r="F13">
            <v>0</v>
          </cell>
          <cell r="I13">
            <v>0</v>
          </cell>
          <cell r="L13">
            <v>0</v>
          </cell>
        </row>
        <row r="14">
          <cell r="C14">
            <v>0</v>
          </cell>
          <cell r="F14">
            <v>0</v>
          </cell>
          <cell r="I14">
            <v>0</v>
          </cell>
          <cell r="L14">
            <v>0</v>
          </cell>
        </row>
        <row r="15">
          <cell r="C15">
            <v>0</v>
          </cell>
          <cell r="F15">
            <v>0</v>
          </cell>
          <cell r="I15">
            <v>0</v>
          </cell>
          <cell r="L15">
            <v>0</v>
          </cell>
        </row>
      </sheetData>
      <sheetData sheetId="8">
        <row r="6">
          <cell r="B6">
            <v>0</v>
          </cell>
        </row>
        <row r="7">
          <cell r="B7">
            <v>0</v>
          </cell>
        </row>
        <row r="8">
          <cell r="B8">
            <v>0</v>
          </cell>
        </row>
        <row r="9">
          <cell r="B9">
            <v>0</v>
          </cell>
        </row>
        <row r="11">
          <cell r="B11">
            <v>0</v>
          </cell>
        </row>
        <row r="12">
          <cell r="B12">
            <v>0</v>
          </cell>
        </row>
        <row r="13">
          <cell r="B13">
            <v>0</v>
          </cell>
        </row>
        <row r="17">
          <cell r="B17">
            <v>0</v>
          </cell>
        </row>
        <row r="18">
          <cell r="B18">
            <v>0</v>
          </cell>
        </row>
        <row r="19">
          <cell r="B19">
            <v>0</v>
          </cell>
        </row>
        <row r="22">
          <cell r="B22">
            <v>0</v>
          </cell>
        </row>
        <row r="23">
          <cell r="B23">
            <v>0</v>
          </cell>
        </row>
        <row r="24">
          <cell r="B24">
            <v>0</v>
          </cell>
        </row>
        <row r="25">
          <cell r="B25">
            <v>0</v>
          </cell>
        </row>
        <row r="26">
          <cell r="B26">
            <v>0</v>
          </cell>
        </row>
        <row r="27">
          <cell r="B27">
            <v>0</v>
          </cell>
        </row>
        <row r="30">
          <cell r="B30">
            <v>2</v>
          </cell>
        </row>
        <row r="31">
          <cell r="B31">
            <v>2</v>
          </cell>
        </row>
        <row r="32">
          <cell r="B32">
            <v>1</v>
          </cell>
        </row>
        <row r="33">
          <cell r="B33">
            <v>1</v>
          </cell>
        </row>
        <row r="34">
          <cell r="B34">
            <v>0</v>
          </cell>
        </row>
        <row r="35">
          <cell r="B35">
            <v>1</v>
          </cell>
        </row>
        <row r="36">
          <cell r="B36">
            <v>1</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sheetData>
      <sheetData sheetId="9">
        <row r="3">
          <cell r="B3">
            <v>0</v>
          </cell>
        </row>
        <row r="4">
          <cell r="B4">
            <v>0</v>
          </cell>
        </row>
        <row r="5">
          <cell r="B5">
            <v>0</v>
          </cell>
        </row>
        <row r="6">
          <cell r="B6">
            <v>0</v>
          </cell>
        </row>
        <row r="7">
          <cell r="B7">
            <v>0</v>
          </cell>
        </row>
        <row r="8">
          <cell r="B8">
            <v>0</v>
          </cell>
        </row>
        <row r="9">
          <cell r="B9">
            <v>0</v>
          </cell>
        </row>
      </sheetData>
      <sheetData sheetId="10">
        <row r="7">
          <cell r="B7">
            <v>0</v>
          </cell>
        </row>
        <row r="8">
          <cell r="B8">
            <v>0</v>
          </cell>
        </row>
        <row r="9">
          <cell r="B9">
            <v>0</v>
          </cell>
        </row>
        <row r="11">
          <cell r="B11">
            <v>0</v>
          </cell>
        </row>
        <row r="12">
          <cell r="B12">
            <v>0</v>
          </cell>
        </row>
        <row r="14">
          <cell r="B14">
            <v>0</v>
          </cell>
        </row>
        <row r="16">
          <cell r="B16">
            <v>0</v>
          </cell>
        </row>
        <row r="17">
          <cell r="B17">
            <v>0</v>
          </cell>
        </row>
        <row r="23">
          <cell r="B23">
            <v>0</v>
          </cell>
        </row>
        <row r="24">
          <cell r="B24">
            <v>0</v>
          </cell>
        </row>
        <row r="26">
          <cell r="B26">
            <v>0</v>
          </cell>
        </row>
        <row r="27">
          <cell r="B27">
            <v>0</v>
          </cell>
        </row>
      </sheetData>
      <sheetData sheetId="11" refreshError="1"/>
      <sheetData sheetId="12">
        <row r="5">
          <cell r="C5">
            <v>0</v>
          </cell>
          <cell r="E5">
            <v>0</v>
          </cell>
          <cell r="G5">
            <v>0</v>
          </cell>
          <cell r="I5">
            <v>0</v>
          </cell>
          <cell r="K5">
            <v>0</v>
          </cell>
          <cell r="M5">
            <v>0</v>
          </cell>
          <cell r="O5">
            <v>0</v>
          </cell>
        </row>
        <row r="6">
          <cell r="C6">
            <v>0</v>
          </cell>
          <cell r="E6">
            <v>0</v>
          </cell>
          <cell r="G6">
            <v>0</v>
          </cell>
          <cell r="I6">
            <v>0</v>
          </cell>
          <cell r="K6">
            <v>0</v>
          </cell>
          <cell r="M6">
            <v>0</v>
          </cell>
          <cell r="O6">
            <v>0</v>
          </cell>
        </row>
        <row r="7">
          <cell r="C7">
            <v>0</v>
          </cell>
          <cell r="E7">
            <v>0</v>
          </cell>
          <cell r="G7">
            <v>0</v>
          </cell>
          <cell r="I7">
            <v>0</v>
          </cell>
          <cell r="K7">
            <v>0</v>
          </cell>
          <cell r="M7">
            <v>0</v>
          </cell>
          <cell r="O7">
            <v>0</v>
          </cell>
        </row>
        <row r="8">
          <cell r="C8">
            <v>0</v>
          </cell>
          <cell r="E8">
            <v>0</v>
          </cell>
          <cell r="G8">
            <v>0</v>
          </cell>
          <cell r="I8">
            <v>0</v>
          </cell>
          <cell r="K8">
            <v>0</v>
          </cell>
          <cell r="M8">
            <v>0</v>
          </cell>
          <cell r="O8">
            <v>0</v>
          </cell>
        </row>
        <row r="9">
          <cell r="C9">
            <v>0</v>
          </cell>
          <cell r="E9">
            <v>0</v>
          </cell>
          <cell r="G9">
            <v>0</v>
          </cell>
          <cell r="I9">
            <v>0</v>
          </cell>
          <cell r="K9">
            <v>0</v>
          </cell>
          <cell r="M9">
            <v>0</v>
          </cell>
          <cell r="O9">
            <v>0</v>
          </cell>
        </row>
        <row r="10">
          <cell r="C10">
            <v>0</v>
          </cell>
          <cell r="E10">
            <v>0</v>
          </cell>
          <cell r="G10">
            <v>0</v>
          </cell>
          <cell r="I10">
            <v>0</v>
          </cell>
          <cell r="K10">
            <v>0</v>
          </cell>
          <cell r="M10">
            <v>0</v>
          </cell>
          <cell r="O10">
            <v>0</v>
          </cell>
        </row>
        <row r="11">
          <cell r="C11">
            <v>0</v>
          </cell>
          <cell r="E11">
            <v>0</v>
          </cell>
          <cell r="G11">
            <v>0</v>
          </cell>
          <cell r="I11">
            <v>0</v>
          </cell>
          <cell r="K11">
            <v>0</v>
          </cell>
          <cell r="M11">
            <v>0</v>
          </cell>
          <cell r="O11">
            <v>0</v>
          </cell>
        </row>
        <row r="12">
          <cell r="C12">
            <v>0</v>
          </cell>
          <cell r="E12">
            <v>0</v>
          </cell>
          <cell r="G12">
            <v>0</v>
          </cell>
          <cell r="I12">
            <v>0</v>
          </cell>
          <cell r="K12">
            <v>0</v>
          </cell>
          <cell r="M12">
            <v>0</v>
          </cell>
          <cell r="O12">
            <v>0</v>
          </cell>
        </row>
        <row r="13">
          <cell r="C13">
            <v>0</v>
          </cell>
          <cell r="E13">
            <v>0</v>
          </cell>
          <cell r="G13">
            <v>0</v>
          </cell>
          <cell r="I13">
            <v>0</v>
          </cell>
          <cell r="K13">
            <v>0</v>
          </cell>
          <cell r="M13">
            <v>0</v>
          </cell>
          <cell r="O13">
            <v>0</v>
          </cell>
        </row>
        <row r="14">
          <cell r="C14">
            <v>0</v>
          </cell>
          <cell r="E14">
            <v>0</v>
          </cell>
          <cell r="G14">
            <v>0</v>
          </cell>
          <cell r="I14">
            <v>0</v>
          </cell>
          <cell r="K14">
            <v>0</v>
          </cell>
          <cell r="M14">
            <v>0</v>
          </cell>
          <cell r="O14">
            <v>0</v>
          </cell>
        </row>
      </sheetData>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AT Summary"/>
      <sheetName val="Material Unlisted Company"/>
      <sheetName val="Div"/>
      <sheetName val="Qtrly"/>
      <sheetName val="BS"/>
      <sheetName val="PL"/>
      <sheetName val="Note-P"/>
      <sheetName val="Note-B"/>
      <sheetName val="GW Indialand"/>
      <sheetName val="Note-1"/>
      <sheetName val="Note-2"/>
      <sheetName val="Break up"/>
      <sheetName val="Elimination Sec Group"/>
      <sheetName val="Qtr End Adj"/>
      <sheetName val="Sheet2"/>
      <sheetName val="Provisions"/>
      <sheetName val="Elimination SS Group"/>
      <sheetName val="Note-FA"/>
      <sheetName val="Holding"/>
      <sheetName val="AR Working"/>
      <sheetName val="Goodwill CapRes"/>
      <sheetName val="Assoc"/>
      <sheetName val="EPS"/>
      <sheetName val="CFS"/>
      <sheetName val="CF-W"/>
      <sheetName val="good min"/>
      <sheetName val="GNW"/>
      <sheetName val="Details"/>
    </sheetNames>
    <sheetDataSet>
      <sheetData sheetId="0">
        <row r="5">
          <cell r="C5">
            <v>42035</v>
          </cell>
        </row>
      </sheetData>
      <sheetData sheetId="1"/>
      <sheetData sheetId="2"/>
      <sheetData sheetId="3"/>
      <sheetData sheetId="4"/>
      <sheetData sheetId="5"/>
      <sheetData sheetId="6">
        <row r="18">
          <cell r="G18">
            <v>93895229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TB - SAP"/>
      <sheetName val="TB - Focus"/>
      <sheetName val="To Tally"/>
      <sheetName val="TB"/>
      <sheetName val="Provisions"/>
      <sheetName val="Qtr -AS"/>
      <sheetName val="Results"/>
      <sheetName val="Results_Pub"/>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Segment YTD"/>
      <sheetName val="Tax Prov."/>
      <sheetName val="Clients"/>
      <sheetName val="Projected"/>
      <sheetName val="ARCK"/>
      <sheetName val="Sheet3"/>
      <sheetName val="Vendor bal."/>
      <sheetName val="C &amp; NC"/>
      <sheetName val="CDSL"/>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ACC_CODE</v>
          </cell>
          <cell r="B1" t="str">
            <v>ACC_NAME</v>
          </cell>
          <cell r="C1" t="str">
            <v>GRP_ID</v>
          </cell>
          <cell r="D1" t="str">
            <v>CL_DR</v>
          </cell>
          <cell r="E1" t="str">
            <v>CL_CR</v>
          </cell>
          <cell r="F1" t="str">
            <v>Closing Balance</v>
          </cell>
        </row>
        <row r="3">
          <cell r="A3" t="str">
            <v>GA00B136</v>
          </cell>
          <cell r="B3" t="str">
            <v>ABN AMRO BANK (DIVIDEND A/C 2004-05)</v>
          </cell>
          <cell r="C3" t="str">
            <v>ABANK</v>
          </cell>
          <cell r="D3">
            <v>807.03</v>
          </cell>
          <cell r="E3">
            <v>0</v>
          </cell>
          <cell r="F3">
            <v>807.03</v>
          </cell>
        </row>
        <row r="4">
          <cell r="A4" t="str">
            <v>GA00B872</v>
          </cell>
          <cell r="B4" t="str">
            <v>AXIS BANK LTD A/C NO 912020056404872</v>
          </cell>
          <cell r="C4" t="str">
            <v>ABANK</v>
          </cell>
          <cell r="D4">
            <v>105923500</v>
          </cell>
          <cell r="E4">
            <v>1107888744</v>
          </cell>
          <cell r="F4">
            <v>-1001965244</v>
          </cell>
        </row>
        <row r="5">
          <cell r="A5" t="str">
            <v>GA00B861</v>
          </cell>
          <cell r="B5" t="str">
            <v>AXIS BANK LTD. 911030044553906 OD A/C</v>
          </cell>
          <cell r="C5" t="str">
            <v>ABANK</v>
          </cell>
          <cell r="D5">
            <v>80000000</v>
          </cell>
          <cell r="E5">
            <v>80000000</v>
          </cell>
          <cell r="F5">
            <v>0</v>
          </cell>
        </row>
        <row r="6">
          <cell r="A6" t="str">
            <v>GA00B68</v>
          </cell>
          <cell r="B6" t="str">
            <v>BANK OF PUNJAB LTD. (SRI GANGANAGAR)</v>
          </cell>
          <cell r="C6" t="str">
            <v>ABANK</v>
          </cell>
          <cell r="D6">
            <v>121980.5</v>
          </cell>
          <cell r="E6">
            <v>121980.5</v>
          </cell>
          <cell r="F6">
            <v>0</v>
          </cell>
        </row>
        <row r="7">
          <cell r="A7" t="str">
            <v>GA00B19</v>
          </cell>
          <cell r="B7" t="str">
            <v>CITI BANK (IPO  0029232229)</v>
          </cell>
          <cell r="C7" t="str">
            <v>ABANK</v>
          </cell>
          <cell r="D7">
            <v>10000</v>
          </cell>
          <cell r="E7">
            <v>0</v>
          </cell>
          <cell r="F7">
            <v>10000</v>
          </cell>
        </row>
        <row r="8">
          <cell r="A8" t="str">
            <v>GA00B51</v>
          </cell>
          <cell r="B8" t="str">
            <v>CORPORATE SALARY ACCOUNT</v>
          </cell>
          <cell r="C8" t="str">
            <v>ABANK</v>
          </cell>
          <cell r="D8">
            <v>54181451</v>
          </cell>
          <cell r="E8">
            <v>54181451</v>
          </cell>
          <cell r="F8">
            <v>0</v>
          </cell>
        </row>
        <row r="9">
          <cell r="A9" t="str">
            <v>GA00B75</v>
          </cell>
          <cell r="B9" t="str">
            <v>HDFC (WDM00302291490667)</v>
          </cell>
          <cell r="C9" t="str">
            <v>ABANK</v>
          </cell>
          <cell r="D9">
            <v>24897360079.509998</v>
          </cell>
          <cell r="E9">
            <v>23902119861.27</v>
          </cell>
          <cell r="F9">
            <v>995240218.23999786</v>
          </cell>
        </row>
        <row r="10">
          <cell r="A10" t="str">
            <v>GA00B608</v>
          </cell>
          <cell r="B10" t="str">
            <v>HDFC BANK  A/C 00030340037616</v>
          </cell>
          <cell r="C10" t="str">
            <v>ABANK</v>
          </cell>
          <cell r="D10">
            <v>11576.09</v>
          </cell>
          <cell r="E10">
            <v>0</v>
          </cell>
          <cell r="F10">
            <v>11576.09</v>
          </cell>
        </row>
        <row r="11">
          <cell r="A11" t="str">
            <v>GA00B3</v>
          </cell>
          <cell r="B11" t="str">
            <v>HDFC BANK  A/C 0030340000640 (OLD NO. 08)</v>
          </cell>
          <cell r="C11" t="str">
            <v>ABANK</v>
          </cell>
          <cell r="D11">
            <v>1038091896.58</v>
          </cell>
          <cell r="E11">
            <v>57408665.350000001</v>
          </cell>
          <cell r="F11">
            <v>980683231.23000002</v>
          </cell>
        </row>
        <row r="12">
          <cell r="A12" t="str">
            <v>GA00B607</v>
          </cell>
          <cell r="B12" t="str">
            <v>HDFC BANK A/C 00030340033640</v>
          </cell>
          <cell r="C12" t="str">
            <v>ABANK</v>
          </cell>
          <cell r="D12">
            <v>200010100</v>
          </cell>
          <cell r="E12">
            <v>200010100</v>
          </cell>
          <cell r="F12">
            <v>0</v>
          </cell>
        </row>
        <row r="13">
          <cell r="A13" t="str">
            <v>GA00B39</v>
          </cell>
          <cell r="B13" t="str">
            <v>ICICI</v>
          </cell>
          <cell r="C13" t="str">
            <v>ABANK</v>
          </cell>
          <cell r="D13">
            <v>205000</v>
          </cell>
          <cell r="E13">
            <v>120000</v>
          </cell>
          <cell r="F13">
            <v>85000</v>
          </cell>
        </row>
        <row r="14">
          <cell r="A14" t="str">
            <v>GA00B104</v>
          </cell>
          <cell r="B14" t="str">
            <v>ICICI BANK (FREE PRESS MUMBAI) A/C 15895</v>
          </cell>
          <cell r="C14" t="str">
            <v>ABANK</v>
          </cell>
          <cell r="D14">
            <v>43521597785.059998</v>
          </cell>
          <cell r="E14">
            <v>43521570873.519997</v>
          </cell>
          <cell r="F14">
            <v>26911.540000915527</v>
          </cell>
        </row>
        <row r="15">
          <cell r="A15" t="str">
            <v>GA00B127</v>
          </cell>
          <cell r="B15" t="str">
            <v>ICICI BANK - BSE  ACCOUNT</v>
          </cell>
          <cell r="C15" t="str">
            <v>ABANK</v>
          </cell>
          <cell r="D15">
            <v>50300</v>
          </cell>
          <cell r="E15">
            <v>50300</v>
          </cell>
          <cell r="F15">
            <v>0</v>
          </cell>
        </row>
        <row r="16">
          <cell r="A16" t="str">
            <v>GA00B128</v>
          </cell>
          <cell r="B16" t="str">
            <v>ICICI BANK - BSE  ACCOUNT</v>
          </cell>
          <cell r="C16" t="str">
            <v>ABANK</v>
          </cell>
          <cell r="D16">
            <v>154599999.40000001</v>
          </cell>
          <cell r="E16">
            <v>154599999.40000001</v>
          </cell>
          <cell r="F16">
            <v>0</v>
          </cell>
        </row>
        <row r="17">
          <cell r="A17" t="str">
            <v>GA00B97</v>
          </cell>
          <cell r="B17" t="str">
            <v>ICICI BANK-MEERUT</v>
          </cell>
          <cell r="C17" t="str">
            <v>ABANK</v>
          </cell>
          <cell r="D17">
            <v>30560.71</v>
          </cell>
          <cell r="E17">
            <v>30560.71</v>
          </cell>
          <cell r="F17">
            <v>0</v>
          </cell>
        </row>
        <row r="18">
          <cell r="A18" t="str">
            <v>GA00B225</v>
          </cell>
          <cell r="B18" t="str">
            <v>INDIABULLS SECURITIES LIMITED LEASED LINE A/C</v>
          </cell>
          <cell r="C18" t="str">
            <v>ABANK</v>
          </cell>
          <cell r="D18">
            <v>1.1000000000000001</v>
          </cell>
          <cell r="E18">
            <v>1.1000000000000001</v>
          </cell>
          <cell r="F18">
            <v>0</v>
          </cell>
        </row>
        <row r="19">
          <cell r="A19" t="str">
            <v>GA00B182</v>
          </cell>
          <cell r="B19" t="str">
            <v>INDIABULLS SECURITIES LTD - 0030340018143</v>
          </cell>
          <cell r="C19" t="str">
            <v>ABANK</v>
          </cell>
          <cell r="D19">
            <v>1416227289.8900001</v>
          </cell>
          <cell r="E19">
            <v>1416206873.8800001</v>
          </cell>
          <cell r="F19">
            <v>20416.009999990463</v>
          </cell>
        </row>
        <row r="20">
          <cell r="A20" t="str">
            <v>GA00B23</v>
          </cell>
          <cell r="B20" t="str">
            <v>INDIABULLS SECURITIES LTD 0062340000381 HDFC BANK</v>
          </cell>
          <cell r="C20" t="str">
            <v>ABANK</v>
          </cell>
          <cell r="D20">
            <v>1170</v>
          </cell>
          <cell r="E20">
            <v>2340</v>
          </cell>
          <cell r="F20">
            <v>-1170</v>
          </cell>
        </row>
        <row r="21">
          <cell r="A21" t="str">
            <v>GA00B522</v>
          </cell>
          <cell r="B21" t="str">
            <v>INDIABULLS SECURITIES LTD 017005000646 ICICI BANK LTD</v>
          </cell>
          <cell r="C21" t="str">
            <v>ABANK</v>
          </cell>
          <cell r="D21">
            <v>52600</v>
          </cell>
          <cell r="E21">
            <v>52600</v>
          </cell>
          <cell r="F21">
            <v>0</v>
          </cell>
        </row>
        <row r="22">
          <cell r="A22" t="str">
            <v>GA00B62</v>
          </cell>
          <cell r="B22" t="str">
            <v>INDIABULLS SECURITIES LTD 0200340000329 HDFC BANK</v>
          </cell>
          <cell r="C22" t="str">
            <v>ABANK</v>
          </cell>
          <cell r="D22">
            <v>5981.5</v>
          </cell>
          <cell r="E22">
            <v>5981.5</v>
          </cell>
          <cell r="F22">
            <v>0</v>
          </cell>
        </row>
        <row r="23">
          <cell r="A23" t="str">
            <v>GA00B78</v>
          </cell>
          <cell r="B23" t="str">
            <v>INDIABULLS SECURITIES LTD 0312000015613 HDFC BANK</v>
          </cell>
          <cell r="C23" t="str">
            <v>ABANK</v>
          </cell>
          <cell r="D23">
            <v>33184</v>
          </cell>
          <cell r="E23">
            <v>33184</v>
          </cell>
          <cell r="F23">
            <v>0</v>
          </cell>
        </row>
        <row r="24">
          <cell r="A24" t="str">
            <v>GA00B63</v>
          </cell>
          <cell r="B24" t="str">
            <v>INDIABULLS SECURITIES LTD 0362000013822 HDFC BANK</v>
          </cell>
          <cell r="C24" t="str">
            <v>ABANK</v>
          </cell>
          <cell r="D24">
            <v>1000.21</v>
          </cell>
          <cell r="E24">
            <v>1000.21</v>
          </cell>
          <cell r="F24">
            <v>0</v>
          </cell>
        </row>
        <row r="25">
          <cell r="A25" t="str">
            <v>GA00B100</v>
          </cell>
          <cell r="B25" t="str">
            <v>INDIABULLS SECURITIES LTD 1920340000014 HDFC BANK</v>
          </cell>
          <cell r="C25" t="str">
            <v>ABANK</v>
          </cell>
          <cell r="D25">
            <v>19093</v>
          </cell>
          <cell r="E25">
            <v>19093</v>
          </cell>
          <cell r="F25">
            <v>0</v>
          </cell>
        </row>
        <row r="26">
          <cell r="A26" t="str">
            <v>GA00B369</v>
          </cell>
          <cell r="B26" t="str">
            <v>INDIABULLS SECURITIES LTD CHIKMAGALUR HDFC BANK LTD</v>
          </cell>
          <cell r="C26" t="str">
            <v>ABANK</v>
          </cell>
          <cell r="D26">
            <v>10000</v>
          </cell>
          <cell r="E26">
            <v>10000</v>
          </cell>
          <cell r="F26">
            <v>0</v>
          </cell>
        </row>
        <row r="27">
          <cell r="A27" t="str">
            <v>GA00B441</v>
          </cell>
          <cell r="B27" t="str">
            <v>INDIABULLS SECURITIES LTD JOGESHWARI(WEST) HDFC BANK LTD</v>
          </cell>
          <cell r="C27" t="str">
            <v>ABANK</v>
          </cell>
          <cell r="D27">
            <v>10000</v>
          </cell>
          <cell r="E27">
            <v>10000</v>
          </cell>
          <cell r="F27">
            <v>0</v>
          </cell>
        </row>
        <row r="28">
          <cell r="A28" t="str">
            <v>GA00B243</v>
          </cell>
          <cell r="B28" t="str">
            <v>INDIABULLS SECURITIES LTD- UTI BANK LTD FOR HO</v>
          </cell>
          <cell r="C28" t="str">
            <v>ABANK</v>
          </cell>
          <cell r="D28">
            <v>4387.8599999999997</v>
          </cell>
          <cell r="E28">
            <v>8775.7199999999993</v>
          </cell>
          <cell r="F28">
            <v>-4387.8599999999997</v>
          </cell>
        </row>
        <row r="29">
          <cell r="A29" t="str">
            <v>GA00B106</v>
          </cell>
          <cell r="B29" t="str">
            <v>INDIABULLS SECURITIES LTD. - HDFC BANK 0030340012608</v>
          </cell>
          <cell r="C29" t="str">
            <v>ABANK</v>
          </cell>
          <cell r="D29">
            <v>63360</v>
          </cell>
          <cell r="E29">
            <v>63360</v>
          </cell>
          <cell r="F29">
            <v>0</v>
          </cell>
        </row>
        <row r="30">
          <cell r="A30" t="str">
            <v>GA00B178</v>
          </cell>
          <cell r="B30" t="str">
            <v>INDIABULLS SECURITIES LTD. 0670340000484 HDFC BANK</v>
          </cell>
          <cell r="C30" t="str">
            <v>ABANK</v>
          </cell>
          <cell r="D30">
            <v>58537.42</v>
          </cell>
          <cell r="E30">
            <v>58537.42</v>
          </cell>
          <cell r="F30">
            <v>0</v>
          </cell>
        </row>
        <row r="31">
          <cell r="A31" t="str">
            <v>GA00B333</v>
          </cell>
          <cell r="B31" t="str">
            <v>INDIABULLS SECURITIES LTD. 129010200013989 UTI BANK LTD.</v>
          </cell>
          <cell r="C31" t="str">
            <v>ABANK</v>
          </cell>
          <cell r="D31">
            <v>35000</v>
          </cell>
          <cell r="E31">
            <v>35000</v>
          </cell>
          <cell r="F31">
            <v>0</v>
          </cell>
        </row>
        <row r="32">
          <cell r="A32" t="str">
            <v>GA00B294</v>
          </cell>
          <cell r="B32" t="str">
            <v>INDIABULLS SECURITIES LTD. 2872340000068 HDFC BANK LTD.</v>
          </cell>
          <cell r="C32" t="str">
            <v>ABANK</v>
          </cell>
          <cell r="D32">
            <v>0</v>
          </cell>
          <cell r="E32">
            <v>25000</v>
          </cell>
          <cell r="F32">
            <v>-25000</v>
          </cell>
        </row>
        <row r="33">
          <cell r="A33" t="str">
            <v>GA00B185</v>
          </cell>
          <cell r="B33" t="str">
            <v>INDIABULLS SECURITIES LTD. DELHI HDFC BANK</v>
          </cell>
          <cell r="C33" t="str">
            <v>ABANK</v>
          </cell>
          <cell r="D33">
            <v>91041708</v>
          </cell>
          <cell r="E33">
            <v>61708</v>
          </cell>
          <cell r="F33">
            <v>90980000</v>
          </cell>
        </row>
        <row r="34">
          <cell r="A34" t="str">
            <v>GA00B211</v>
          </cell>
          <cell r="B34" t="str">
            <v>INDIABULLS SECURITIES LTD. INST. BROK. (MUM) HDFC BANK</v>
          </cell>
          <cell r="C34" t="str">
            <v>ABANK</v>
          </cell>
          <cell r="D34">
            <v>8801498.9199999999</v>
          </cell>
          <cell r="E34">
            <v>8746655.0399999991</v>
          </cell>
          <cell r="F34">
            <v>54843.88000000082</v>
          </cell>
        </row>
        <row r="35">
          <cell r="A35" t="str">
            <v>GA00B377</v>
          </cell>
          <cell r="B35" t="str">
            <v>INDIABULLS SECURITIES LTD. ZOHARI BAZAR HDFC BANK LTD</v>
          </cell>
          <cell r="C35" t="str">
            <v>ABANK</v>
          </cell>
          <cell r="D35">
            <v>10000</v>
          </cell>
          <cell r="E35">
            <v>10000</v>
          </cell>
          <cell r="F35">
            <v>0</v>
          </cell>
        </row>
        <row r="36">
          <cell r="A36" t="str">
            <v>GA00B466</v>
          </cell>
          <cell r="B36" t="str">
            <v>INDIABULLS SECURITIES LTD.276010200006514 UTI BANK LTD.</v>
          </cell>
          <cell r="C36" t="str">
            <v>ABANK</v>
          </cell>
          <cell r="D36">
            <v>112555</v>
          </cell>
          <cell r="E36">
            <v>112555</v>
          </cell>
          <cell r="F36">
            <v>0</v>
          </cell>
        </row>
        <row r="37">
          <cell r="A37" t="str">
            <v>GA00B340</v>
          </cell>
          <cell r="B37" t="str">
            <v>INDIABULLS SECURITIES LTD.KONDHWA HDFC BANK LTD.</v>
          </cell>
          <cell r="C37" t="str">
            <v>ABANK</v>
          </cell>
          <cell r="D37">
            <v>10000</v>
          </cell>
          <cell r="E37">
            <v>10000</v>
          </cell>
          <cell r="F37">
            <v>0</v>
          </cell>
        </row>
        <row r="38">
          <cell r="A38" t="str">
            <v>GA00B66</v>
          </cell>
          <cell r="B38" t="str">
            <v>INDIAN OVERSEASE BANK  SHIMOGA</v>
          </cell>
          <cell r="C38" t="str">
            <v>ABANK</v>
          </cell>
          <cell r="D38">
            <v>2226</v>
          </cell>
          <cell r="E38">
            <v>2226</v>
          </cell>
          <cell r="F38">
            <v>0</v>
          </cell>
        </row>
        <row r="39">
          <cell r="A39" t="str">
            <v>GA00B130</v>
          </cell>
          <cell r="B39" t="str">
            <v>STANDARD CHARTERED BANK-52505051059</v>
          </cell>
          <cell r="C39" t="str">
            <v>ABANK</v>
          </cell>
          <cell r="D39">
            <v>1650</v>
          </cell>
          <cell r="E39">
            <v>3300</v>
          </cell>
          <cell r="F39">
            <v>-1650</v>
          </cell>
        </row>
        <row r="40">
          <cell r="A40" t="str">
            <v>GA00B561</v>
          </cell>
          <cell r="B40" t="str">
            <v>STATE BANK OF PATIALA 65016496315</v>
          </cell>
          <cell r="C40" t="str">
            <v>ABANK</v>
          </cell>
          <cell r="D40">
            <v>0</v>
          </cell>
          <cell r="E40">
            <v>0.01</v>
          </cell>
          <cell r="F40">
            <v>-0.01</v>
          </cell>
        </row>
        <row r="41">
          <cell r="A41" t="str">
            <v>GAOOB294</v>
          </cell>
          <cell r="B41" t="str">
            <v>YES BANK LTD. 000183000002494 BUSINESS A/C</v>
          </cell>
          <cell r="C41" t="str">
            <v>ABANK</v>
          </cell>
          <cell r="D41">
            <v>0</v>
          </cell>
          <cell r="E41">
            <v>91000</v>
          </cell>
          <cell r="F41">
            <v>-91000</v>
          </cell>
        </row>
        <row r="42">
          <cell r="A42" t="str">
            <v>GA00B164</v>
          </cell>
          <cell r="B42" t="str">
            <v>ANDHRA BANK - 93286</v>
          </cell>
          <cell r="C42" t="str">
            <v>ABANKC</v>
          </cell>
          <cell r="D42">
            <v>43730075.649999999</v>
          </cell>
          <cell r="E42">
            <v>43679196.780000001</v>
          </cell>
          <cell r="F42">
            <v>50878.869999997318</v>
          </cell>
        </row>
        <row r="43">
          <cell r="A43" t="str">
            <v>GA00B850</v>
          </cell>
          <cell r="B43" t="str">
            <v>AXIS BANK - 910020000572673- IBSL. - CLIENT A/C</v>
          </cell>
          <cell r="C43" t="str">
            <v>ABANKC</v>
          </cell>
          <cell r="D43">
            <v>10000</v>
          </cell>
          <cell r="E43">
            <v>0</v>
          </cell>
          <cell r="F43">
            <v>10000</v>
          </cell>
        </row>
        <row r="44">
          <cell r="A44" t="str">
            <v>GA00B628</v>
          </cell>
          <cell r="B44" t="str">
            <v>AXIS BANK LTD .912020066513908 CLIENT A/C</v>
          </cell>
          <cell r="C44" t="str">
            <v>ABANKC</v>
          </cell>
          <cell r="D44">
            <v>598800451.67999995</v>
          </cell>
          <cell r="E44">
            <v>598800000</v>
          </cell>
          <cell r="F44">
            <v>451.67999994754791</v>
          </cell>
        </row>
        <row r="45">
          <cell r="A45" t="str">
            <v>GA00B855</v>
          </cell>
          <cell r="B45" t="str">
            <v>BANK OF BRODA 00950200000776 CLIENT A/C</v>
          </cell>
          <cell r="C45" t="str">
            <v>ABANKC</v>
          </cell>
          <cell r="D45">
            <v>233115655.49000001</v>
          </cell>
          <cell r="E45">
            <v>232759780</v>
          </cell>
          <cell r="F45">
            <v>355875.49000000954</v>
          </cell>
        </row>
        <row r="46">
          <cell r="A46" t="str">
            <v>GA00B545</v>
          </cell>
          <cell r="B46" t="str">
            <v>BANK OF INDIA (FATEH PUR BRANCH ONLY)  - 696520100000223</v>
          </cell>
          <cell r="C46" t="str">
            <v>ABANKC</v>
          </cell>
          <cell r="D46">
            <v>2294875</v>
          </cell>
          <cell r="E46">
            <v>2294875</v>
          </cell>
          <cell r="F46">
            <v>0</v>
          </cell>
        </row>
        <row r="47">
          <cell r="A47" t="str">
            <v>GA00B153</v>
          </cell>
          <cell r="B47" t="str">
            <v>BANK OF RAJASTHAN (113762)</v>
          </cell>
          <cell r="C47" t="str">
            <v>ABANKC</v>
          </cell>
          <cell r="D47">
            <v>242498895.27000001</v>
          </cell>
          <cell r="E47">
            <v>242498895.27000001</v>
          </cell>
          <cell r="F47">
            <v>0</v>
          </cell>
        </row>
        <row r="48">
          <cell r="A48" t="str">
            <v>GA00B84</v>
          </cell>
          <cell r="B48" t="str">
            <v>CANARA BANK (2309  SHIMOGA BRANCH ONLY)</v>
          </cell>
          <cell r="C48" t="str">
            <v>ABANKC</v>
          </cell>
          <cell r="D48">
            <v>64569629.009999998</v>
          </cell>
          <cell r="E48">
            <v>64569629.009999998</v>
          </cell>
          <cell r="F48">
            <v>0</v>
          </cell>
        </row>
        <row r="49">
          <cell r="A49" t="str">
            <v>GA00B856</v>
          </cell>
          <cell r="B49" t="str">
            <v>CANARA BANK (2577201017424)</v>
          </cell>
          <cell r="C49" t="str">
            <v>ABANKC</v>
          </cell>
          <cell r="D49">
            <v>81965076.359999999</v>
          </cell>
          <cell r="E49">
            <v>81885742.359999999</v>
          </cell>
          <cell r="F49">
            <v>79334</v>
          </cell>
        </row>
        <row r="50">
          <cell r="A50" t="str">
            <v>GA00B67</v>
          </cell>
          <cell r="B50" t="str">
            <v>CENTURION BANK OF PUNJAB - A/C NO. 14012320000250</v>
          </cell>
          <cell r="C50" t="str">
            <v>ABANKC</v>
          </cell>
          <cell r="D50">
            <v>687547281.32000005</v>
          </cell>
          <cell r="E50">
            <v>687547281.32000005</v>
          </cell>
          <cell r="F50">
            <v>0</v>
          </cell>
        </row>
        <row r="51">
          <cell r="A51" t="str">
            <v>GA00B265</v>
          </cell>
          <cell r="B51" t="str">
            <v>CENUTRION BANK OF PUNJAB A/C NO 0011422384061</v>
          </cell>
          <cell r="C51" t="str">
            <v>ABANKC</v>
          </cell>
          <cell r="D51">
            <v>6408771.7699999996</v>
          </cell>
          <cell r="E51">
            <v>6408771.7699999996</v>
          </cell>
          <cell r="F51">
            <v>0</v>
          </cell>
        </row>
        <row r="52">
          <cell r="A52" t="str">
            <v>GA0OD</v>
          </cell>
          <cell r="B52" t="str">
            <v>CITI BANK</v>
          </cell>
          <cell r="C52" t="str">
            <v>ABANKC</v>
          </cell>
          <cell r="D52">
            <v>468883607.45999998</v>
          </cell>
          <cell r="E52">
            <v>468883607.45999998</v>
          </cell>
          <cell r="F52">
            <v>0</v>
          </cell>
        </row>
        <row r="53">
          <cell r="A53" t="str">
            <v>GA00B28</v>
          </cell>
          <cell r="B53" t="str">
            <v>CITI BANK (DELHI) 0421751</v>
          </cell>
          <cell r="C53" t="str">
            <v>ABANKC</v>
          </cell>
          <cell r="D53">
            <v>3441966462.3699999</v>
          </cell>
          <cell r="E53">
            <v>3441966462.3699999</v>
          </cell>
          <cell r="F53">
            <v>0</v>
          </cell>
        </row>
        <row r="54">
          <cell r="A54" t="str">
            <v>GA00B03</v>
          </cell>
          <cell r="B54" t="str">
            <v>CITI BANK 325250003</v>
          </cell>
          <cell r="C54" t="str">
            <v>ABANKC</v>
          </cell>
          <cell r="D54">
            <v>1946300987.8099999</v>
          </cell>
          <cell r="E54">
            <v>1951244981.1099999</v>
          </cell>
          <cell r="F54">
            <v>-4943993.2999999523</v>
          </cell>
        </row>
        <row r="55">
          <cell r="A55" t="str">
            <v>GL1019</v>
          </cell>
          <cell r="B55" t="str">
            <v>HDFC  ACCOUNT</v>
          </cell>
          <cell r="C55" t="str">
            <v>ABANKC</v>
          </cell>
          <cell r="D55">
            <v>336624621074.08002</v>
          </cell>
          <cell r="E55">
            <v>336642164915.92999</v>
          </cell>
          <cell r="F55">
            <v>-17543841.849975586</v>
          </cell>
        </row>
        <row r="56">
          <cell r="A56" t="str">
            <v>GA0B3</v>
          </cell>
          <cell r="B56" t="str">
            <v>HDFC (DELHI) 00030340000657</v>
          </cell>
          <cell r="C56" t="str">
            <v>ABANKC</v>
          </cell>
          <cell r="D56">
            <v>22350355444.02</v>
          </cell>
          <cell r="E56">
            <v>22346511576.939999</v>
          </cell>
          <cell r="F56">
            <v>3843867.0800018311</v>
          </cell>
        </row>
        <row r="57">
          <cell r="A57" t="str">
            <v>GA00B82</v>
          </cell>
          <cell r="B57" t="str">
            <v>HDFC BANK - 00030340010716</v>
          </cell>
          <cell r="C57" t="str">
            <v>ABANKC</v>
          </cell>
          <cell r="D57">
            <v>22459158967.540001</v>
          </cell>
          <cell r="E57">
            <v>22493647354.82</v>
          </cell>
          <cell r="F57">
            <v>-34488387.279998779</v>
          </cell>
        </row>
        <row r="58">
          <cell r="A58" t="str">
            <v>GA00B740</v>
          </cell>
          <cell r="B58" t="str">
            <v>HDFC BANK - 0030340020740</v>
          </cell>
          <cell r="C58" t="str">
            <v>ABANKC</v>
          </cell>
          <cell r="D58">
            <v>17288698481.209999</v>
          </cell>
          <cell r="E58">
            <v>17364782943.27</v>
          </cell>
          <cell r="F58">
            <v>-76084462.060001373</v>
          </cell>
        </row>
        <row r="59">
          <cell r="A59" t="str">
            <v>GA00B606</v>
          </cell>
          <cell r="B59" t="str">
            <v>HDFC BANK A/C 00030340033633</v>
          </cell>
          <cell r="C59" t="str">
            <v>ABANKC</v>
          </cell>
          <cell r="D59">
            <v>10000</v>
          </cell>
          <cell r="E59">
            <v>10000</v>
          </cell>
          <cell r="F59">
            <v>0</v>
          </cell>
        </row>
        <row r="60">
          <cell r="A60" t="str">
            <v>GA00B625</v>
          </cell>
          <cell r="B60" t="str">
            <v>HDFC BANK A/C 00030340052965</v>
          </cell>
          <cell r="C60" t="str">
            <v>ABANKC</v>
          </cell>
          <cell r="D60">
            <v>2160069212.5</v>
          </cell>
          <cell r="E60">
            <v>2160053108.3200002</v>
          </cell>
          <cell r="F60">
            <v>16104.179999828339</v>
          </cell>
        </row>
        <row r="61">
          <cell r="A61" t="str">
            <v>GA00B800</v>
          </cell>
          <cell r="B61" t="str">
            <v>HDFC BANK LTD- CLIENT -00030340062619</v>
          </cell>
          <cell r="C61" t="str">
            <v>ABANKC</v>
          </cell>
          <cell r="D61">
            <v>2213836.14</v>
          </cell>
          <cell r="E61">
            <v>1960076.99</v>
          </cell>
          <cell r="F61">
            <v>253759.15000000014</v>
          </cell>
        </row>
        <row r="62">
          <cell r="A62" t="str">
            <v>GA0B5</v>
          </cell>
          <cell r="B62" t="str">
            <v>HDFC BANK LTD. - 0030340015511</v>
          </cell>
          <cell r="C62" t="str">
            <v>ABANKC</v>
          </cell>
          <cell r="D62">
            <v>13939864837.290001</v>
          </cell>
          <cell r="E62">
            <v>13943688704.35</v>
          </cell>
          <cell r="F62">
            <v>-3823867.0599994659</v>
          </cell>
        </row>
        <row r="63">
          <cell r="A63" t="str">
            <v>GA00B860</v>
          </cell>
          <cell r="B63" t="str">
            <v>HDFC BANK LTD. MCX SX 00030340047441 CLIENT A/C</v>
          </cell>
          <cell r="C63" t="str">
            <v>ABANKC</v>
          </cell>
          <cell r="D63">
            <v>10000</v>
          </cell>
          <cell r="E63">
            <v>0</v>
          </cell>
          <cell r="F63">
            <v>10000</v>
          </cell>
        </row>
        <row r="64">
          <cell r="A64" t="str">
            <v>GA00B7</v>
          </cell>
          <cell r="B64" t="str">
            <v>HDFC DELHI A/C</v>
          </cell>
          <cell r="C64" t="str">
            <v>ABANKC</v>
          </cell>
          <cell r="D64">
            <v>49727290276.110001</v>
          </cell>
          <cell r="E64">
            <v>49735908759.580002</v>
          </cell>
          <cell r="F64">
            <v>-8618483.4700012207</v>
          </cell>
        </row>
        <row r="65">
          <cell r="A65" t="str">
            <v>GA00B109</v>
          </cell>
          <cell r="B65" t="str">
            <v>HSBC</v>
          </cell>
          <cell r="C65" t="str">
            <v>ABANKC</v>
          </cell>
          <cell r="D65">
            <v>1072371058.47</v>
          </cell>
          <cell r="E65">
            <v>1071897986.33</v>
          </cell>
          <cell r="F65">
            <v>473072.13999998569</v>
          </cell>
        </row>
        <row r="66">
          <cell r="A66" t="str">
            <v>GA00B5</v>
          </cell>
          <cell r="B66" t="str">
            <v>ICICI BANK  &lt;DELHI&gt; 05/22</v>
          </cell>
          <cell r="C66" t="str">
            <v>ABANKC</v>
          </cell>
          <cell r="D66">
            <v>36933457906.269997</v>
          </cell>
          <cell r="E66">
            <v>36935239140.010002</v>
          </cell>
          <cell r="F66">
            <v>-1781233.7400054932</v>
          </cell>
        </row>
        <row r="67">
          <cell r="A67" t="str">
            <v>GA00B80</v>
          </cell>
          <cell r="B67" t="str">
            <v>ICICI BANK DELHI  (1648)</v>
          </cell>
          <cell r="C67" t="str">
            <v>ABANKC</v>
          </cell>
          <cell r="D67">
            <v>7127909307.6499996</v>
          </cell>
          <cell r="E67">
            <v>7127909307.6499996</v>
          </cell>
          <cell r="F67">
            <v>0</v>
          </cell>
        </row>
        <row r="68">
          <cell r="A68" t="str">
            <v>GA00B254</v>
          </cell>
          <cell r="B68" t="str">
            <v>ICICI BANK  000705034254</v>
          </cell>
          <cell r="C68" t="str">
            <v>ABANKC</v>
          </cell>
          <cell r="D68">
            <v>5384288632.8500004</v>
          </cell>
          <cell r="E68">
            <v>5387448771.3900003</v>
          </cell>
          <cell r="F68">
            <v>-3160138.5399999619</v>
          </cell>
        </row>
        <row r="69">
          <cell r="A69" t="str">
            <v>GA00B73</v>
          </cell>
          <cell r="B69" t="str">
            <v>IDBI</v>
          </cell>
          <cell r="C69" t="str">
            <v>ABANKC</v>
          </cell>
          <cell r="D69">
            <v>4732493851.9899998</v>
          </cell>
          <cell r="E69">
            <v>4729672593.7700005</v>
          </cell>
          <cell r="F69">
            <v>2821258.2199993134</v>
          </cell>
        </row>
        <row r="70">
          <cell r="A70" t="str">
            <v>GA00B507</v>
          </cell>
          <cell r="B70" t="str">
            <v>INDIABULLS SECURITIES LTD. BANK OF INDIA (600320110000136)</v>
          </cell>
          <cell r="C70" t="str">
            <v>ABANKC</v>
          </cell>
          <cell r="D70">
            <v>865390626.42999995</v>
          </cell>
          <cell r="E70">
            <v>865285650</v>
          </cell>
          <cell r="F70">
            <v>104976.42999994755</v>
          </cell>
        </row>
        <row r="71">
          <cell r="A71" t="str">
            <v>GA00B77</v>
          </cell>
          <cell r="B71" t="str">
            <v>INDUSIND BANK</v>
          </cell>
          <cell r="C71" t="str">
            <v>ABANKC</v>
          </cell>
          <cell r="D71">
            <v>1954201126.2</v>
          </cell>
          <cell r="E71">
            <v>1954027045.25</v>
          </cell>
          <cell r="F71">
            <v>174080.95000004768</v>
          </cell>
        </row>
        <row r="72">
          <cell r="A72" t="str">
            <v>GA00B590</v>
          </cell>
          <cell r="B72" t="str">
            <v>INDUSIND BANK 0148-AZ0161-050</v>
          </cell>
          <cell r="C72" t="str">
            <v>ABANKC</v>
          </cell>
          <cell r="D72">
            <v>14840492115.75</v>
          </cell>
          <cell r="E72">
            <v>14841355922.83</v>
          </cell>
          <cell r="F72">
            <v>-863807.07999992371</v>
          </cell>
        </row>
        <row r="73">
          <cell r="A73" t="str">
            <v>GA00B859</v>
          </cell>
          <cell r="B73" t="str">
            <v>INDUSIND BANK A/C - 0148-AZ0161-051 CLIENT A/C</v>
          </cell>
          <cell r="C73" t="str">
            <v>ABANKC</v>
          </cell>
          <cell r="D73">
            <v>10271965</v>
          </cell>
          <cell r="E73">
            <v>10271965</v>
          </cell>
          <cell r="F73">
            <v>0</v>
          </cell>
        </row>
        <row r="74">
          <cell r="A74" t="str">
            <v>GA00B131</v>
          </cell>
          <cell r="B74" t="str">
            <v>ING VYSYA BANK</v>
          </cell>
          <cell r="C74" t="str">
            <v>ABANKC</v>
          </cell>
          <cell r="D74">
            <v>744365811.5</v>
          </cell>
          <cell r="E74">
            <v>743175982.07000005</v>
          </cell>
          <cell r="F74">
            <v>1189829.4299999475</v>
          </cell>
        </row>
        <row r="75">
          <cell r="A75" t="str">
            <v>GA00B626</v>
          </cell>
          <cell r="B75" t="str">
            <v>KARNATAKA BANK 1012000100631101 CLIENT A/C</v>
          </cell>
          <cell r="C75" t="str">
            <v>ABANKC</v>
          </cell>
          <cell r="D75">
            <v>209831</v>
          </cell>
          <cell r="E75">
            <v>0</v>
          </cell>
          <cell r="F75">
            <v>209831</v>
          </cell>
        </row>
        <row r="76">
          <cell r="A76" t="str">
            <v>GA00B146</v>
          </cell>
          <cell r="B76" t="str">
            <v>KARUR VYSYA BANK</v>
          </cell>
          <cell r="C76" t="str">
            <v>ABANKC</v>
          </cell>
          <cell r="D76">
            <v>210111074.50999999</v>
          </cell>
          <cell r="E76">
            <v>209921487.41999999</v>
          </cell>
          <cell r="F76">
            <v>189587.09000000358</v>
          </cell>
        </row>
        <row r="77">
          <cell r="A77" t="str">
            <v>GA00B250</v>
          </cell>
          <cell r="B77" t="str">
            <v>PNB A/C NO.   1988002100183894</v>
          </cell>
          <cell r="C77" t="str">
            <v>ABANKC</v>
          </cell>
          <cell r="D77">
            <v>2275797836.5</v>
          </cell>
          <cell r="E77">
            <v>2275460747.04</v>
          </cell>
          <cell r="F77">
            <v>337089.46000003815</v>
          </cell>
        </row>
        <row r="78">
          <cell r="A78" t="str">
            <v>GA00B101</v>
          </cell>
          <cell r="B78" t="str">
            <v>PUNJAB NATIONAL BANK (5148)</v>
          </cell>
          <cell r="C78" t="str">
            <v>ABANKC</v>
          </cell>
          <cell r="D78">
            <v>3681729.48</v>
          </cell>
          <cell r="E78">
            <v>3681729.48</v>
          </cell>
          <cell r="F78">
            <v>0</v>
          </cell>
        </row>
        <row r="79">
          <cell r="A79" t="str">
            <v>GA00B71</v>
          </cell>
          <cell r="B79" t="str">
            <v>RATNAKAR BANK  - A/C</v>
          </cell>
          <cell r="C79" t="str">
            <v>ABANKC</v>
          </cell>
          <cell r="D79">
            <v>1622889924.96</v>
          </cell>
          <cell r="E79">
            <v>1622045946.1500001</v>
          </cell>
          <cell r="F79">
            <v>843978.80999994278</v>
          </cell>
        </row>
        <row r="80">
          <cell r="A80" t="str">
            <v>GA00B10</v>
          </cell>
          <cell r="B80" t="str">
            <v>STANDARD CHARTER (VASANT</v>
          </cell>
          <cell r="C80" t="str">
            <v>ABANKC</v>
          </cell>
          <cell r="D80">
            <v>5206702843.75</v>
          </cell>
          <cell r="E80">
            <v>5206640181.2799997</v>
          </cell>
          <cell r="F80">
            <v>62662.470000267029</v>
          </cell>
        </row>
        <row r="81">
          <cell r="A81" t="str">
            <v>GA00B857</v>
          </cell>
          <cell r="B81" t="str">
            <v>STATE BANK OF INDIA (00000031269652734)</v>
          </cell>
          <cell r="C81" t="str">
            <v>ABANKC</v>
          </cell>
          <cell r="D81">
            <v>8935979.0700000003</v>
          </cell>
          <cell r="E81">
            <v>8405303.8399999999</v>
          </cell>
          <cell r="F81">
            <v>530675.23000000045</v>
          </cell>
        </row>
        <row r="82">
          <cell r="A82" t="str">
            <v>GA00B854</v>
          </cell>
          <cell r="B82" t="str">
            <v>STATE BANK OF INDIA CLIENT A/C NO 31142881327</v>
          </cell>
          <cell r="C82" t="str">
            <v>ABANKC</v>
          </cell>
          <cell r="D82">
            <v>4305860</v>
          </cell>
          <cell r="E82">
            <v>4305860</v>
          </cell>
          <cell r="F82">
            <v>0</v>
          </cell>
        </row>
        <row r="83">
          <cell r="A83" t="str">
            <v>GA00B183</v>
          </cell>
          <cell r="B83" t="str">
            <v>SYNDICATE BANK 90363050000067</v>
          </cell>
          <cell r="C83" t="str">
            <v>ABANKC</v>
          </cell>
          <cell r="D83">
            <v>280250582.38999999</v>
          </cell>
          <cell r="E83">
            <v>279757900.63999999</v>
          </cell>
          <cell r="F83">
            <v>492681.75</v>
          </cell>
        </row>
        <row r="84">
          <cell r="A84" t="str">
            <v>GA00B492</v>
          </cell>
          <cell r="B84" t="str">
            <v>UNION BANK OF INDIA ( 1804 JALANA BRANCH ONLY)</v>
          </cell>
          <cell r="C84" t="str">
            <v>ABANKC</v>
          </cell>
          <cell r="D84">
            <v>2740500</v>
          </cell>
          <cell r="E84">
            <v>2740500</v>
          </cell>
          <cell r="F84">
            <v>0</v>
          </cell>
        </row>
        <row r="85">
          <cell r="A85" t="str">
            <v>GA00B191</v>
          </cell>
          <cell r="B85" t="str">
            <v>UNION BANK OF INDIA - CLIENT A/C</v>
          </cell>
          <cell r="C85" t="str">
            <v>ABANKC</v>
          </cell>
          <cell r="D85">
            <v>5278204510.1700001</v>
          </cell>
          <cell r="E85">
            <v>5277869357.7600002</v>
          </cell>
          <cell r="F85">
            <v>335152.40999984741</v>
          </cell>
        </row>
        <row r="86">
          <cell r="A86" t="str">
            <v>GA00B598</v>
          </cell>
          <cell r="B86" t="str">
            <v>UTI A/C NO 392010200001687 CLIENTA/C</v>
          </cell>
          <cell r="C86" t="str">
            <v>ABANKC</v>
          </cell>
          <cell r="D86">
            <v>3081671209.4000001</v>
          </cell>
          <cell r="E86">
            <v>3081671209.4000001</v>
          </cell>
          <cell r="F86">
            <v>0</v>
          </cell>
        </row>
        <row r="87">
          <cell r="A87" t="str">
            <v>GA00B603</v>
          </cell>
          <cell r="B87" t="str">
            <v>UTI BANK (007010200049799)</v>
          </cell>
          <cell r="C87" t="str">
            <v>ABANKC</v>
          </cell>
          <cell r="D87">
            <v>1559252188.9400001</v>
          </cell>
          <cell r="E87">
            <v>1558660165.8800001</v>
          </cell>
          <cell r="F87">
            <v>592023.05999994278</v>
          </cell>
        </row>
        <row r="88">
          <cell r="A88" t="str">
            <v>GA00B11</v>
          </cell>
          <cell r="B88" t="str">
            <v>UTI BANK &lt;DELHI&gt; 9867</v>
          </cell>
          <cell r="C88" t="str">
            <v>ABANKC</v>
          </cell>
          <cell r="D88">
            <v>13649112794.719999</v>
          </cell>
          <cell r="E88">
            <v>13650606657.17</v>
          </cell>
          <cell r="F88">
            <v>-1493862.4500007629</v>
          </cell>
        </row>
        <row r="89">
          <cell r="A89" t="str">
            <v>GA00B14</v>
          </cell>
          <cell r="B89" t="str">
            <v>UTI BANK &lt;MUMBAI&gt; CA 2781</v>
          </cell>
          <cell r="C89" t="str">
            <v>ABANKC</v>
          </cell>
          <cell r="D89">
            <v>103880855.45999999</v>
          </cell>
          <cell r="E89">
            <v>103880855.45999999</v>
          </cell>
          <cell r="F89">
            <v>0</v>
          </cell>
        </row>
        <row r="90">
          <cell r="A90" t="str">
            <v>GA00B610</v>
          </cell>
          <cell r="B90" t="str">
            <v>YES BANK - CLIENT ACCOUNT 000284000001354</v>
          </cell>
          <cell r="C90" t="str">
            <v>ABANKC</v>
          </cell>
          <cell r="D90">
            <v>1882903401.6400001</v>
          </cell>
          <cell r="E90">
            <v>1882213000</v>
          </cell>
          <cell r="F90">
            <v>690401.6400001049</v>
          </cell>
        </row>
        <row r="91">
          <cell r="A91" t="str">
            <v>GYESB</v>
          </cell>
          <cell r="B91" t="str">
            <v>YES BANK 000281300000076</v>
          </cell>
          <cell r="C91" t="str">
            <v>ABANKC</v>
          </cell>
          <cell r="D91">
            <v>2385722480.9299998</v>
          </cell>
          <cell r="E91">
            <v>2385722480.9299998</v>
          </cell>
          <cell r="F91">
            <v>0</v>
          </cell>
        </row>
        <row r="92">
          <cell r="A92" t="str">
            <v>GA00B630</v>
          </cell>
          <cell r="B92" t="str">
            <v>YES BANK LTD 000185600000310 MCXSX EXCHNG DUES A/C</v>
          </cell>
          <cell r="C92" t="str">
            <v>ABANKED</v>
          </cell>
          <cell r="D92">
            <v>70000</v>
          </cell>
          <cell r="E92">
            <v>70000</v>
          </cell>
          <cell r="F92">
            <v>0</v>
          </cell>
        </row>
        <row r="93">
          <cell r="A93" t="str">
            <v>GA00B550</v>
          </cell>
          <cell r="B93" t="str">
            <v>AXIS BANK - 910020000663449 -IBSL. - BSE SETTLEMENT A/C</v>
          </cell>
          <cell r="C93" t="str">
            <v>ABANKS</v>
          </cell>
          <cell r="D93">
            <v>9245376354.6100006</v>
          </cell>
          <cell r="E93">
            <v>9233032427.0200005</v>
          </cell>
          <cell r="F93">
            <v>12343927.590000153</v>
          </cell>
        </row>
        <row r="94">
          <cell r="A94" t="str">
            <v>GA00B1</v>
          </cell>
          <cell r="B94" t="str">
            <v>HDFC BANK (246 CLEARING A/C 02)</v>
          </cell>
          <cell r="C94" t="str">
            <v>ABANKS</v>
          </cell>
          <cell r="D94">
            <v>17344329802.84</v>
          </cell>
          <cell r="E94">
            <v>17344229802.84</v>
          </cell>
          <cell r="F94">
            <v>100000</v>
          </cell>
        </row>
        <row r="95">
          <cell r="A95" t="str">
            <v>GA00B605</v>
          </cell>
          <cell r="B95" t="str">
            <v>HDFC BANK A/C 00990630003199</v>
          </cell>
          <cell r="C95" t="str">
            <v>ABANKS</v>
          </cell>
          <cell r="D95">
            <v>134091553.28</v>
          </cell>
          <cell r="E95">
            <v>133214905.59999999</v>
          </cell>
          <cell r="F95">
            <v>876647.68000000715</v>
          </cell>
        </row>
        <row r="96">
          <cell r="A96" t="str">
            <v>GA00B852</v>
          </cell>
          <cell r="B96" t="str">
            <v>HDFC BANK LTD.(INST &amp; CLIENT SETT)- 00030340042231</v>
          </cell>
          <cell r="C96" t="str">
            <v>ABANKS</v>
          </cell>
          <cell r="D96">
            <v>20000</v>
          </cell>
          <cell r="E96">
            <v>10000</v>
          </cell>
          <cell r="F96">
            <v>10000</v>
          </cell>
        </row>
        <row r="97">
          <cell r="A97" t="str">
            <v>GA00B81</v>
          </cell>
          <cell r="B97" t="str">
            <v>HDFC F&amp;O CLEARING (0990630001246)</v>
          </cell>
          <cell r="C97" t="str">
            <v>ABANKS</v>
          </cell>
          <cell r="D97">
            <v>37097280561.800003</v>
          </cell>
          <cell r="E97">
            <v>37097180561.800003</v>
          </cell>
          <cell r="F97">
            <v>100000</v>
          </cell>
        </row>
        <row r="98">
          <cell r="A98" t="str">
            <v>GA00B125</v>
          </cell>
          <cell r="B98" t="str">
            <v>ICICI BANK - BSE CLEARING ACCOUNT</v>
          </cell>
          <cell r="C98" t="str">
            <v>ABANKS</v>
          </cell>
          <cell r="D98">
            <v>28136246251.34</v>
          </cell>
          <cell r="E98">
            <v>28136233640.790001</v>
          </cell>
          <cell r="F98">
            <v>12610.549999237061</v>
          </cell>
        </row>
        <row r="99">
          <cell r="A99" t="str">
            <v>GA00B126</v>
          </cell>
          <cell r="B99" t="str">
            <v>ISL BSE F&amp;O SETTLA/C ICICI BANK LTD 000405058620</v>
          </cell>
          <cell r="C99" t="str">
            <v>ABANKS</v>
          </cell>
          <cell r="D99">
            <v>700000</v>
          </cell>
          <cell r="E99">
            <v>509293.55</v>
          </cell>
          <cell r="F99">
            <v>190706.45</v>
          </cell>
        </row>
        <row r="100">
          <cell r="A100" t="str">
            <v>GA00B851</v>
          </cell>
          <cell r="B100" t="str">
            <v>STANDARD CHART.BANK-ISL(INST&amp; CLIENT SETT) -53105024583</v>
          </cell>
          <cell r="C100" t="str">
            <v>ABANKS</v>
          </cell>
          <cell r="D100">
            <v>100000</v>
          </cell>
          <cell r="E100">
            <v>100000</v>
          </cell>
          <cell r="F100">
            <v>0</v>
          </cell>
        </row>
        <row r="101">
          <cell r="A101" t="str">
            <v>GA00B633</v>
          </cell>
          <cell r="B101" t="str">
            <v>YES BANK LTD 000185600000341 MCXSX CASH SETT A/C</v>
          </cell>
          <cell r="C101" t="str">
            <v>ABANKS</v>
          </cell>
          <cell r="D101">
            <v>70000</v>
          </cell>
          <cell r="E101">
            <v>70000</v>
          </cell>
          <cell r="F101">
            <v>0</v>
          </cell>
        </row>
        <row r="102">
          <cell r="A102" t="str">
            <v>GI090</v>
          </cell>
          <cell r="B102" t="str">
            <v>ABHISHEK KUMAR IMPREST A/C(L)</v>
          </cell>
          <cell r="C102" t="str">
            <v>ACASH</v>
          </cell>
          <cell r="D102">
            <v>10000</v>
          </cell>
          <cell r="E102">
            <v>10000</v>
          </cell>
          <cell r="F102">
            <v>0</v>
          </cell>
        </row>
        <row r="103">
          <cell r="A103" t="str">
            <v>GAJKH</v>
          </cell>
          <cell r="B103" t="str">
            <v>AJAY KHANDELWAL IMP A/C (ISL3591)</v>
          </cell>
          <cell r="C103" t="str">
            <v>ACASH</v>
          </cell>
          <cell r="D103">
            <v>18720</v>
          </cell>
          <cell r="E103">
            <v>18720</v>
          </cell>
          <cell r="F103">
            <v>0</v>
          </cell>
        </row>
        <row r="104">
          <cell r="A104" t="str">
            <v>GI0361</v>
          </cell>
          <cell r="B104" t="str">
            <v>AKOLA ONLINE PETTY CASH A/C</v>
          </cell>
          <cell r="C104" t="str">
            <v>ACASH</v>
          </cell>
          <cell r="D104">
            <v>51195</v>
          </cell>
          <cell r="E104">
            <v>51195</v>
          </cell>
          <cell r="F104">
            <v>0</v>
          </cell>
        </row>
        <row r="105">
          <cell r="A105" t="str">
            <v>GACHO</v>
          </cell>
          <cell r="B105" t="str">
            <v>AMITABH CHOWLA (ISL/17174) IMP A/C</v>
          </cell>
          <cell r="C105" t="str">
            <v>ACASH</v>
          </cell>
          <cell r="D105">
            <v>13638</v>
          </cell>
          <cell r="E105">
            <v>13638</v>
          </cell>
          <cell r="F105">
            <v>0</v>
          </cell>
        </row>
        <row r="106">
          <cell r="A106" t="str">
            <v>GI0112</v>
          </cell>
          <cell r="B106" t="str">
            <v>AMITABH SENGUPTA IMPREST A/C(L)</v>
          </cell>
          <cell r="C106" t="str">
            <v>ACASH</v>
          </cell>
          <cell r="D106">
            <v>10000</v>
          </cell>
          <cell r="E106">
            <v>10000</v>
          </cell>
          <cell r="F106">
            <v>0</v>
          </cell>
        </row>
        <row r="107">
          <cell r="A107" t="str">
            <v>GANILM</v>
          </cell>
          <cell r="B107" t="str">
            <v>ANIL MALHAN IMPREST A/C</v>
          </cell>
          <cell r="C107" t="str">
            <v>ACASH</v>
          </cell>
          <cell r="D107">
            <v>45000</v>
          </cell>
          <cell r="E107">
            <v>45000</v>
          </cell>
          <cell r="F107">
            <v>0</v>
          </cell>
        </row>
        <row r="108">
          <cell r="A108" t="str">
            <v>GAKRI</v>
          </cell>
          <cell r="B108" t="str">
            <v>ANURAG KRISHNA</v>
          </cell>
          <cell r="C108" t="str">
            <v>ACASH</v>
          </cell>
          <cell r="D108">
            <v>11611</v>
          </cell>
          <cell r="E108">
            <v>11611</v>
          </cell>
          <cell r="F108">
            <v>0</v>
          </cell>
        </row>
        <row r="109">
          <cell r="A109" t="str">
            <v>GARBI</v>
          </cell>
          <cell r="B109" t="str">
            <v>ARBINDA MAJHI IMPREST</v>
          </cell>
          <cell r="C109" t="str">
            <v>ACASH</v>
          </cell>
          <cell r="D109">
            <v>13779</v>
          </cell>
          <cell r="E109">
            <v>13779</v>
          </cell>
          <cell r="F109">
            <v>0</v>
          </cell>
        </row>
        <row r="110">
          <cell r="A110" t="str">
            <v>GBEAN</v>
          </cell>
          <cell r="B110" t="str">
            <v>BEANT SARAH SINGH IMP. A/C</v>
          </cell>
          <cell r="C110" t="str">
            <v>ACASH</v>
          </cell>
          <cell r="D110">
            <v>500</v>
          </cell>
          <cell r="E110">
            <v>500</v>
          </cell>
          <cell r="F110">
            <v>0</v>
          </cell>
        </row>
        <row r="111">
          <cell r="A111" t="str">
            <v>GI096</v>
          </cell>
          <cell r="B111" t="str">
            <v>BHIMAVARAM PETTY CASH A/C</v>
          </cell>
          <cell r="C111" t="str">
            <v>ACASH</v>
          </cell>
          <cell r="D111">
            <v>348266</v>
          </cell>
          <cell r="E111">
            <v>348266</v>
          </cell>
          <cell r="F111">
            <v>0</v>
          </cell>
        </row>
        <row r="112">
          <cell r="A112" t="str">
            <v>GI089</v>
          </cell>
          <cell r="B112" t="str">
            <v>BRAJENDRA SINGH IMPREST A/C(L)</v>
          </cell>
          <cell r="C112" t="str">
            <v>ACASH</v>
          </cell>
          <cell r="D112">
            <v>10000</v>
          </cell>
          <cell r="E112">
            <v>10000</v>
          </cell>
          <cell r="F112">
            <v>0</v>
          </cell>
        </row>
        <row r="113">
          <cell r="A113" t="str">
            <v>GI0347</v>
          </cell>
          <cell r="B113" t="str">
            <v>DAHISAR PETTY CASH A/C</v>
          </cell>
          <cell r="C113" t="str">
            <v>ACASH</v>
          </cell>
          <cell r="D113">
            <v>13517</v>
          </cell>
          <cell r="E113">
            <v>13517</v>
          </cell>
          <cell r="F113">
            <v>0</v>
          </cell>
        </row>
        <row r="114">
          <cell r="A114" t="str">
            <v>GI079</v>
          </cell>
          <cell r="B114" t="str">
            <v>DARYAGANJ PETTY CASH</v>
          </cell>
          <cell r="C114" t="str">
            <v>ACASH</v>
          </cell>
          <cell r="D114">
            <v>1776</v>
          </cell>
          <cell r="E114">
            <v>1776</v>
          </cell>
          <cell r="F114">
            <v>0</v>
          </cell>
        </row>
        <row r="115">
          <cell r="A115" t="str">
            <v>GDEBU</v>
          </cell>
          <cell r="B115" t="str">
            <v>DEBU CHOUDHARY IMPEREST A/C</v>
          </cell>
          <cell r="C115" t="str">
            <v>ACASH</v>
          </cell>
          <cell r="D115">
            <v>1940</v>
          </cell>
          <cell r="E115">
            <v>1940</v>
          </cell>
          <cell r="F115">
            <v>0</v>
          </cell>
        </row>
        <row r="116">
          <cell r="A116" t="str">
            <v>GI0110</v>
          </cell>
          <cell r="B116" t="str">
            <v>GHATKOPAR  MUMBAI</v>
          </cell>
          <cell r="C116" t="str">
            <v>ACASH</v>
          </cell>
          <cell r="D116">
            <v>3000</v>
          </cell>
          <cell r="E116">
            <v>3000</v>
          </cell>
          <cell r="F116">
            <v>0</v>
          </cell>
        </row>
        <row r="117">
          <cell r="A117" t="str">
            <v>GJSRA</v>
          </cell>
          <cell r="B117" t="str">
            <v>J S RAMAN IMP A/C (ISL/9617)</v>
          </cell>
          <cell r="C117" t="str">
            <v>ACASH</v>
          </cell>
          <cell r="D117">
            <v>7000</v>
          </cell>
          <cell r="E117">
            <v>7000</v>
          </cell>
          <cell r="F117">
            <v>0</v>
          </cell>
        </row>
        <row r="118">
          <cell r="A118" t="str">
            <v>GI0144</v>
          </cell>
          <cell r="B118" t="str">
            <v>JOGENDER SINGH IMPEREST A/C</v>
          </cell>
          <cell r="C118" t="str">
            <v>ACASH</v>
          </cell>
          <cell r="D118">
            <v>102000</v>
          </cell>
          <cell r="E118">
            <v>102000</v>
          </cell>
          <cell r="F118">
            <v>0</v>
          </cell>
        </row>
        <row r="119">
          <cell r="A119" t="str">
            <v>GI0143</v>
          </cell>
          <cell r="B119" t="str">
            <v>KANPUR DSTB. PETTY CASH A/C</v>
          </cell>
          <cell r="C119" t="str">
            <v>ACASH</v>
          </cell>
          <cell r="D119">
            <v>52500</v>
          </cell>
          <cell r="E119">
            <v>52500</v>
          </cell>
          <cell r="F119">
            <v>0</v>
          </cell>
        </row>
        <row r="120">
          <cell r="A120" t="str">
            <v>GI030</v>
          </cell>
          <cell r="B120" t="str">
            <v>KAVITA K MEHTA IMPEREST A</v>
          </cell>
          <cell r="C120" t="str">
            <v>ACASH</v>
          </cell>
          <cell r="D120">
            <v>99728</v>
          </cell>
          <cell r="E120">
            <v>99728</v>
          </cell>
          <cell r="F120">
            <v>0</v>
          </cell>
        </row>
        <row r="121">
          <cell r="A121" t="str">
            <v>GMKUM</v>
          </cell>
          <cell r="B121" t="str">
            <v>MAHESH KUMAR IMP A/C DRIVER</v>
          </cell>
          <cell r="C121" t="str">
            <v>ACASH</v>
          </cell>
          <cell r="D121">
            <v>500</v>
          </cell>
          <cell r="E121">
            <v>500</v>
          </cell>
          <cell r="F121">
            <v>0</v>
          </cell>
        </row>
        <row r="122">
          <cell r="A122" t="str">
            <v>GI0101</v>
          </cell>
          <cell r="B122" t="str">
            <v>MAYANK SINGHAL IMPREST A/C(L)</v>
          </cell>
          <cell r="C122" t="str">
            <v>ACASH</v>
          </cell>
          <cell r="D122">
            <v>13852.5</v>
          </cell>
          <cell r="E122">
            <v>13852.5</v>
          </cell>
          <cell r="F122">
            <v>0</v>
          </cell>
        </row>
        <row r="123">
          <cell r="A123" t="str">
            <v>GI0369</v>
          </cell>
          <cell r="B123" t="str">
            <v>MEERUT ONLINE PETTY CASH A/C</v>
          </cell>
          <cell r="C123" t="str">
            <v>ACASH</v>
          </cell>
          <cell r="D123">
            <v>20000</v>
          </cell>
          <cell r="E123">
            <v>20000</v>
          </cell>
          <cell r="F123">
            <v>0</v>
          </cell>
        </row>
        <row r="124">
          <cell r="A124" t="str">
            <v>GI0402</v>
          </cell>
          <cell r="B124" t="str">
            <v>MODI NAGAR PETTY CASH A/C</v>
          </cell>
          <cell r="C124" t="str">
            <v>ACASH</v>
          </cell>
          <cell r="D124">
            <v>36000</v>
          </cell>
          <cell r="E124">
            <v>36000</v>
          </cell>
          <cell r="F124">
            <v>0</v>
          </cell>
        </row>
        <row r="125">
          <cell r="A125" t="str">
            <v>GI0111</v>
          </cell>
          <cell r="B125" t="str">
            <v>MOHIT JAIN IMPEREST A/C(L)</v>
          </cell>
          <cell r="C125" t="str">
            <v>ACASH</v>
          </cell>
          <cell r="D125">
            <v>10000</v>
          </cell>
          <cell r="E125">
            <v>10000</v>
          </cell>
          <cell r="F125">
            <v>0</v>
          </cell>
        </row>
        <row r="126">
          <cell r="A126" t="str">
            <v>GINAR</v>
          </cell>
          <cell r="B126" t="str">
            <v>NARENDER KUMAR DAHIYA IMP A/C</v>
          </cell>
          <cell r="C126" t="str">
            <v>ACASH</v>
          </cell>
          <cell r="D126">
            <v>6000</v>
          </cell>
          <cell r="E126">
            <v>6000</v>
          </cell>
          <cell r="F126">
            <v>0</v>
          </cell>
        </row>
        <row r="127">
          <cell r="A127" t="str">
            <v>GIPAN</v>
          </cell>
          <cell r="B127" t="str">
            <v>PANKAJ MISHRA IMP A/C</v>
          </cell>
          <cell r="C127" t="str">
            <v>ACASH</v>
          </cell>
          <cell r="D127">
            <v>2000</v>
          </cell>
          <cell r="E127">
            <v>2000</v>
          </cell>
          <cell r="F127">
            <v>0</v>
          </cell>
        </row>
        <row r="128">
          <cell r="A128" t="str">
            <v>GPINTU</v>
          </cell>
          <cell r="B128" t="str">
            <v>PINTU KUMAR IMP A/C</v>
          </cell>
          <cell r="C128" t="str">
            <v>ACASH</v>
          </cell>
          <cell r="D128">
            <v>5000</v>
          </cell>
          <cell r="E128">
            <v>5000</v>
          </cell>
          <cell r="F128">
            <v>0</v>
          </cell>
        </row>
        <row r="129">
          <cell r="A129" t="str">
            <v>GPRAA</v>
          </cell>
          <cell r="B129" t="str">
            <v>PRAKASH DUTTA IMPEREST A/C</v>
          </cell>
          <cell r="C129" t="str">
            <v>ACASH</v>
          </cell>
          <cell r="D129">
            <v>62760</v>
          </cell>
          <cell r="E129">
            <v>62760</v>
          </cell>
          <cell r="F129">
            <v>0</v>
          </cell>
        </row>
        <row r="130">
          <cell r="A130" t="str">
            <v>GRNYA</v>
          </cell>
          <cell r="B130" t="str">
            <v>R. N. YADAV IMP A/C</v>
          </cell>
          <cell r="C130" t="str">
            <v>ACASH</v>
          </cell>
          <cell r="D130">
            <v>5000</v>
          </cell>
          <cell r="E130">
            <v>5000</v>
          </cell>
          <cell r="F130">
            <v>0</v>
          </cell>
        </row>
        <row r="131">
          <cell r="A131" t="str">
            <v>GI0113</v>
          </cell>
          <cell r="B131" t="str">
            <v>RAJESH KUMAR IMPEREST A/C(L)</v>
          </cell>
          <cell r="C131" t="str">
            <v>ACASH</v>
          </cell>
          <cell r="D131">
            <v>10000</v>
          </cell>
          <cell r="E131">
            <v>10000</v>
          </cell>
          <cell r="F131">
            <v>0</v>
          </cell>
        </row>
        <row r="132">
          <cell r="A132" t="str">
            <v>GI0448</v>
          </cell>
          <cell r="B132" t="str">
            <v>SAGAR PETTY CASH A/C</v>
          </cell>
          <cell r="C132" t="str">
            <v>ACASH</v>
          </cell>
          <cell r="D132">
            <v>2400</v>
          </cell>
          <cell r="E132">
            <v>2400</v>
          </cell>
          <cell r="F132">
            <v>0</v>
          </cell>
        </row>
        <row r="133">
          <cell r="A133" t="str">
            <v>GI0266</v>
          </cell>
          <cell r="B133" t="str">
            <v>SAHRANPUR PETTY CASH A/C ( CLOSED )</v>
          </cell>
          <cell r="C133" t="str">
            <v>ACASH</v>
          </cell>
          <cell r="D133">
            <v>20000</v>
          </cell>
          <cell r="E133">
            <v>20000</v>
          </cell>
          <cell r="F133">
            <v>0</v>
          </cell>
        </row>
        <row r="134">
          <cell r="A134" t="str">
            <v>GSANDE</v>
          </cell>
          <cell r="B134" t="str">
            <v>SANDEEP KUMAR IMP A/C IBCL/10800</v>
          </cell>
          <cell r="C134" t="str">
            <v>ACASH</v>
          </cell>
          <cell r="D134">
            <v>5710</v>
          </cell>
          <cell r="E134">
            <v>5710</v>
          </cell>
          <cell r="F134">
            <v>0</v>
          </cell>
        </row>
        <row r="135">
          <cell r="A135" t="str">
            <v>GSSRI</v>
          </cell>
          <cell r="B135" t="str">
            <v>SHALABH SRIVASTAVA</v>
          </cell>
          <cell r="C135" t="str">
            <v>ACASH</v>
          </cell>
          <cell r="D135">
            <v>11400</v>
          </cell>
          <cell r="E135">
            <v>11400</v>
          </cell>
          <cell r="F135">
            <v>0</v>
          </cell>
        </row>
        <row r="136">
          <cell r="A136" t="str">
            <v>GSGUP</v>
          </cell>
          <cell r="B136" t="str">
            <v>SHILPI GUPTA</v>
          </cell>
          <cell r="C136" t="str">
            <v>ACASH</v>
          </cell>
          <cell r="D136">
            <v>13722</v>
          </cell>
          <cell r="E136">
            <v>13722</v>
          </cell>
          <cell r="F136">
            <v>0</v>
          </cell>
        </row>
        <row r="137">
          <cell r="A137" t="str">
            <v>GTIRE</v>
          </cell>
          <cell r="B137" t="str">
            <v>TIRATH SINGH NEGI IMP A/C</v>
          </cell>
          <cell r="C137" t="str">
            <v>ACASH</v>
          </cell>
          <cell r="D137">
            <v>8998</v>
          </cell>
          <cell r="E137">
            <v>8998</v>
          </cell>
          <cell r="F137">
            <v>0</v>
          </cell>
        </row>
        <row r="138">
          <cell r="A138" t="str">
            <v>GVMOH</v>
          </cell>
          <cell r="B138" t="str">
            <v>V MOHAN IMP A/C (RR)</v>
          </cell>
          <cell r="C138" t="str">
            <v>ACASH</v>
          </cell>
          <cell r="D138">
            <v>500</v>
          </cell>
          <cell r="E138">
            <v>500</v>
          </cell>
          <cell r="F138">
            <v>0</v>
          </cell>
        </row>
        <row r="139">
          <cell r="A139" t="str">
            <v>GVIKU</v>
          </cell>
          <cell r="B139" t="str">
            <v>VINOD KUMAR IMP. A/C</v>
          </cell>
          <cell r="C139" t="str">
            <v>ACASH</v>
          </cell>
          <cell r="D139">
            <v>1940</v>
          </cell>
          <cell r="E139">
            <v>1940</v>
          </cell>
          <cell r="F139">
            <v>0</v>
          </cell>
        </row>
        <row r="140">
          <cell r="A140" t="str">
            <v>GI073</v>
          </cell>
          <cell r="B140" t="str">
            <v>VIRENDER RAWAT IMPEREST</v>
          </cell>
          <cell r="C140" t="str">
            <v>ACASH</v>
          </cell>
          <cell r="D140">
            <v>1000</v>
          </cell>
          <cell r="E140">
            <v>1000</v>
          </cell>
          <cell r="F140">
            <v>0</v>
          </cell>
        </row>
        <row r="141">
          <cell r="A141" t="str">
            <v>GI0109</v>
          </cell>
          <cell r="B141" t="str">
            <v>VIRPAL RATHORE IMPEREST A/C(L)</v>
          </cell>
          <cell r="C141" t="str">
            <v>ACASH</v>
          </cell>
          <cell r="D141">
            <v>10000</v>
          </cell>
          <cell r="E141">
            <v>10000</v>
          </cell>
          <cell r="F141">
            <v>0</v>
          </cell>
        </row>
        <row r="142">
          <cell r="A142" t="str">
            <v>GL10130</v>
          </cell>
          <cell r="B142" t="str">
            <v>ACCOUNT TO BE OPEN</v>
          </cell>
          <cell r="C142" t="str">
            <v>ADEBT</v>
          </cell>
          <cell r="D142">
            <v>161700</v>
          </cell>
          <cell r="E142">
            <v>161700</v>
          </cell>
          <cell r="F142">
            <v>0</v>
          </cell>
        </row>
        <row r="143">
          <cell r="A143" t="str">
            <v>GADVCDP</v>
          </cell>
          <cell r="B143" t="str">
            <v>ADVANCE  FROM CUSTOMERS - DP</v>
          </cell>
          <cell r="C143" t="str">
            <v>ADEBT</v>
          </cell>
          <cell r="D143">
            <v>0</v>
          </cell>
          <cell r="E143">
            <v>5432398</v>
          </cell>
          <cell r="F143">
            <v>-5432398</v>
          </cell>
        </row>
        <row r="144">
          <cell r="A144" t="str">
            <v>GADVC</v>
          </cell>
          <cell r="B144" t="str">
            <v>ADVANCE FROM CUSTOMERS</v>
          </cell>
          <cell r="C144" t="str">
            <v>ADEBT</v>
          </cell>
          <cell r="D144">
            <v>3166771</v>
          </cell>
          <cell r="E144">
            <v>4153725</v>
          </cell>
          <cell r="F144">
            <v>-986954</v>
          </cell>
        </row>
        <row r="145">
          <cell r="A145" t="str">
            <v>GA05090</v>
          </cell>
          <cell r="B145" t="str">
            <v>BALANCING ACCOUNT</v>
          </cell>
          <cell r="C145" t="str">
            <v>ADEBT</v>
          </cell>
          <cell r="D145">
            <v>2964104463.6399999</v>
          </cell>
          <cell r="E145">
            <v>2964104463.8800001</v>
          </cell>
          <cell r="F145">
            <v>-0.24000024795532227</v>
          </cell>
        </row>
        <row r="146">
          <cell r="A146" t="str">
            <v>GI01001</v>
          </cell>
          <cell r="B146" t="str">
            <v>BROKERAGE CHARGES RECIVABLE</v>
          </cell>
          <cell r="C146" t="str">
            <v>ADEBT</v>
          </cell>
          <cell r="D146">
            <v>20461100298.48</v>
          </cell>
          <cell r="E146">
            <v>20456710365.41</v>
          </cell>
          <cell r="F146">
            <v>4389933.0699996948</v>
          </cell>
        </row>
        <row r="147">
          <cell r="A147" t="str">
            <v>GA0B1</v>
          </cell>
          <cell r="B147" t="str">
            <v>CLEARED CH. IN HDFC BANK</v>
          </cell>
          <cell r="C147" t="str">
            <v>ADEBT</v>
          </cell>
          <cell r="D147">
            <v>146064367</v>
          </cell>
          <cell r="E147">
            <v>146708223.61000001</v>
          </cell>
          <cell r="F147">
            <v>-643856.61000001431</v>
          </cell>
        </row>
        <row r="148">
          <cell r="A148" t="str">
            <v>GLD1</v>
          </cell>
          <cell r="B148" t="str">
            <v>DEBTORS TO BE ALLOCATED</v>
          </cell>
          <cell r="C148" t="str">
            <v>ADEBT</v>
          </cell>
          <cell r="D148">
            <v>21680</v>
          </cell>
          <cell r="E148">
            <v>21680</v>
          </cell>
          <cell r="F148">
            <v>0</v>
          </cell>
        </row>
        <row r="149">
          <cell r="A149" t="str">
            <v>GDGG</v>
          </cell>
          <cell r="B149" t="str">
            <v>GREEN GARDEN PRIVATE LIMITED</v>
          </cell>
          <cell r="C149" t="str">
            <v>ADEBT</v>
          </cell>
          <cell r="D149">
            <v>53932800</v>
          </cell>
          <cell r="E149">
            <v>53932800</v>
          </cell>
          <cell r="F149">
            <v>0</v>
          </cell>
        </row>
        <row r="150">
          <cell r="A150" t="str">
            <v>GMFBR</v>
          </cell>
          <cell r="B150" t="str">
            <v>MUTUAL FUND BROKERAGE RECEIVABLE</v>
          </cell>
          <cell r="C150" t="str">
            <v>ADEBT</v>
          </cell>
          <cell r="D150">
            <v>2827921.15</v>
          </cell>
          <cell r="E150">
            <v>2806755.88</v>
          </cell>
          <cell r="F150">
            <v>21165.270000000019</v>
          </cell>
        </row>
        <row r="151">
          <cell r="A151" t="str">
            <v>GA05055</v>
          </cell>
          <cell r="B151" t="str">
            <v>SUNDRY BROKERS A/C.</v>
          </cell>
          <cell r="C151" t="str">
            <v>ADEBT</v>
          </cell>
          <cell r="D151">
            <v>5022</v>
          </cell>
          <cell r="E151">
            <v>5022</v>
          </cell>
          <cell r="F151">
            <v>0</v>
          </cell>
        </row>
        <row r="152">
          <cell r="A152" t="str">
            <v>GA05050</v>
          </cell>
          <cell r="B152" t="str">
            <v>SUNDRY DEBTORS A/C.</v>
          </cell>
          <cell r="C152" t="str">
            <v>ADEBT</v>
          </cell>
          <cell r="D152">
            <v>562729412107.43005</v>
          </cell>
          <cell r="E152">
            <v>563320691659.53003</v>
          </cell>
          <cell r="F152">
            <v>-591279552.09997559</v>
          </cell>
        </row>
        <row r="153">
          <cell r="A153" t="str">
            <v>GA05011</v>
          </cell>
          <cell r="B153" t="str">
            <v>SUSPENSE A/C(INDIABULLS)</v>
          </cell>
          <cell r="C153" t="str">
            <v>ADEBT</v>
          </cell>
          <cell r="D153">
            <v>23455</v>
          </cell>
          <cell r="E153">
            <v>23455</v>
          </cell>
          <cell r="F153">
            <v>0</v>
          </cell>
        </row>
        <row r="154">
          <cell r="A154" t="str">
            <v>GL1028</v>
          </cell>
          <cell r="B154" t="str">
            <v>WDM BROKERAGE RECIVABLES</v>
          </cell>
          <cell r="C154" t="str">
            <v>ADEBT</v>
          </cell>
          <cell r="D154">
            <v>1866192</v>
          </cell>
          <cell r="E154">
            <v>1950397</v>
          </cell>
          <cell r="F154">
            <v>-84205</v>
          </cell>
        </row>
        <row r="155">
          <cell r="A155" t="str">
            <v>GNABCSLB</v>
          </cell>
          <cell r="B155" t="str">
            <v>ABC MARGIN - NSE (SLB)</v>
          </cell>
          <cell r="C155" t="str">
            <v>ADEPO</v>
          </cell>
          <cell r="D155">
            <v>500000</v>
          </cell>
          <cell r="E155">
            <v>0</v>
          </cell>
          <cell r="F155">
            <v>500000</v>
          </cell>
        </row>
        <row r="156">
          <cell r="A156" t="str">
            <v>GADMG</v>
          </cell>
          <cell r="B156" t="str">
            <v>ADDITIOMAL MARGIN WITH NSE</v>
          </cell>
          <cell r="C156" t="str">
            <v>ADEPO</v>
          </cell>
          <cell r="D156">
            <v>60000000</v>
          </cell>
          <cell r="E156">
            <v>60000000</v>
          </cell>
          <cell r="F156">
            <v>0</v>
          </cell>
        </row>
        <row r="157">
          <cell r="A157" t="str">
            <v>GBCTGF</v>
          </cell>
          <cell r="B157" t="str">
            <v>BSE COLLATERAL -TRADE GUARANTEE FEE</v>
          </cell>
          <cell r="C157" t="str">
            <v>ADEPO</v>
          </cell>
          <cell r="D157">
            <v>1000000</v>
          </cell>
          <cell r="E157">
            <v>0</v>
          </cell>
          <cell r="F157">
            <v>1000000</v>
          </cell>
        </row>
        <row r="158">
          <cell r="A158" t="str">
            <v>GBCDEP</v>
          </cell>
          <cell r="B158" t="str">
            <v>BSE COLLATERAL DEPOSIT (BASE CAPITAL)</v>
          </cell>
          <cell r="C158" t="str">
            <v>ADEPO</v>
          </cell>
          <cell r="D158">
            <v>1000000</v>
          </cell>
          <cell r="E158">
            <v>0</v>
          </cell>
          <cell r="F158">
            <v>1000000</v>
          </cell>
        </row>
        <row r="159">
          <cell r="A159" t="str">
            <v>GL01220</v>
          </cell>
          <cell r="B159" t="str">
            <v>BSE MARGIN A/C</v>
          </cell>
          <cell r="C159" t="str">
            <v>ADEPO</v>
          </cell>
          <cell r="D159">
            <v>2561330898</v>
          </cell>
          <cell r="E159">
            <v>2560830898</v>
          </cell>
          <cell r="F159">
            <v>500000</v>
          </cell>
        </row>
        <row r="160">
          <cell r="A160" t="str">
            <v>GBDEP</v>
          </cell>
          <cell r="B160" t="str">
            <v>BSE SECURITY DEPOSIT</v>
          </cell>
          <cell r="C160" t="str">
            <v>ADEPO</v>
          </cell>
          <cell r="D160">
            <v>500000</v>
          </cell>
          <cell r="E160">
            <v>0</v>
          </cell>
          <cell r="F160">
            <v>500000</v>
          </cell>
        </row>
        <row r="161">
          <cell r="A161" t="str">
            <v>GSNCD</v>
          </cell>
          <cell r="B161" t="str">
            <v>EMPANALMENT OF DP WITH NCDEX</v>
          </cell>
          <cell r="C161" t="str">
            <v>ADEPO</v>
          </cell>
          <cell r="D161">
            <v>500000</v>
          </cell>
          <cell r="E161">
            <v>0</v>
          </cell>
          <cell r="F161">
            <v>500000</v>
          </cell>
        </row>
        <row r="162">
          <cell r="A162" t="str">
            <v>GA0035</v>
          </cell>
          <cell r="B162" t="str">
            <v>NSE DEPOSITS</v>
          </cell>
          <cell r="C162" t="str">
            <v>ADEPO</v>
          </cell>
          <cell r="D162">
            <v>5008000</v>
          </cell>
          <cell r="E162">
            <v>8000</v>
          </cell>
          <cell r="F162">
            <v>5000000</v>
          </cell>
        </row>
        <row r="163">
          <cell r="A163" t="str">
            <v>GA0036</v>
          </cell>
          <cell r="B163" t="str">
            <v>NSE DEPOSITS - ARBITRATION</v>
          </cell>
          <cell r="C163" t="str">
            <v>ADEPO</v>
          </cell>
          <cell r="D163">
            <v>7469360.4299999997</v>
          </cell>
          <cell r="E163">
            <v>0</v>
          </cell>
          <cell r="F163">
            <v>7469360.4299999997</v>
          </cell>
        </row>
        <row r="164">
          <cell r="A164" t="str">
            <v>GL01012</v>
          </cell>
          <cell r="B164" t="str">
            <v>NSE F&amp;O ADDITIONAL MARGIN A/C</v>
          </cell>
          <cell r="C164" t="str">
            <v>ADEPO</v>
          </cell>
          <cell r="D164">
            <v>14400000</v>
          </cell>
          <cell r="E164">
            <v>14400000</v>
          </cell>
          <cell r="F164">
            <v>0</v>
          </cell>
        </row>
        <row r="165">
          <cell r="A165" t="str">
            <v>GA0072</v>
          </cell>
          <cell r="B165" t="str">
            <v>NSE FUTURES SEGMENT MARGI</v>
          </cell>
          <cell r="C165" t="str">
            <v>ADEPO</v>
          </cell>
          <cell r="D165">
            <v>200000</v>
          </cell>
          <cell r="E165">
            <v>0</v>
          </cell>
          <cell r="F165">
            <v>200000</v>
          </cell>
        </row>
        <row r="166">
          <cell r="A166" t="str">
            <v>GL01005</v>
          </cell>
          <cell r="B166" t="str">
            <v>NSE MARGIN A/C</v>
          </cell>
          <cell r="C166" t="str">
            <v>ADEPO</v>
          </cell>
          <cell r="D166">
            <v>5425000000</v>
          </cell>
          <cell r="E166">
            <v>5415000000</v>
          </cell>
          <cell r="F166">
            <v>10000000</v>
          </cell>
        </row>
        <row r="167">
          <cell r="A167" t="str">
            <v>GA0304</v>
          </cell>
          <cell r="B167" t="str">
            <v>NSE SECURITY FOR WHOLESAL</v>
          </cell>
          <cell r="C167" t="str">
            <v>ADEPO</v>
          </cell>
          <cell r="D167">
            <v>15000000</v>
          </cell>
          <cell r="E167">
            <v>10000000</v>
          </cell>
          <cell r="F167">
            <v>5000000</v>
          </cell>
        </row>
        <row r="168">
          <cell r="A168" t="str">
            <v>GL01006</v>
          </cell>
          <cell r="B168" t="str">
            <v>RETAIL DEBT MARKET</v>
          </cell>
          <cell r="C168" t="str">
            <v>ADEPO</v>
          </cell>
          <cell r="D168">
            <v>500000</v>
          </cell>
          <cell r="E168">
            <v>0</v>
          </cell>
          <cell r="F168">
            <v>500000</v>
          </cell>
        </row>
        <row r="169">
          <cell r="A169" t="str">
            <v>GA0442</v>
          </cell>
          <cell r="B169" t="str">
            <v>SECURITY DEPOSIT WITH CDS</v>
          </cell>
          <cell r="C169" t="str">
            <v>ADEPO</v>
          </cell>
          <cell r="D169">
            <v>250000</v>
          </cell>
          <cell r="E169">
            <v>0</v>
          </cell>
          <cell r="F169">
            <v>250000</v>
          </cell>
        </row>
        <row r="170">
          <cell r="A170" t="str">
            <v>GAMCX</v>
          </cell>
          <cell r="B170" t="str">
            <v>SECURITY DEPOSIT WITH MCX</v>
          </cell>
          <cell r="C170" t="str">
            <v>ADEPO</v>
          </cell>
          <cell r="D170">
            <v>500000</v>
          </cell>
          <cell r="E170">
            <v>0</v>
          </cell>
          <cell r="F170">
            <v>500000</v>
          </cell>
        </row>
        <row r="171">
          <cell r="A171" t="str">
            <v>GA0120</v>
          </cell>
          <cell r="B171" t="str">
            <v>SECURITY FOR FUTURE SEGME</v>
          </cell>
          <cell r="C171" t="str">
            <v>ADEPO</v>
          </cell>
          <cell r="D171">
            <v>600000</v>
          </cell>
          <cell r="E171">
            <v>0</v>
          </cell>
          <cell r="F171">
            <v>600000</v>
          </cell>
        </row>
        <row r="172">
          <cell r="A172" t="str">
            <v>GSNSC</v>
          </cell>
          <cell r="B172" t="str">
            <v>SECURITY IN NSCCL FOR F &amp; O</v>
          </cell>
          <cell r="C172" t="str">
            <v>ADEPO</v>
          </cell>
          <cell r="D172">
            <v>2500000</v>
          </cell>
          <cell r="E172">
            <v>0</v>
          </cell>
          <cell r="F172">
            <v>2500000</v>
          </cell>
        </row>
        <row r="173">
          <cell r="A173" t="str">
            <v>GANSDL</v>
          </cell>
          <cell r="B173" t="str">
            <v>SECURITY WITH NSDL</v>
          </cell>
          <cell r="C173" t="str">
            <v>ADEPO</v>
          </cell>
          <cell r="D173">
            <v>1000000</v>
          </cell>
          <cell r="E173">
            <v>0</v>
          </cell>
          <cell r="F173">
            <v>1000000</v>
          </cell>
        </row>
        <row r="174">
          <cell r="A174" t="str">
            <v>GANSE</v>
          </cell>
          <cell r="B174" t="str">
            <v>SECURITY WITH NSE</v>
          </cell>
          <cell r="C174" t="str">
            <v>ADEPO</v>
          </cell>
          <cell r="D174">
            <v>5000000</v>
          </cell>
          <cell r="E174">
            <v>0</v>
          </cell>
          <cell r="F174">
            <v>5000000</v>
          </cell>
        </row>
        <row r="175">
          <cell r="A175" t="str">
            <v>GE0039</v>
          </cell>
          <cell r="B175" t="str">
            <v>VSAT DEPOSIT</v>
          </cell>
          <cell r="C175" t="str">
            <v>ADEPO</v>
          </cell>
          <cell r="D175">
            <v>12553272.23</v>
          </cell>
          <cell r="E175">
            <v>0</v>
          </cell>
          <cell r="F175">
            <v>12553272.23</v>
          </cell>
        </row>
        <row r="176">
          <cell r="A176" t="str">
            <v>GBSVD</v>
          </cell>
          <cell r="B176" t="str">
            <v>VSAT DEPOSIT (BSE)</v>
          </cell>
          <cell r="C176" t="str">
            <v>ADEPO</v>
          </cell>
          <cell r="D176">
            <v>4230000</v>
          </cell>
          <cell r="E176">
            <v>0</v>
          </cell>
          <cell r="F176">
            <v>4230000</v>
          </cell>
        </row>
        <row r="177">
          <cell r="A177" t="str">
            <v>GAJOY</v>
          </cell>
          <cell r="B177" t="str">
            <v xml:space="preserve"> AJOY DAS</v>
          </cell>
          <cell r="C177" t="str">
            <v>ADVAN</v>
          </cell>
          <cell r="D177">
            <v>15000</v>
          </cell>
          <cell r="E177">
            <v>15000</v>
          </cell>
          <cell r="F177">
            <v>0</v>
          </cell>
        </row>
        <row r="178">
          <cell r="A178" t="str">
            <v>GAUHA</v>
          </cell>
          <cell r="B178" t="str">
            <v xml:space="preserve"> AUTOHANGAR PVT LTD</v>
          </cell>
          <cell r="C178" t="str">
            <v>ADVAN</v>
          </cell>
          <cell r="D178">
            <v>1353792</v>
          </cell>
          <cell r="E178">
            <v>1353792</v>
          </cell>
          <cell r="F178">
            <v>0</v>
          </cell>
        </row>
        <row r="179">
          <cell r="A179" t="str">
            <v>GBILH</v>
          </cell>
          <cell r="B179" t="str">
            <v xml:space="preserve"> BILHARYANA</v>
          </cell>
          <cell r="C179" t="str">
            <v>ADVAN</v>
          </cell>
          <cell r="D179">
            <v>4543</v>
          </cell>
          <cell r="E179">
            <v>4543</v>
          </cell>
          <cell r="F179">
            <v>0</v>
          </cell>
        </row>
        <row r="180">
          <cell r="A180" t="str">
            <v>GGOPL</v>
          </cell>
          <cell r="B180" t="str">
            <v xml:space="preserve"> GOPAL FOR TEA</v>
          </cell>
          <cell r="C180" t="str">
            <v>ADVAN</v>
          </cell>
          <cell r="D180">
            <v>11920</v>
          </cell>
          <cell r="E180">
            <v>11920</v>
          </cell>
          <cell r="F180">
            <v>0</v>
          </cell>
        </row>
        <row r="181">
          <cell r="A181" t="str">
            <v>GIN2C</v>
          </cell>
          <cell r="B181" t="str">
            <v xml:space="preserve"> IN2CABLE INDIA LTD</v>
          </cell>
          <cell r="C181" t="str">
            <v>ADVAN</v>
          </cell>
          <cell r="D181">
            <v>27550</v>
          </cell>
          <cell r="E181">
            <v>27550</v>
          </cell>
          <cell r="F181">
            <v>0</v>
          </cell>
        </row>
        <row r="182">
          <cell r="A182" t="str">
            <v>GLAXMI</v>
          </cell>
          <cell r="B182" t="str">
            <v xml:space="preserve"> LUXMI NARAYANA AMIRTH</v>
          </cell>
          <cell r="C182" t="str">
            <v>ADVAN</v>
          </cell>
          <cell r="D182">
            <v>60234.25</v>
          </cell>
          <cell r="E182">
            <v>60234.25</v>
          </cell>
          <cell r="F182">
            <v>0</v>
          </cell>
        </row>
        <row r="183">
          <cell r="A183" t="str">
            <v>GMRAS</v>
          </cell>
          <cell r="B183" t="str">
            <v xml:space="preserve"> M R ASSOCIATES</v>
          </cell>
          <cell r="C183" t="str">
            <v>ADVAN</v>
          </cell>
          <cell r="D183">
            <v>20470</v>
          </cell>
          <cell r="E183">
            <v>20470</v>
          </cell>
          <cell r="F183">
            <v>0</v>
          </cell>
        </row>
        <row r="184">
          <cell r="A184" t="str">
            <v>GMURU</v>
          </cell>
          <cell r="B184" t="str">
            <v xml:space="preserve"> MURUGAN TEA STAL</v>
          </cell>
          <cell r="C184" t="str">
            <v>ADVAN</v>
          </cell>
          <cell r="D184">
            <v>28893.5</v>
          </cell>
          <cell r="E184">
            <v>28893.5</v>
          </cell>
          <cell r="F184">
            <v>0</v>
          </cell>
        </row>
        <row r="185">
          <cell r="A185" t="str">
            <v>GPPAR</v>
          </cell>
          <cell r="B185" t="str">
            <v xml:space="preserve"> P PRABHAKAR VARMA</v>
          </cell>
          <cell r="C185" t="str">
            <v>ADVAN</v>
          </cell>
          <cell r="D185">
            <v>15539</v>
          </cell>
          <cell r="E185">
            <v>15539</v>
          </cell>
          <cell r="F185">
            <v>0</v>
          </cell>
        </row>
        <row r="186">
          <cell r="A186" t="str">
            <v>GPARD</v>
          </cell>
          <cell r="B186" t="str">
            <v xml:space="preserve"> PRADEEP. M</v>
          </cell>
          <cell r="C186" t="str">
            <v>ADVAN</v>
          </cell>
          <cell r="D186">
            <v>15000</v>
          </cell>
          <cell r="E186">
            <v>15000</v>
          </cell>
          <cell r="F186">
            <v>0</v>
          </cell>
        </row>
        <row r="187">
          <cell r="A187" t="str">
            <v>GPRAK</v>
          </cell>
          <cell r="B187" t="str">
            <v xml:space="preserve"> PRAKASH CHANDRA SUTHAR</v>
          </cell>
          <cell r="C187" t="str">
            <v>ADVAN</v>
          </cell>
          <cell r="D187">
            <v>473009</v>
          </cell>
          <cell r="E187">
            <v>473009</v>
          </cell>
          <cell r="F187">
            <v>0</v>
          </cell>
        </row>
        <row r="188">
          <cell r="A188" t="str">
            <v>GSALE</v>
          </cell>
          <cell r="B188" t="str">
            <v xml:space="preserve"> SALES EMPORIUM</v>
          </cell>
          <cell r="C188" t="str">
            <v>ADVAN</v>
          </cell>
          <cell r="D188">
            <v>24000</v>
          </cell>
          <cell r="E188">
            <v>24000</v>
          </cell>
          <cell r="F188">
            <v>0</v>
          </cell>
        </row>
        <row r="189">
          <cell r="A189" t="str">
            <v>GSUDHI</v>
          </cell>
          <cell r="B189" t="str">
            <v xml:space="preserve"> SUDHIRENDER SINGH</v>
          </cell>
          <cell r="C189" t="str">
            <v>ADVAN</v>
          </cell>
          <cell r="D189">
            <v>80404</v>
          </cell>
          <cell r="E189">
            <v>80404</v>
          </cell>
          <cell r="F189">
            <v>0</v>
          </cell>
        </row>
        <row r="190">
          <cell r="A190" t="str">
            <v>GAVIEN</v>
          </cell>
          <cell r="B190" t="str">
            <v>A VINEET ENTERPRISES</v>
          </cell>
          <cell r="C190" t="str">
            <v>ADVAN</v>
          </cell>
          <cell r="D190">
            <v>615</v>
          </cell>
          <cell r="E190">
            <v>615</v>
          </cell>
          <cell r="F190">
            <v>0</v>
          </cell>
        </row>
        <row r="191">
          <cell r="A191" t="str">
            <v>GACON</v>
          </cell>
          <cell r="B191" t="str">
            <v>A. D. CONSULTANCY</v>
          </cell>
          <cell r="C191" t="str">
            <v>ADVAN</v>
          </cell>
          <cell r="D191">
            <v>3378</v>
          </cell>
          <cell r="E191">
            <v>3378</v>
          </cell>
          <cell r="F191">
            <v>0</v>
          </cell>
        </row>
        <row r="192">
          <cell r="A192" t="str">
            <v>GAKSD</v>
          </cell>
          <cell r="B192" t="str">
            <v>A.K. INDUSTRIES</v>
          </cell>
          <cell r="C192" t="str">
            <v>ADVAN</v>
          </cell>
          <cell r="D192">
            <v>1750</v>
          </cell>
          <cell r="E192">
            <v>1750</v>
          </cell>
          <cell r="F192">
            <v>0</v>
          </cell>
        </row>
        <row r="193">
          <cell r="A193" t="str">
            <v>GASFU</v>
          </cell>
          <cell r="B193" t="str">
            <v>A.S. FURNISHINGS</v>
          </cell>
          <cell r="C193" t="str">
            <v>ADVAN</v>
          </cell>
          <cell r="D193">
            <v>170000</v>
          </cell>
          <cell r="E193">
            <v>170000</v>
          </cell>
          <cell r="F193">
            <v>0</v>
          </cell>
        </row>
        <row r="194">
          <cell r="A194" t="str">
            <v>GADAR</v>
          </cell>
          <cell r="B194" t="str">
            <v>AADARSH AIRCON</v>
          </cell>
          <cell r="C194" t="str">
            <v>ADVAN</v>
          </cell>
          <cell r="D194">
            <v>62875</v>
          </cell>
          <cell r="E194">
            <v>62875</v>
          </cell>
          <cell r="F194">
            <v>0</v>
          </cell>
        </row>
        <row r="195">
          <cell r="A195" t="str">
            <v>GAARA</v>
          </cell>
          <cell r="B195" t="str">
            <v>AAR ASSOCIATES</v>
          </cell>
          <cell r="C195" t="str">
            <v>ADVAN</v>
          </cell>
          <cell r="D195">
            <v>182479</v>
          </cell>
          <cell r="E195">
            <v>182479</v>
          </cell>
          <cell r="F195">
            <v>0</v>
          </cell>
        </row>
        <row r="196">
          <cell r="A196" t="str">
            <v>GABCC</v>
          </cell>
          <cell r="B196" t="str">
            <v>ABC CONSULTANTS PRIVATE LTD</v>
          </cell>
          <cell r="C196" t="str">
            <v>ADVAN</v>
          </cell>
          <cell r="D196">
            <v>108000</v>
          </cell>
          <cell r="E196">
            <v>108000</v>
          </cell>
          <cell r="F196">
            <v>0</v>
          </cell>
        </row>
        <row r="197">
          <cell r="A197" t="str">
            <v>GABUU</v>
          </cell>
          <cell r="B197" t="str">
            <v>ABDUL</v>
          </cell>
          <cell r="C197" t="str">
            <v>ADVAN</v>
          </cell>
          <cell r="D197">
            <v>6739</v>
          </cell>
          <cell r="E197">
            <v>6739</v>
          </cell>
          <cell r="F197">
            <v>0</v>
          </cell>
        </row>
        <row r="198">
          <cell r="A198" t="str">
            <v>GABMA</v>
          </cell>
          <cell r="B198" t="str">
            <v>ABDUL MAJID HASMANI</v>
          </cell>
          <cell r="C198" t="str">
            <v>ADVAN</v>
          </cell>
          <cell r="D198">
            <v>29172</v>
          </cell>
          <cell r="E198">
            <v>29172</v>
          </cell>
          <cell r="F198">
            <v>0</v>
          </cell>
        </row>
        <row r="199">
          <cell r="A199" t="str">
            <v>GABHA</v>
          </cell>
          <cell r="B199" t="str">
            <v>ABHAYS SHOPPEE</v>
          </cell>
          <cell r="C199" t="str">
            <v>ADVAN</v>
          </cell>
          <cell r="D199">
            <v>5700</v>
          </cell>
          <cell r="E199">
            <v>5700</v>
          </cell>
          <cell r="F199">
            <v>0</v>
          </cell>
        </row>
        <row r="200">
          <cell r="A200" t="str">
            <v>GARRC</v>
          </cell>
          <cell r="B200" t="str">
            <v>ABIRAMI COMPUTERS</v>
          </cell>
          <cell r="C200" t="str">
            <v>ADVAN</v>
          </cell>
          <cell r="D200">
            <v>6800</v>
          </cell>
          <cell r="E200">
            <v>6800</v>
          </cell>
          <cell r="F200">
            <v>0</v>
          </cell>
        </row>
        <row r="201">
          <cell r="A201" t="str">
            <v>GACWO</v>
          </cell>
          <cell r="B201" t="str">
            <v>AC WORLD</v>
          </cell>
          <cell r="C201" t="str">
            <v>ADVAN</v>
          </cell>
          <cell r="D201">
            <v>69466</v>
          </cell>
          <cell r="E201">
            <v>69466</v>
          </cell>
          <cell r="F201">
            <v>0</v>
          </cell>
        </row>
        <row r="202">
          <cell r="A202" t="str">
            <v>GACTRL</v>
          </cell>
          <cell r="B202" t="str">
            <v>ACCEL TRANSMATIC LTD.</v>
          </cell>
          <cell r="C202" t="str">
            <v>ADVAN</v>
          </cell>
          <cell r="D202">
            <v>182363</v>
          </cell>
          <cell r="E202">
            <v>182363</v>
          </cell>
          <cell r="F202">
            <v>0</v>
          </cell>
        </row>
        <row r="203">
          <cell r="A203" t="str">
            <v>GACCO</v>
          </cell>
          <cell r="B203" t="str">
            <v>ACCOUNTS OFFICER DCS &amp; EM</v>
          </cell>
          <cell r="C203" t="str">
            <v>ADVAN</v>
          </cell>
          <cell r="D203">
            <v>5000</v>
          </cell>
          <cell r="E203">
            <v>5000</v>
          </cell>
          <cell r="F203">
            <v>0</v>
          </cell>
        </row>
        <row r="204">
          <cell r="A204" t="str">
            <v>GATEC</v>
          </cell>
          <cell r="B204" t="str">
            <v>ACENET TECHNOLOGIES INDIA (P) LTD.</v>
          </cell>
          <cell r="C204" t="str">
            <v>ADVAN</v>
          </cell>
          <cell r="D204">
            <v>32250</v>
          </cell>
          <cell r="E204">
            <v>32250</v>
          </cell>
          <cell r="F204">
            <v>0</v>
          </cell>
        </row>
        <row r="205">
          <cell r="A205" t="str">
            <v>GACTIV</v>
          </cell>
          <cell r="B205" t="str">
            <v>ACTIVA SOFTECH LTD</v>
          </cell>
          <cell r="C205" t="str">
            <v>ADVAN</v>
          </cell>
          <cell r="D205">
            <v>12000</v>
          </cell>
          <cell r="E205">
            <v>12000</v>
          </cell>
          <cell r="F205">
            <v>0</v>
          </cell>
        </row>
        <row r="206">
          <cell r="A206" t="str">
            <v>GA0336</v>
          </cell>
          <cell r="B206" t="str">
            <v>AD WORLD</v>
          </cell>
          <cell r="C206" t="str">
            <v>ADVAN</v>
          </cell>
          <cell r="D206">
            <v>274555</v>
          </cell>
          <cell r="E206">
            <v>274555</v>
          </cell>
          <cell r="F206">
            <v>0</v>
          </cell>
        </row>
        <row r="207">
          <cell r="A207" t="str">
            <v>GADVAN</v>
          </cell>
          <cell r="B207" t="str">
            <v>ADVANCE COMPUTER</v>
          </cell>
          <cell r="C207" t="str">
            <v>ADVAN</v>
          </cell>
          <cell r="D207">
            <v>1600</v>
          </cell>
          <cell r="E207">
            <v>1600</v>
          </cell>
          <cell r="F207">
            <v>0</v>
          </cell>
        </row>
        <row r="208">
          <cell r="A208" t="str">
            <v>GADES</v>
          </cell>
          <cell r="B208" t="str">
            <v>ADVANCES</v>
          </cell>
          <cell r="C208" t="str">
            <v>ADVAN</v>
          </cell>
          <cell r="D208">
            <v>668605</v>
          </cell>
          <cell r="E208">
            <v>668605</v>
          </cell>
          <cell r="F208">
            <v>0</v>
          </cell>
        </row>
        <row r="209">
          <cell r="A209" t="str">
            <v>GADWE</v>
          </cell>
          <cell r="B209" t="str">
            <v>ADWEB TECHNOLOGIES</v>
          </cell>
          <cell r="C209" t="str">
            <v>ADVAN</v>
          </cell>
          <cell r="D209">
            <v>56100</v>
          </cell>
          <cell r="E209">
            <v>56100</v>
          </cell>
          <cell r="F209">
            <v>0</v>
          </cell>
        </row>
        <row r="210">
          <cell r="A210" t="str">
            <v>GAEGIS</v>
          </cell>
          <cell r="B210" t="str">
            <v>AEGIS INFOWARE</v>
          </cell>
          <cell r="C210" t="str">
            <v>ADVAN</v>
          </cell>
          <cell r="D210">
            <v>15000</v>
          </cell>
          <cell r="E210">
            <v>15000</v>
          </cell>
          <cell r="F210">
            <v>0</v>
          </cell>
        </row>
        <row r="211">
          <cell r="A211" t="str">
            <v>GAEPR</v>
          </cell>
          <cell r="B211" t="str">
            <v>AESHA PROPERTIES</v>
          </cell>
          <cell r="C211" t="str">
            <v>ADVAN</v>
          </cell>
          <cell r="D211">
            <v>5130</v>
          </cell>
          <cell r="E211">
            <v>5130</v>
          </cell>
          <cell r="F211">
            <v>0</v>
          </cell>
        </row>
        <row r="212">
          <cell r="A212" t="str">
            <v>GAGEL</v>
          </cell>
          <cell r="B212" t="str">
            <v>AGARWAL ELECTRONICS</v>
          </cell>
          <cell r="C212" t="str">
            <v>ADVAN</v>
          </cell>
          <cell r="D212">
            <v>54000</v>
          </cell>
          <cell r="E212">
            <v>54000</v>
          </cell>
          <cell r="F212">
            <v>0</v>
          </cell>
        </row>
        <row r="213">
          <cell r="A213" t="str">
            <v>GATEN</v>
          </cell>
          <cell r="B213" t="str">
            <v>AIR TECH ENGINEERS</v>
          </cell>
          <cell r="C213" t="str">
            <v>ADVAN</v>
          </cell>
          <cell r="D213">
            <v>103</v>
          </cell>
          <cell r="E213">
            <v>103</v>
          </cell>
          <cell r="F213">
            <v>0</v>
          </cell>
        </row>
        <row r="214">
          <cell r="A214" t="str">
            <v>GAIRI</v>
          </cell>
          <cell r="B214" t="str">
            <v>AIRONET NETWORKS</v>
          </cell>
          <cell r="C214" t="str">
            <v>ADVAN</v>
          </cell>
          <cell r="D214">
            <v>612</v>
          </cell>
          <cell r="E214">
            <v>612</v>
          </cell>
          <cell r="F214">
            <v>0</v>
          </cell>
        </row>
        <row r="215">
          <cell r="A215" t="str">
            <v>GAJAI</v>
          </cell>
          <cell r="B215" t="str">
            <v>AJAI AGARWAL</v>
          </cell>
          <cell r="C215" t="str">
            <v>ADVAN</v>
          </cell>
          <cell r="D215">
            <v>57813</v>
          </cell>
          <cell r="E215">
            <v>57813</v>
          </cell>
          <cell r="F215">
            <v>0</v>
          </cell>
        </row>
        <row r="216">
          <cell r="A216" t="str">
            <v>GAJIT</v>
          </cell>
          <cell r="B216" t="str">
            <v>AJIT</v>
          </cell>
          <cell r="C216" t="str">
            <v>ADVAN</v>
          </cell>
          <cell r="D216">
            <v>10000</v>
          </cell>
          <cell r="E216">
            <v>10000</v>
          </cell>
          <cell r="F216">
            <v>0</v>
          </cell>
        </row>
        <row r="217">
          <cell r="A217" t="str">
            <v>GAJEL</v>
          </cell>
          <cell r="B217" t="str">
            <v>AJMERA ELECTRONICS</v>
          </cell>
          <cell r="C217" t="str">
            <v>ADVAN</v>
          </cell>
          <cell r="D217">
            <v>72080</v>
          </cell>
          <cell r="E217">
            <v>72080</v>
          </cell>
          <cell r="F217">
            <v>0</v>
          </cell>
        </row>
        <row r="218">
          <cell r="A218" t="str">
            <v>GAKAN</v>
          </cell>
          <cell r="B218" t="str">
            <v>AKANATH SHRINIVASARAO BELAMKAR &amp; NAMADEV SHRINIVAS</v>
          </cell>
          <cell r="C218" t="str">
            <v>ADVAN</v>
          </cell>
          <cell r="D218">
            <v>108375</v>
          </cell>
          <cell r="E218">
            <v>108375</v>
          </cell>
          <cell r="F218">
            <v>0</v>
          </cell>
        </row>
        <row r="219">
          <cell r="A219" t="str">
            <v>GAKBA</v>
          </cell>
          <cell r="B219" t="str">
            <v>AKBARALLYS</v>
          </cell>
          <cell r="C219" t="str">
            <v>ADVAN</v>
          </cell>
          <cell r="D219">
            <v>17345</v>
          </cell>
          <cell r="E219">
            <v>17345</v>
          </cell>
          <cell r="F219">
            <v>0</v>
          </cell>
        </row>
        <row r="220">
          <cell r="A220" t="str">
            <v>GAKHTA</v>
          </cell>
          <cell r="B220" t="str">
            <v>AKHTAR ALAM</v>
          </cell>
          <cell r="C220" t="str">
            <v>ADVAN</v>
          </cell>
          <cell r="D220">
            <v>33750</v>
          </cell>
          <cell r="E220">
            <v>33750</v>
          </cell>
          <cell r="F220">
            <v>0</v>
          </cell>
        </row>
        <row r="221">
          <cell r="A221" t="str">
            <v>GAKSH</v>
          </cell>
          <cell r="B221" t="str">
            <v>AKSHAY TIWARI LOAN ACCOUNT</v>
          </cell>
          <cell r="C221" t="str">
            <v>ADVAN</v>
          </cell>
          <cell r="D221">
            <v>4500</v>
          </cell>
          <cell r="E221">
            <v>4500</v>
          </cell>
          <cell r="F221">
            <v>0</v>
          </cell>
        </row>
        <row r="222">
          <cell r="A222" t="str">
            <v>GALFAAC</v>
          </cell>
          <cell r="B222" t="str">
            <v>ALFA AIR CONDITIONERS</v>
          </cell>
          <cell r="C222" t="str">
            <v>ADVAN</v>
          </cell>
          <cell r="D222">
            <v>56300</v>
          </cell>
          <cell r="E222">
            <v>56300</v>
          </cell>
          <cell r="F222">
            <v>0</v>
          </cell>
        </row>
        <row r="223">
          <cell r="A223" t="str">
            <v>GALFEN</v>
          </cell>
          <cell r="B223" t="str">
            <v>ALFA ENTERPRISE</v>
          </cell>
          <cell r="C223" t="str">
            <v>ADVAN</v>
          </cell>
          <cell r="D223">
            <v>13966</v>
          </cell>
          <cell r="E223">
            <v>13966</v>
          </cell>
          <cell r="F223">
            <v>0</v>
          </cell>
        </row>
        <row r="224">
          <cell r="A224" t="str">
            <v>GAAS</v>
          </cell>
          <cell r="B224" t="str">
            <v>ALLIANCE SIGNOTECH</v>
          </cell>
          <cell r="C224" t="str">
            <v>ADVAN</v>
          </cell>
          <cell r="D224">
            <v>3775</v>
          </cell>
          <cell r="E224">
            <v>3775</v>
          </cell>
          <cell r="F224">
            <v>0</v>
          </cell>
        </row>
        <row r="225">
          <cell r="A225" t="str">
            <v>GALEL</v>
          </cell>
          <cell r="B225" t="str">
            <v>ALLIED ELECTRONICS</v>
          </cell>
          <cell r="C225" t="str">
            <v>ADVAN</v>
          </cell>
          <cell r="D225">
            <v>58680</v>
          </cell>
          <cell r="E225">
            <v>58680</v>
          </cell>
          <cell r="F225">
            <v>0</v>
          </cell>
        </row>
        <row r="226">
          <cell r="A226" t="str">
            <v>GALLS</v>
          </cell>
          <cell r="B226" t="str">
            <v>ALLIED STORES</v>
          </cell>
          <cell r="C226" t="str">
            <v>ADVAN</v>
          </cell>
          <cell r="D226">
            <v>3238</v>
          </cell>
          <cell r="E226">
            <v>3238</v>
          </cell>
          <cell r="F226">
            <v>0</v>
          </cell>
        </row>
        <row r="227">
          <cell r="A227" t="str">
            <v>GALEN</v>
          </cell>
          <cell r="B227" t="str">
            <v>ALPHA ENTERPRISE</v>
          </cell>
          <cell r="C227" t="str">
            <v>ADVAN</v>
          </cell>
          <cell r="D227">
            <v>16000</v>
          </cell>
          <cell r="E227">
            <v>16000</v>
          </cell>
          <cell r="F227">
            <v>0</v>
          </cell>
        </row>
        <row r="228">
          <cell r="A228" t="str">
            <v>GALWO</v>
          </cell>
          <cell r="B228" t="str">
            <v>ALWAR ONLINE PVT LTD</v>
          </cell>
          <cell r="C228" t="str">
            <v>ADVAN</v>
          </cell>
          <cell r="D228">
            <v>3010</v>
          </cell>
          <cell r="E228">
            <v>3010</v>
          </cell>
          <cell r="F228">
            <v>0</v>
          </cell>
        </row>
        <row r="229">
          <cell r="A229" t="str">
            <v>GAMEL</v>
          </cell>
          <cell r="B229" t="str">
            <v>AMARDEEP ELECTRONICS</v>
          </cell>
          <cell r="C229" t="str">
            <v>ADVAN</v>
          </cell>
          <cell r="D229">
            <v>247300</v>
          </cell>
          <cell r="E229">
            <v>247300</v>
          </cell>
          <cell r="F229">
            <v>0</v>
          </cell>
        </row>
        <row r="230">
          <cell r="A230" t="str">
            <v>GAMJS</v>
          </cell>
          <cell r="B230" t="str">
            <v>AMARJEET SINGH JUNEJA</v>
          </cell>
          <cell r="C230" t="str">
            <v>ADVAN</v>
          </cell>
          <cell r="D230">
            <v>15427</v>
          </cell>
          <cell r="E230">
            <v>15427</v>
          </cell>
          <cell r="F230">
            <v>0</v>
          </cell>
        </row>
        <row r="231">
          <cell r="A231" t="str">
            <v>GAMAS</v>
          </cell>
          <cell r="B231" t="str">
            <v>AMARPREET SINGH</v>
          </cell>
          <cell r="C231" t="str">
            <v>ADVAN</v>
          </cell>
          <cell r="D231">
            <v>1234</v>
          </cell>
          <cell r="E231">
            <v>1234</v>
          </cell>
          <cell r="F231">
            <v>0</v>
          </cell>
        </row>
        <row r="232">
          <cell r="A232" t="str">
            <v>GAMBA</v>
          </cell>
          <cell r="B232" t="str">
            <v>AMBALA HOME APPLIANCES</v>
          </cell>
          <cell r="C232" t="str">
            <v>ADVAN</v>
          </cell>
          <cell r="D232">
            <v>4140</v>
          </cell>
          <cell r="E232">
            <v>4140</v>
          </cell>
          <cell r="F232">
            <v>0</v>
          </cell>
        </row>
        <row r="233">
          <cell r="A233" t="str">
            <v>GAMBT</v>
          </cell>
          <cell r="B233" t="str">
            <v>AMBIENT COMPUTRONICS PVT. LTD.</v>
          </cell>
          <cell r="C233" t="str">
            <v>ADVAN</v>
          </cell>
          <cell r="D233">
            <v>37598</v>
          </cell>
          <cell r="E233">
            <v>37598</v>
          </cell>
          <cell r="F233">
            <v>0</v>
          </cell>
        </row>
        <row r="234">
          <cell r="A234" t="str">
            <v>GAMTR</v>
          </cell>
          <cell r="B234" t="str">
            <v>AMBIKA TOUR &amp; TRAVELLS</v>
          </cell>
          <cell r="C234" t="str">
            <v>ADVAN</v>
          </cell>
          <cell r="D234">
            <v>4500</v>
          </cell>
          <cell r="E234">
            <v>4500</v>
          </cell>
          <cell r="F234">
            <v>0</v>
          </cell>
        </row>
        <row r="235">
          <cell r="A235" t="str">
            <v>GAMIC</v>
          </cell>
          <cell r="B235" t="str">
            <v>AMITESHWAR CHOWDHARI</v>
          </cell>
          <cell r="C235" t="str">
            <v>ADVAN</v>
          </cell>
          <cell r="D235">
            <v>4745</v>
          </cell>
          <cell r="E235">
            <v>4745</v>
          </cell>
          <cell r="F235">
            <v>0</v>
          </cell>
        </row>
        <row r="236">
          <cell r="A236" t="str">
            <v>GAMSO</v>
          </cell>
          <cell r="B236" t="str">
            <v>AMSON POWERTRONICS</v>
          </cell>
          <cell r="C236" t="str">
            <v>ADVAN</v>
          </cell>
          <cell r="D236">
            <v>13500</v>
          </cell>
          <cell r="E236">
            <v>13500</v>
          </cell>
          <cell r="F236">
            <v>0</v>
          </cell>
        </row>
        <row r="237">
          <cell r="A237" t="str">
            <v>GANEL</v>
          </cell>
          <cell r="B237" t="str">
            <v>ANA ELECTRONICS AND APPLIANCES</v>
          </cell>
          <cell r="C237" t="str">
            <v>ADVAN</v>
          </cell>
          <cell r="D237">
            <v>64500</v>
          </cell>
          <cell r="E237">
            <v>64500</v>
          </cell>
          <cell r="F237">
            <v>0</v>
          </cell>
        </row>
        <row r="238">
          <cell r="A238" t="str">
            <v>GANPL</v>
          </cell>
          <cell r="B238" t="str">
            <v>ANIL PLASTICS</v>
          </cell>
          <cell r="C238" t="str">
            <v>ADVAN</v>
          </cell>
          <cell r="D238">
            <v>33750</v>
          </cell>
          <cell r="E238">
            <v>33750</v>
          </cell>
          <cell r="F238">
            <v>0</v>
          </cell>
        </row>
        <row r="239">
          <cell r="A239" t="str">
            <v>GANIL</v>
          </cell>
          <cell r="B239" t="str">
            <v>ANIL SINGHI</v>
          </cell>
          <cell r="C239" t="str">
            <v>ADVAN</v>
          </cell>
          <cell r="D239">
            <v>6000</v>
          </cell>
          <cell r="E239">
            <v>6000</v>
          </cell>
          <cell r="F239">
            <v>0</v>
          </cell>
        </row>
        <row r="240">
          <cell r="A240" t="str">
            <v>GANVE</v>
          </cell>
          <cell r="B240" t="str">
            <v>ANIL VED MEHTA</v>
          </cell>
          <cell r="C240" t="str">
            <v>ADVAN</v>
          </cell>
          <cell r="D240">
            <v>52479</v>
          </cell>
          <cell r="E240">
            <v>52479</v>
          </cell>
          <cell r="F240">
            <v>0</v>
          </cell>
        </row>
        <row r="241">
          <cell r="A241" t="str">
            <v>GANJA</v>
          </cell>
          <cell r="B241" t="str">
            <v>ANJANA JAYESH VYAS</v>
          </cell>
          <cell r="C241" t="str">
            <v>ADVAN</v>
          </cell>
          <cell r="D241">
            <v>0.02</v>
          </cell>
          <cell r="E241">
            <v>0.02</v>
          </cell>
          <cell r="F241">
            <v>0</v>
          </cell>
        </row>
        <row r="242">
          <cell r="A242" t="str">
            <v>GANJN</v>
          </cell>
          <cell r="B242" t="str">
            <v>ANJNABEN NITINBHAI PATADIA</v>
          </cell>
          <cell r="C242" t="str">
            <v>ADVAN</v>
          </cell>
          <cell r="D242">
            <v>49000</v>
          </cell>
          <cell r="E242">
            <v>49000</v>
          </cell>
          <cell r="F242">
            <v>0</v>
          </cell>
        </row>
        <row r="243">
          <cell r="A243" t="str">
            <v>GANKIT</v>
          </cell>
          <cell r="B243" t="str">
            <v>ANKIT DECORATORS</v>
          </cell>
          <cell r="C243" t="str">
            <v>ADVAN</v>
          </cell>
          <cell r="D243">
            <v>69600</v>
          </cell>
          <cell r="E243">
            <v>69600</v>
          </cell>
          <cell r="F243">
            <v>0</v>
          </cell>
        </row>
        <row r="244">
          <cell r="A244" t="str">
            <v>GANKUR</v>
          </cell>
          <cell r="B244" t="str">
            <v>ANKUR</v>
          </cell>
          <cell r="C244" t="str">
            <v>ADVAN</v>
          </cell>
          <cell r="D244">
            <v>133780</v>
          </cell>
          <cell r="E244">
            <v>133780</v>
          </cell>
          <cell r="F244">
            <v>0</v>
          </cell>
        </row>
        <row r="245">
          <cell r="A245" t="str">
            <v>GANVD</v>
          </cell>
          <cell r="B245" t="str">
            <v>ANKUR V DALAL</v>
          </cell>
          <cell r="C245" t="str">
            <v>ADVAN</v>
          </cell>
          <cell r="D245">
            <v>7000</v>
          </cell>
          <cell r="E245">
            <v>7000</v>
          </cell>
          <cell r="F245">
            <v>0</v>
          </cell>
        </row>
        <row r="246">
          <cell r="A246" t="str">
            <v>GAHEN</v>
          </cell>
          <cell r="B246" t="str">
            <v>ANTHER HORTICS ENTERPRISES</v>
          </cell>
          <cell r="C246" t="str">
            <v>ADVAN</v>
          </cell>
          <cell r="D246">
            <v>7470</v>
          </cell>
          <cell r="E246">
            <v>7470</v>
          </cell>
          <cell r="F246">
            <v>0</v>
          </cell>
        </row>
        <row r="247">
          <cell r="A247" t="str">
            <v>GANUB</v>
          </cell>
          <cell r="B247" t="str">
            <v>ANU BUSINESS CORPORATION</v>
          </cell>
          <cell r="C247" t="str">
            <v>ADVAN</v>
          </cell>
          <cell r="D247">
            <v>4500</v>
          </cell>
          <cell r="E247">
            <v>4500</v>
          </cell>
          <cell r="F247">
            <v>0</v>
          </cell>
        </row>
        <row r="248">
          <cell r="A248" t="str">
            <v>GANUJ</v>
          </cell>
          <cell r="B248" t="str">
            <v>ANUJIT KAUR SETHI</v>
          </cell>
          <cell r="C248" t="str">
            <v>ADVAN</v>
          </cell>
          <cell r="D248">
            <v>12000</v>
          </cell>
          <cell r="E248">
            <v>12000</v>
          </cell>
          <cell r="F248">
            <v>0</v>
          </cell>
        </row>
        <row r="249">
          <cell r="A249" t="str">
            <v>GANUR</v>
          </cell>
          <cell r="B249" t="str">
            <v>ANURADHA SARAF SIDDHARTHA SARAF &amp; SAURAV SARAF</v>
          </cell>
          <cell r="C249" t="str">
            <v>ADVAN</v>
          </cell>
          <cell r="D249">
            <v>704310</v>
          </cell>
          <cell r="E249">
            <v>704310</v>
          </cell>
          <cell r="F249">
            <v>0</v>
          </cell>
        </row>
        <row r="250">
          <cell r="A250" t="str">
            <v>GANURA</v>
          </cell>
          <cell r="B250" t="str">
            <v>ANURAG  ELECTRONIS</v>
          </cell>
          <cell r="C250" t="str">
            <v>ADVAN</v>
          </cell>
          <cell r="D250">
            <v>36810</v>
          </cell>
          <cell r="E250">
            <v>36810</v>
          </cell>
          <cell r="F250">
            <v>0</v>
          </cell>
        </row>
        <row r="251">
          <cell r="A251" t="str">
            <v>GARAS</v>
          </cell>
          <cell r="B251" t="str">
            <v>AR.A.S. APPLIANCES PVT. LTD.</v>
          </cell>
          <cell r="C251" t="str">
            <v>ADVAN</v>
          </cell>
          <cell r="D251">
            <v>26860</v>
          </cell>
          <cell r="E251">
            <v>26860</v>
          </cell>
          <cell r="F251">
            <v>0</v>
          </cell>
        </row>
        <row r="252">
          <cell r="A252" t="str">
            <v>GARCI</v>
          </cell>
          <cell r="B252" t="str">
            <v>ARC INFOTECH (P) LTD.</v>
          </cell>
          <cell r="C252" t="str">
            <v>ADVAN</v>
          </cell>
          <cell r="D252">
            <v>890976</v>
          </cell>
          <cell r="E252">
            <v>890976</v>
          </cell>
          <cell r="F252">
            <v>0</v>
          </cell>
        </row>
        <row r="253">
          <cell r="A253" t="str">
            <v>GARCH</v>
          </cell>
          <cell r="B253" t="str">
            <v>ARCHE ASSOCIATES</v>
          </cell>
          <cell r="C253" t="str">
            <v>ADVAN</v>
          </cell>
          <cell r="D253">
            <v>231312</v>
          </cell>
          <cell r="E253">
            <v>231312</v>
          </cell>
          <cell r="F253">
            <v>0</v>
          </cell>
        </row>
        <row r="254">
          <cell r="A254" t="str">
            <v>GARMF</v>
          </cell>
          <cell r="B254" t="str">
            <v>ARM FOODS PVT LTD</v>
          </cell>
          <cell r="C254" t="str">
            <v>ADVAN</v>
          </cell>
          <cell r="D254">
            <v>286531</v>
          </cell>
          <cell r="E254">
            <v>286531</v>
          </cell>
          <cell r="F254">
            <v>0</v>
          </cell>
        </row>
        <row r="255">
          <cell r="A255" t="str">
            <v>GARPH</v>
          </cell>
          <cell r="B255" t="str">
            <v>ARORA PHOTOSTAT</v>
          </cell>
          <cell r="C255" t="str">
            <v>ADVAN</v>
          </cell>
          <cell r="D255">
            <v>15034</v>
          </cell>
          <cell r="E255">
            <v>15034</v>
          </cell>
          <cell r="F255">
            <v>0</v>
          </cell>
        </row>
        <row r="256">
          <cell r="A256" t="str">
            <v>GARUN</v>
          </cell>
          <cell r="B256" t="str">
            <v>ARUN JAIN</v>
          </cell>
          <cell r="C256" t="str">
            <v>ADVAN</v>
          </cell>
          <cell r="D256">
            <v>39953</v>
          </cell>
          <cell r="E256">
            <v>39953</v>
          </cell>
          <cell r="F256">
            <v>0</v>
          </cell>
        </row>
        <row r="257">
          <cell r="A257" t="str">
            <v>GARUK</v>
          </cell>
          <cell r="B257" t="str">
            <v>ARUN KUMAR JAIN</v>
          </cell>
          <cell r="C257" t="str">
            <v>ADVAN</v>
          </cell>
          <cell r="D257">
            <v>9000</v>
          </cell>
          <cell r="E257">
            <v>9000</v>
          </cell>
          <cell r="F257">
            <v>0</v>
          </cell>
        </row>
        <row r="258">
          <cell r="A258" t="str">
            <v>GASHE</v>
          </cell>
          <cell r="B258" t="str">
            <v>ASHOK ELECTRICALS</v>
          </cell>
          <cell r="C258" t="str">
            <v>ADVAN</v>
          </cell>
          <cell r="D258">
            <v>62475</v>
          </cell>
          <cell r="E258">
            <v>62475</v>
          </cell>
          <cell r="F258">
            <v>0</v>
          </cell>
        </row>
        <row r="259">
          <cell r="A259" t="str">
            <v>GMOCO</v>
          </cell>
          <cell r="B259" t="str">
            <v>ASHOK SB</v>
          </cell>
          <cell r="C259" t="str">
            <v>ADVAN</v>
          </cell>
          <cell r="D259">
            <v>6000</v>
          </cell>
          <cell r="E259">
            <v>6000</v>
          </cell>
          <cell r="F259">
            <v>0</v>
          </cell>
        </row>
        <row r="260">
          <cell r="A260" t="str">
            <v>GASHU</v>
          </cell>
          <cell r="B260" t="str">
            <v>ASHUTOSH ENTERPRISE</v>
          </cell>
          <cell r="C260" t="str">
            <v>ADVAN</v>
          </cell>
          <cell r="D260">
            <v>138</v>
          </cell>
          <cell r="E260">
            <v>138</v>
          </cell>
          <cell r="F260">
            <v>0</v>
          </cell>
        </row>
        <row r="261">
          <cell r="A261" t="str">
            <v>GATRA</v>
          </cell>
          <cell r="B261" t="str">
            <v>ASIAN TRADERS</v>
          </cell>
          <cell r="C261" t="str">
            <v>ADVAN</v>
          </cell>
          <cell r="D261">
            <v>14061</v>
          </cell>
          <cell r="E261">
            <v>14061</v>
          </cell>
          <cell r="F261">
            <v>0</v>
          </cell>
        </row>
        <row r="262">
          <cell r="A262" t="str">
            <v>GAIVA</v>
          </cell>
          <cell r="B262" t="str">
            <v>ASSOCIATED INDO-VIETNAM AGENCIES</v>
          </cell>
          <cell r="C262" t="str">
            <v>ADVAN</v>
          </cell>
          <cell r="D262">
            <v>6200</v>
          </cell>
          <cell r="E262">
            <v>6200</v>
          </cell>
          <cell r="F262">
            <v>0</v>
          </cell>
        </row>
        <row r="263">
          <cell r="A263" t="str">
            <v>GASTI</v>
          </cell>
          <cell r="B263" t="str">
            <v>ASTITVA CONSTRUCTION</v>
          </cell>
          <cell r="C263" t="str">
            <v>ADVAN</v>
          </cell>
          <cell r="D263">
            <v>10000</v>
          </cell>
          <cell r="E263">
            <v>10000</v>
          </cell>
          <cell r="F263">
            <v>0</v>
          </cell>
        </row>
        <row r="264">
          <cell r="A264" t="str">
            <v>GASTA</v>
          </cell>
          <cell r="B264" t="str">
            <v>ASTRA ADVERTISING</v>
          </cell>
          <cell r="C264" t="str">
            <v>ADVAN</v>
          </cell>
          <cell r="D264">
            <v>146783</v>
          </cell>
          <cell r="E264">
            <v>146783</v>
          </cell>
          <cell r="F264">
            <v>0</v>
          </cell>
        </row>
        <row r="265">
          <cell r="A265" t="str">
            <v>GAUSA</v>
          </cell>
          <cell r="B265" t="str">
            <v>AUSAF MIRZA</v>
          </cell>
          <cell r="C265" t="str">
            <v>ADVAN</v>
          </cell>
          <cell r="D265">
            <v>2146</v>
          </cell>
          <cell r="E265">
            <v>2146</v>
          </cell>
          <cell r="F265">
            <v>0</v>
          </cell>
        </row>
        <row r="266">
          <cell r="A266" t="str">
            <v>GAUTO</v>
          </cell>
          <cell r="B266" t="str">
            <v>AUTO VENDERS</v>
          </cell>
          <cell r="C266" t="str">
            <v>ADVAN</v>
          </cell>
          <cell r="D266">
            <v>55924</v>
          </cell>
          <cell r="E266">
            <v>55924</v>
          </cell>
          <cell r="F266">
            <v>0</v>
          </cell>
        </row>
        <row r="267">
          <cell r="A267" t="str">
            <v>GAVDH</v>
          </cell>
          <cell r="B267" t="str">
            <v>AVDHOOT CORPORATION</v>
          </cell>
          <cell r="C267" t="str">
            <v>ADVAN</v>
          </cell>
          <cell r="D267">
            <v>19767</v>
          </cell>
          <cell r="E267">
            <v>19767</v>
          </cell>
          <cell r="F267">
            <v>0</v>
          </cell>
        </row>
        <row r="268">
          <cell r="A268" t="str">
            <v>GAYES</v>
          </cell>
          <cell r="B268" t="str">
            <v>AYESHA MAJUMDAR</v>
          </cell>
          <cell r="C268" t="str">
            <v>ADVAN</v>
          </cell>
          <cell r="D268">
            <v>18730</v>
          </cell>
          <cell r="E268">
            <v>18730</v>
          </cell>
          <cell r="F268">
            <v>0</v>
          </cell>
        </row>
        <row r="269">
          <cell r="A269" t="str">
            <v>GAYUB</v>
          </cell>
          <cell r="B269" t="str">
            <v>AYUB S. MULLAN</v>
          </cell>
          <cell r="C269" t="str">
            <v>ADVAN</v>
          </cell>
          <cell r="D269">
            <v>116577</v>
          </cell>
          <cell r="E269">
            <v>116577</v>
          </cell>
          <cell r="F269">
            <v>0</v>
          </cell>
        </row>
        <row r="270">
          <cell r="A270" t="str">
            <v>GAKHT</v>
          </cell>
          <cell r="B270" t="str">
            <v>AZAD ENTERPRISES</v>
          </cell>
          <cell r="C270" t="str">
            <v>ADVAN</v>
          </cell>
          <cell r="D270">
            <v>108822</v>
          </cell>
          <cell r="E270">
            <v>108822</v>
          </cell>
          <cell r="F270">
            <v>0</v>
          </cell>
        </row>
        <row r="271">
          <cell r="A271" t="str">
            <v>GBVEN</v>
          </cell>
          <cell r="B271" t="str">
            <v>B.VENKATA RAMANA REDDY</v>
          </cell>
          <cell r="C271" t="str">
            <v>ADVAN</v>
          </cell>
          <cell r="D271">
            <v>3000</v>
          </cell>
          <cell r="E271">
            <v>3000</v>
          </cell>
          <cell r="F271">
            <v>0</v>
          </cell>
        </row>
        <row r="272">
          <cell r="A272" t="str">
            <v>GBABU</v>
          </cell>
          <cell r="B272" t="str">
            <v>BABU</v>
          </cell>
          <cell r="C272" t="str">
            <v>ADVAN</v>
          </cell>
          <cell r="D272">
            <v>9500</v>
          </cell>
          <cell r="E272">
            <v>9500</v>
          </cell>
          <cell r="F272">
            <v>0</v>
          </cell>
        </row>
        <row r="273">
          <cell r="A273" t="str">
            <v>GBAGM</v>
          </cell>
          <cell r="B273" t="str">
            <v>BAGMAR TRADERS</v>
          </cell>
          <cell r="C273" t="str">
            <v>ADVAN</v>
          </cell>
          <cell r="D273">
            <v>22500</v>
          </cell>
          <cell r="E273">
            <v>22500</v>
          </cell>
          <cell r="F273">
            <v>0</v>
          </cell>
        </row>
        <row r="274">
          <cell r="A274" t="str">
            <v>GBAJA</v>
          </cell>
          <cell r="B274" t="str">
            <v>BAJAJ ELECTRONICS</v>
          </cell>
          <cell r="C274" t="str">
            <v>ADVAN</v>
          </cell>
          <cell r="D274">
            <v>7500</v>
          </cell>
          <cell r="E274">
            <v>7500</v>
          </cell>
          <cell r="F274">
            <v>0</v>
          </cell>
        </row>
        <row r="275">
          <cell r="A275" t="str">
            <v>GBALT</v>
          </cell>
          <cell r="B275" t="str">
            <v>BALA TOURIST</v>
          </cell>
          <cell r="C275" t="str">
            <v>ADVAN</v>
          </cell>
          <cell r="D275">
            <v>1420</v>
          </cell>
          <cell r="E275">
            <v>1420</v>
          </cell>
          <cell r="F275">
            <v>0</v>
          </cell>
        </row>
        <row r="276">
          <cell r="A276" t="str">
            <v>GBAJI</v>
          </cell>
          <cell r="B276" t="str">
            <v>BALAJI COMPUTERS</v>
          </cell>
          <cell r="C276" t="str">
            <v>ADVAN</v>
          </cell>
          <cell r="D276">
            <v>14950</v>
          </cell>
          <cell r="E276">
            <v>14950</v>
          </cell>
          <cell r="F276">
            <v>0</v>
          </cell>
        </row>
        <row r="277">
          <cell r="A277" t="str">
            <v>GBALA</v>
          </cell>
          <cell r="B277" t="str">
            <v>BALAJI TRAVELS PVT LTD</v>
          </cell>
          <cell r="C277" t="str">
            <v>ADVAN</v>
          </cell>
          <cell r="D277">
            <v>62780</v>
          </cell>
          <cell r="E277">
            <v>62780</v>
          </cell>
          <cell r="F277">
            <v>0</v>
          </cell>
        </row>
        <row r="278">
          <cell r="A278" t="str">
            <v>GBALY</v>
          </cell>
          <cell r="B278" t="str">
            <v>BALBIR YADAV</v>
          </cell>
          <cell r="C278" t="str">
            <v>ADVAN</v>
          </cell>
          <cell r="D278">
            <v>26609</v>
          </cell>
          <cell r="E278">
            <v>26609</v>
          </cell>
          <cell r="F278">
            <v>0</v>
          </cell>
        </row>
        <row r="279">
          <cell r="A279" t="str">
            <v>GBALD</v>
          </cell>
          <cell r="B279" t="str">
            <v>BALDEV RAJ ARORA</v>
          </cell>
          <cell r="C279" t="str">
            <v>ADVAN</v>
          </cell>
          <cell r="D279">
            <v>116700</v>
          </cell>
          <cell r="E279">
            <v>116700</v>
          </cell>
          <cell r="F279">
            <v>0</v>
          </cell>
        </row>
        <row r="280">
          <cell r="A280" t="str">
            <v>GBALW</v>
          </cell>
          <cell r="B280" t="str">
            <v>BALWANT SINGH</v>
          </cell>
          <cell r="C280" t="str">
            <v>ADVAN</v>
          </cell>
          <cell r="D280">
            <v>95500</v>
          </cell>
          <cell r="E280">
            <v>95500</v>
          </cell>
          <cell r="F280">
            <v>0</v>
          </cell>
        </row>
        <row r="281">
          <cell r="A281" t="str">
            <v>GBJES</v>
          </cell>
          <cell r="B281" t="str">
            <v>BANGALORE JESUIT EDUCATIONAL SOCIETY</v>
          </cell>
          <cell r="C281" t="str">
            <v>ADVAN</v>
          </cell>
          <cell r="D281">
            <v>416371</v>
          </cell>
          <cell r="E281">
            <v>416371</v>
          </cell>
          <cell r="F281">
            <v>0</v>
          </cell>
        </row>
        <row r="282">
          <cell r="A282" t="str">
            <v>GBAIN</v>
          </cell>
          <cell r="B282" t="str">
            <v>BANSAL INDUSTRIES</v>
          </cell>
          <cell r="C282" t="str">
            <v>ADVAN</v>
          </cell>
          <cell r="D282">
            <v>17850</v>
          </cell>
          <cell r="E282">
            <v>17850</v>
          </cell>
          <cell r="F282">
            <v>0</v>
          </cell>
        </row>
        <row r="283">
          <cell r="A283" t="str">
            <v>GBANS</v>
          </cell>
          <cell r="B283" t="str">
            <v>BANSI TRADE CONDOMINIUM</v>
          </cell>
          <cell r="C283" t="str">
            <v>ADVAN</v>
          </cell>
          <cell r="D283">
            <v>30268</v>
          </cell>
          <cell r="E283">
            <v>30268</v>
          </cell>
          <cell r="F283">
            <v>0</v>
          </cell>
        </row>
        <row r="284">
          <cell r="A284" t="str">
            <v>GBANY</v>
          </cell>
          <cell r="B284" t="str">
            <v>BANYAN CONSTRUCTIONS</v>
          </cell>
          <cell r="C284" t="str">
            <v>ADVAN</v>
          </cell>
          <cell r="D284">
            <v>10349</v>
          </cell>
          <cell r="E284">
            <v>10349</v>
          </cell>
          <cell r="F284">
            <v>0</v>
          </cell>
        </row>
        <row r="285">
          <cell r="A285" t="str">
            <v>GBEEC</v>
          </cell>
          <cell r="B285" t="str">
            <v>BEECHAMS PRESS PVT. LTD.</v>
          </cell>
          <cell r="C285" t="str">
            <v>ADVAN</v>
          </cell>
          <cell r="D285">
            <v>3740</v>
          </cell>
          <cell r="E285">
            <v>3740</v>
          </cell>
          <cell r="F285">
            <v>0</v>
          </cell>
        </row>
        <row r="286">
          <cell r="A286" t="str">
            <v>GBELA</v>
          </cell>
          <cell r="B286" t="str">
            <v>BELAX ELECTRONICS</v>
          </cell>
          <cell r="C286" t="str">
            <v>ADVAN</v>
          </cell>
          <cell r="D286">
            <v>28600</v>
          </cell>
          <cell r="E286">
            <v>28600</v>
          </cell>
          <cell r="F286">
            <v>0</v>
          </cell>
        </row>
        <row r="287">
          <cell r="A287" t="str">
            <v>GBERW</v>
          </cell>
          <cell r="B287" t="str">
            <v>BERWAL ENTERPRISES DTDC COURIER</v>
          </cell>
          <cell r="C287" t="str">
            <v>ADVAN</v>
          </cell>
          <cell r="D287">
            <v>1181</v>
          </cell>
          <cell r="E287">
            <v>1181</v>
          </cell>
          <cell r="F287">
            <v>0</v>
          </cell>
        </row>
        <row r="288">
          <cell r="A288" t="str">
            <v>GBHSIN</v>
          </cell>
          <cell r="B288" t="str">
            <v>BHAGAWANT SINGH</v>
          </cell>
          <cell r="C288" t="str">
            <v>ADVAN</v>
          </cell>
          <cell r="D288">
            <v>1788</v>
          </cell>
          <cell r="E288">
            <v>1788</v>
          </cell>
          <cell r="F288">
            <v>0</v>
          </cell>
        </row>
        <row r="289">
          <cell r="A289" t="str">
            <v>GBGKA</v>
          </cell>
          <cell r="B289" t="str">
            <v>BHAGIRATHI KANODIA</v>
          </cell>
          <cell r="C289" t="str">
            <v>ADVAN</v>
          </cell>
          <cell r="D289">
            <v>24637</v>
          </cell>
          <cell r="E289">
            <v>24637</v>
          </cell>
          <cell r="F289">
            <v>0</v>
          </cell>
        </row>
        <row r="290">
          <cell r="A290" t="str">
            <v>GBHGS</v>
          </cell>
          <cell r="B290" t="str">
            <v>BHAGWATI BANQUETS AND HOTLES LTD</v>
          </cell>
          <cell r="C290" t="str">
            <v>ADVAN</v>
          </cell>
          <cell r="D290">
            <v>3819</v>
          </cell>
          <cell r="E290">
            <v>3819</v>
          </cell>
          <cell r="F290">
            <v>0</v>
          </cell>
        </row>
        <row r="291">
          <cell r="A291" t="str">
            <v>GBHAGW</v>
          </cell>
          <cell r="B291" t="str">
            <v>BHAGWATI TRADERS</v>
          </cell>
          <cell r="C291" t="str">
            <v>ADVAN</v>
          </cell>
          <cell r="D291">
            <v>5906</v>
          </cell>
          <cell r="E291">
            <v>5906</v>
          </cell>
          <cell r="F291">
            <v>0</v>
          </cell>
        </row>
        <row r="292">
          <cell r="A292" t="str">
            <v>GBHYA</v>
          </cell>
          <cell r="B292" t="str">
            <v>BHAGYA SHREE STATIONERS &amp; SUPPLIERS</v>
          </cell>
          <cell r="C292" t="str">
            <v>ADVAN</v>
          </cell>
          <cell r="D292">
            <v>2063</v>
          </cell>
          <cell r="E292">
            <v>2063</v>
          </cell>
          <cell r="F292">
            <v>0</v>
          </cell>
        </row>
        <row r="293">
          <cell r="A293" t="str">
            <v>GBTSP</v>
          </cell>
          <cell r="B293" t="str">
            <v>BHARAT TELE SHOP</v>
          </cell>
          <cell r="C293" t="str">
            <v>ADVAN</v>
          </cell>
          <cell r="D293">
            <v>3960</v>
          </cell>
          <cell r="E293">
            <v>3960</v>
          </cell>
          <cell r="F293">
            <v>0</v>
          </cell>
        </row>
        <row r="294">
          <cell r="A294" t="str">
            <v>GBHPT</v>
          </cell>
          <cell r="B294" t="str">
            <v>BHART PETROLIUM</v>
          </cell>
          <cell r="C294" t="str">
            <v>ADVAN</v>
          </cell>
          <cell r="D294">
            <v>25044</v>
          </cell>
          <cell r="E294">
            <v>25044</v>
          </cell>
          <cell r="F294">
            <v>0</v>
          </cell>
        </row>
        <row r="295">
          <cell r="A295" t="str">
            <v>GBHAI</v>
          </cell>
          <cell r="B295" t="str">
            <v>BHARTI INFOTEL LIMITED</v>
          </cell>
          <cell r="C295" t="str">
            <v>ADVAN</v>
          </cell>
          <cell r="D295">
            <v>2959002</v>
          </cell>
          <cell r="E295">
            <v>2959002</v>
          </cell>
          <cell r="F295">
            <v>0</v>
          </cell>
        </row>
        <row r="296">
          <cell r="A296" t="str">
            <v>GBHART</v>
          </cell>
          <cell r="B296" t="str">
            <v>BHARTI TELETECH LIMITED</v>
          </cell>
          <cell r="C296" t="str">
            <v>ADVAN</v>
          </cell>
          <cell r="D296">
            <v>25867</v>
          </cell>
          <cell r="E296">
            <v>25867</v>
          </cell>
          <cell r="F296">
            <v>0</v>
          </cell>
        </row>
        <row r="297">
          <cell r="A297" t="str">
            <v>GBHAS</v>
          </cell>
          <cell r="B297" t="str">
            <v>BHASIN AGENCIES</v>
          </cell>
          <cell r="C297" t="str">
            <v>ADVAN</v>
          </cell>
          <cell r="D297">
            <v>15625</v>
          </cell>
          <cell r="E297">
            <v>15625</v>
          </cell>
          <cell r="F297">
            <v>0</v>
          </cell>
        </row>
        <row r="298">
          <cell r="A298" t="str">
            <v>GBHSH</v>
          </cell>
          <cell r="B298" t="str">
            <v>BHAVIN SHAH</v>
          </cell>
          <cell r="C298" t="str">
            <v>ADVAN</v>
          </cell>
          <cell r="D298">
            <v>5000</v>
          </cell>
          <cell r="E298">
            <v>5000</v>
          </cell>
          <cell r="F298">
            <v>0</v>
          </cell>
        </row>
        <row r="299">
          <cell r="A299" t="str">
            <v>GBHAW</v>
          </cell>
          <cell r="B299" t="str">
            <v>BHAWNA SINGH</v>
          </cell>
          <cell r="C299" t="str">
            <v>ADVAN</v>
          </cell>
          <cell r="D299">
            <v>14273</v>
          </cell>
          <cell r="E299">
            <v>14273</v>
          </cell>
          <cell r="F299">
            <v>0</v>
          </cell>
        </row>
        <row r="300">
          <cell r="A300" t="str">
            <v>GBHOM</v>
          </cell>
          <cell r="B300" t="str">
            <v>BHOMBAL MONDAL</v>
          </cell>
          <cell r="C300" t="str">
            <v>ADVAN</v>
          </cell>
          <cell r="D300">
            <v>2612.5</v>
          </cell>
          <cell r="E300">
            <v>2612.5</v>
          </cell>
          <cell r="F300">
            <v>0</v>
          </cell>
        </row>
        <row r="301">
          <cell r="A301" t="str">
            <v>GBIGB</v>
          </cell>
          <cell r="B301" t="str">
            <v>BIG BYTE</v>
          </cell>
          <cell r="C301" t="str">
            <v>ADVAN</v>
          </cell>
          <cell r="D301">
            <v>6864</v>
          </cell>
          <cell r="E301">
            <v>6864</v>
          </cell>
          <cell r="F301">
            <v>0</v>
          </cell>
        </row>
        <row r="302">
          <cell r="A302" t="str">
            <v>GBIKA</v>
          </cell>
          <cell r="B302" t="str">
            <v>BIKASH PATRA</v>
          </cell>
          <cell r="C302" t="str">
            <v>ADVAN</v>
          </cell>
          <cell r="D302">
            <v>16800</v>
          </cell>
          <cell r="E302">
            <v>16800</v>
          </cell>
          <cell r="F302">
            <v>0</v>
          </cell>
        </row>
        <row r="303">
          <cell r="A303" t="str">
            <v>GBILA</v>
          </cell>
          <cell r="B303" t="str">
            <v>BILLA COOLERS</v>
          </cell>
          <cell r="C303" t="str">
            <v>ADVAN</v>
          </cell>
          <cell r="D303">
            <v>30737</v>
          </cell>
          <cell r="E303">
            <v>30737</v>
          </cell>
          <cell r="F303">
            <v>0</v>
          </cell>
        </row>
        <row r="304">
          <cell r="A304" t="str">
            <v>GBIPI</v>
          </cell>
          <cell r="B304" t="str">
            <v>BIPIN ENTERPRISES</v>
          </cell>
          <cell r="C304" t="str">
            <v>ADVAN</v>
          </cell>
          <cell r="D304">
            <v>842</v>
          </cell>
          <cell r="E304">
            <v>842</v>
          </cell>
          <cell r="F304">
            <v>0</v>
          </cell>
        </row>
        <row r="305">
          <cell r="A305" t="str">
            <v>GBISM</v>
          </cell>
          <cell r="B305" t="str">
            <v>BISMI ELECTRONICS</v>
          </cell>
          <cell r="C305" t="str">
            <v>ADVAN</v>
          </cell>
          <cell r="D305">
            <v>74500</v>
          </cell>
          <cell r="E305">
            <v>74500</v>
          </cell>
          <cell r="F305">
            <v>0</v>
          </cell>
        </row>
        <row r="306">
          <cell r="A306" t="str">
            <v>GBISW</v>
          </cell>
          <cell r="B306" t="str">
            <v>BISWAJIT MAJUMDER</v>
          </cell>
          <cell r="C306" t="str">
            <v>ADVAN</v>
          </cell>
          <cell r="D306">
            <v>800</v>
          </cell>
          <cell r="E306">
            <v>800</v>
          </cell>
          <cell r="F306">
            <v>0</v>
          </cell>
        </row>
        <row r="307">
          <cell r="A307" t="str">
            <v>GBITU</v>
          </cell>
          <cell r="B307" t="str">
            <v>BITTU AUTO ELECTRIC WORKS</v>
          </cell>
          <cell r="C307" t="str">
            <v>ADVAN</v>
          </cell>
          <cell r="D307">
            <v>36750</v>
          </cell>
          <cell r="E307">
            <v>36750</v>
          </cell>
          <cell r="F307">
            <v>0</v>
          </cell>
        </row>
        <row r="308">
          <cell r="A308" t="str">
            <v>GBLAC</v>
          </cell>
          <cell r="B308" t="str">
            <v>BLACK BELT COMMANDOS SECURITY SYSTEMS</v>
          </cell>
          <cell r="C308" t="str">
            <v>ADVAN</v>
          </cell>
          <cell r="D308">
            <v>2358</v>
          </cell>
          <cell r="E308">
            <v>2358</v>
          </cell>
          <cell r="F308">
            <v>0</v>
          </cell>
        </row>
        <row r="309">
          <cell r="A309" t="str">
            <v>GBLOW</v>
          </cell>
          <cell r="B309" t="str">
            <v>BLOW PLAST LIMITED</v>
          </cell>
          <cell r="C309" t="str">
            <v>ADVAN</v>
          </cell>
          <cell r="D309">
            <v>320337</v>
          </cell>
          <cell r="E309">
            <v>320337</v>
          </cell>
          <cell r="F309">
            <v>0</v>
          </cell>
        </row>
        <row r="310">
          <cell r="A310" t="str">
            <v>GBLCH</v>
          </cell>
          <cell r="B310" t="str">
            <v>BLUE CHIP OWNERS SERVICE SOCIETY LTD</v>
          </cell>
          <cell r="C310" t="str">
            <v>ADVAN</v>
          </cell>
          <cell r="D310">
            <v>8120</v>
          </cell>
          <cell r="E310">
            <v>8120</v>
          </cell>
          <cell r="F310">
            <v>0</v>
          </cell>
        </row>
        <row r="311">
          <cell r="A311" t="str">
            <v>GBOMB</v>
          </cell>
          <cell r="B311" t="str">
            <v>BOMBAY HOME COMFORTS</v>
          </cell>
          <cell r="C311" t="str">
            <v>ADVAN</v>
          </cell>
          <cell r="D311">
            <v>6900</v>
          </cell>
          <cell r="E311">
            <v>6900</v>
          </cell>
          <cell r="F311">
            <v>0</v>
          </cell>
        </row>
        <row r="312">
          <cell r="A312" t="str">
            <v>GNSEL</v>
          </cell>
          <cell r="B312" t="str">
            <v>BOMBAY STOCK EXCHANGE LIMITED</v>
          </cell>
          <cell r="C312" t="str">
            <v>ADVAN</v>
          </cell>
          <cell r="D312">
            <v>6376055</v>
          </cell>
          <cell r="E312">
            <v>47639</v>
          </cell>
          <cell r="F312">
            <v>6328416</v>
          </cell>
        </row>
        <row r="313">
          <cell r="A313" t="str">
            <v>GBOST</v>
          </cell>
          <cell r="B313" t="str">
            <v>BOMBAY STUDIO</v>
          </cell>
          <cell r="C313" t="str">
            <v>ADVAN</v>
          </cell>
          <cell r="D313">
            <v>300</v>
          </cell>
          <cell r="E313">
            <v>300</v>
          </cell>
          <cell r="F313">
            <v>0</v>
          </cell>
        </row>
        <row r="314">
          <cell r="A314" t="str">
            <v>GBRUN</v>
          </cell>
          <cell r="B314" t="str">
            <v>BRUNDAVAN ENTERPRISES</v>
          </cell>
          <cell r="C314" t="str">
            <v>ADVAN</v>
          </cell>
          <cell r="D314">
            <v>4564</v>
          </cell>
          <cell r="E314">
            <v>4564</v>
          </cell>
          <cell r="F314">
            <v>0</v>
          </cell>
        </row>
        <row r="315">
          <cell r="A315" t="str">
            <v>GCAPI</v>
          </cell>
          <cell r="B315" t="str">
            <v>CAPITAL SKY SHOP</v>
          </cell>
          <cell r="C315" t="str">
            <v>ADVAN</v>
          </cell>
          <cell r="D315">
            <v>955</v>
          </cell>
          <cell r="E315">
            <v>955</v>
          </cell>
          <cell r="F315">
            <v>0</v>
          </cell>
        </row>
        <row r="316">
          <cell r="A316" t="str">
            <v>GCAPT</v>
          </cell>
          <cell r="B316" t="str">
            <v>CAPITAL TRADERS</v>
          </cell>
          <cell r="C316" t="str">
            <v>ADVAN</v>
          </cell>
          <cell r="D316">
            <v>9918</v>
          </cell>
          <cell r="E316">
            <v>9918</v>
          </cell>
          <cell r="F316">
            <v>0</v>
          </cell>
        </row>
        <row r="317">
          <cell r="A317" t="str">
            <v>GCARE</v>
          </cell>
          <cell r="B317" t="str">
            <v>CARE ENTERPRISE</v>
          </cell>
          <cell r="C317" t="str">
            <v>ADVAN</v>
          </cell>
          <cell r="D317">
            <v>4280</v>
          </cell>
          <cell r="E317">
            <v>4280</v>
          </cell>
          <cell r="F317">
            <v>0</v>
          </cell>
        </row>
        <row r="318">
          <cell r="A318" t="str">
            <v>GLMRGN</v>
          </cell>
          <cell r="B318" t="str">
            <v>CASH MARGIN ACCOUNT</v>
          </cell>
          <cell r="C318" t="str">
            <v>ADVAN</v>
          </cell>
          <cell r="D318">
            <v>85863488638.149994</v>
          </cell>
          <cell r="E318">
            <v>85863493638.149994</v>
          </cell>
          <cell r="F318">
            <v>-5000</v>
          </cell>
        </row>
        <row r="319">
          <cell r="A319" t="str">
            <v>GCASY</v>
          </cell>
          <cell r="B319" t="str">
            <v>CAT SYSTEMS</v>
          </cell>
          <cell r="C319" t="str">
            <v>ADVAN</v>
          </cell>
          <cell r="D319">
            <v>3305</v>
          </cell>
          <cell r="E319">
            <v>3305</v>
          </cell>
          <cell r="F319">
            <v>0</v>
          </cell>
        </row>
        <row r="320">
          <cell r="A320" t="str">
            <v>GCEAR</v>
          </cell>
          <cell r="B320" t="str">
            <v>CEAR DRINKING WATER</v>
          </cell>
          <cell r="C320" t="str">
            <v>ADVAN</v>
          </cell>
          <cell r="D320">
            <v>2280</v>
          </cell>
          <cell r="E320">
            <v>2280</v>
          </cell>
          <cell r="F320">
            <v>0</v>
          </cell>
        </row>
        <row r="321">
          <cell r="A321" t="str">
            <v>GCEDA</v>
          </cell>
          <cell r="B321" t="str">
            <v>CEDAR ENGINEERS &amp; SYSTEM P. LTD.</v>
          </cell>
          <cell r="C321" t="str">
            <v>ADVAN</v>
          </cell>
          <cell r="D321">
            <v>77700</v>
          </cell>
          <cell r="E321">
            <v>77700</v>
          </cell>
          <cell r="F321">
            <v>0</v>
          </cell>
        </row>
        <row r="322">
          <cell r="A322" t="str">
            <v>GCENV</v>
          </cell>
          <cell r="B322" t="str">
            <v>CENVAT REFUND CLAIM</v>
          </cell>
          <cell r="C322" t="str">
            <v>ADVAN</v>
          </cell>
          <cell r="D322">
            <v>1690941</v>
          </cell>
          <cell r="E322">
            <v>1690941</v>
          </cell>
          <cell r="F322">
            <v>0</v>
          </cell>
        </row>
        <row r="323">
          <cell r="A323" t="str">
            <v>GCENVR</v>
          </cell>
          <cell r="B323" t="str">
            <v>CENVAT REFUND RECEIVABLE</v>
          </cell>
          <cell r="C323" t="str">
            <v>ADVAN</v>
          </cell>
          <cell r="D323">
            <v>1015167</v>
          </cell>
          <cell r="E323">
            <v>1015167</v>
          </cell>
          <cell r="F323">
            <v>0</v>
          </cell>
        </row>
        <row r="324">
          <cell r="A324" t="str">
            <v>GCESC</v>
          </cell>
          <cell r="B324" t="str">
            <v>CESC LIMITED</v>
          </cell>
          <cell r="C324" t="str">
            <v>ADVAN</v>
          </cell>
          <cell r="D324">
            <v>600000</v>
          </cell>
          <cell r="E324">
            <v>600000</v>
          </cell>
          <cell r="F324">
            <v>0</v>
          </cell>
        </row>
        <row r="325">
          <cell r="A325" t="str">
            <v>GCHAB</v>
          </cell>
          <cell r="B325" t="str">
            <v>CHANDRA BALASUBRAMANIAN</v>
          </cell>
          <cell r="C325" t="str">
            <v>ADVAN</v>
          </cell>
          <cell r="D325">
            <v>23001</v>
          </cell>
          <cell r="E325">
            <v>23001</v>
          </cell>
          <cell r="F325">
            <v>0</v>
          </cell>
        </row>
        <row r="326">
          <cell r="A326" t="str">
            <v>GCHELM</v>
          </cell>
          <cell r="B326" t="str">
            <v>CHELLAMANI &amp; CO.</v>
          </cell>
          <cell r="C326" t="str">
            <v>ADVAN</v>
          </cell>
          <cell r="D326">
            <v>2995</v>
          </cell>
          <cell r="E326">
            <v>2995</v>
          </cell>
          <cell r="F326">
            <v>0</v>
          </cell>
        </row>
        <row r="327">
          <cell r="A327" t="str">
            <v>GCHIT</v>
          </cell>
          <cell r="B327" t="str">
            <v>CHITRITA GOOPTU</v>
          </cell>
          <cell r="C327" t="str">
            <v>ADVAN</v>
          </cell>
          <cell r="D327">
            <v>18730</v>
          </cell>
          <cell r="E327">
            <v>18730</v>
          </cell>
          <cell r="F327">
            <v>0</v>
          </cell>
        </row>
        <row r="328">
          <cell r="A328" t="str">
            <v>GCHOC</v>
          </cell>
          <cell r="B328" t="str">
            <v>CHOICE FURNITURE HOUSE</v>
          </cell>
          <cell r="C328" t="str">
            <v>ADVAN</v>
          </cell>
          <cell r="D328">
            <v>5489.25</v>
          </cell>
          <cell r="E328">
            <v>5489.25</v>
          </cell>
          <cell r="F328">
            <v>0</v>
          </cell>
        </row>
        <row r="329">
          <cell r="A329" t="str">
            <v>GCHOI</v>
          </cell>
          <cell r="B329" t="str">
            <v>CHOICE SOLUTIONS LTD</v>
          </cell>
          <cell r="C329" t="str">
            <v>ADVAN</v>
          </cell>
          <cell r="D329">
            <v>4188</v>
          </cell>
          <cell r="E329">
            <v>4188</v>
          </cell>
          <cell r="F329">
            <v>0</v>
          </cell>
        </row>
        <row r="330">
          <cell r="A330" t="str">
            <v>GCHOP</v>
          </cell>
          <cell r="B330" t="str">
            <v>CHOPRA ELECTONICS</v>
          </cell>
          <cell r="C330" t="str">
            <v>ADVAN</v>
          </cell>
          <cell r="D330">
            <v>4080</v>
          </cell>
          <cell r="E330">
            <v>4080</v>
          </cell>
          <cell r="F330">
            <v>0</v>
          </cell>
        </row>
        <row r="331">
          <cell r="A331" t="str">
            <v>GCHOW</v>
          </cell>
          <cell r="B331" t="str">
            <v>CHOWDHURY ELECTRONICS</v>
          </cell>
          <cell r="C331" t="str">
            <v>ADVAN</v>
          </cell>
          <cell r="D331">
            <v>6500</v>
          </cell>
          <cell r="E331">
            <v>6500</v>
          </cell>
          <cell r="F331">
            <v>0</v>
          </cell>
        </row>
        <row r="332">
          <cell r="A332" t="str">
            <v>GCCOA</v>
          </cell>
          <cell r="B332" t="str">
            <v>CITY COLLEGE OF ACCOUNTS</v>
          </cell>
          <cell r="C332" t="str">
            <v>ADVAN</v>
          </cell>
          <cell r="D332">
            <v>64750</v>
          </cell>
          <cell r="E332">
            <v>64750</v>
          </cell>
          <cell r="F332">
            <v>0</v>
          </cell>
        </row>
        <row r="333">
          <cell r="A333" t="str">
            <v>GCITF</v>
          </cell>
          <cell r="B333" t="str">
            <v>CITY FURNITURE HOUSE</v>
          </cell>
          <cell r="C333" t="str">
            <v>ADVAN</v>
          </cell>
          <cell r="D333">
            <v>16714</v>
          </cell>
          <cell r="E333">
            <v>16714</v>
          </cell>
          <cell r="F333">
            <v>0</v>
          </cell>
        </row>
        <row r="334">
          <cell r="A334" t="str">
            <v>GCLIP</v>
          </cell>
          <cell r="B334" t="str">
            <v>CLIPSS ZONE</v>
          </cell>
          <cell r="C334" t="str">
            <v>ADVAN</v>
          </cell>
          <cell r="D334">
            <v>3250</v>
          </cell>
          <cell r="E334">
            <v>3250</v>
          </cell>
          <cell r="F334">
            <v>0</v>
          </cell>
        </row>
        <row r="335">
          <cell r="A335" t="str">
            <v>GCOPD</v>
          </cell>
          <cell r="B335" t="str">
            <v>COMPLETE ADVERTISING</v>
          </cell>
          <cell r="C335" t="str">
            <v>ADVAN</v>
          </cell>
          <cell r="D335">
            <v>1280</v>
          </cell>
          <cell r="E335">
            <v>1280</v>
          </cell>
          <cell r="F335">
            <v>0</v>
          </cell>
        </row>
        <row r="336">
          <cell r="A336" t="str">
            <v>GCCS1</v>
          </cell>
          <cell r="B336" t="str">
            <v>COMPLITE COMPUTER SOLUTION</v>
          </cell>
          <cell r="C336" t="str">
            <v>ADVAN</v>
          </cell>
          <cell r="D336">
            <v>4600</v>
          </cell>
          <cell r="E336">
            <v>4600</v>
          </cell>
          <cell r="F336">
            <v>0</v>
          </cell>
        </row>
        <row r="337">
          <cell r="A337" t="str">
            <v>GCOWI</v>
          </cell>
          <cell r="B337" t="str">
            <v>COMPU WIZARDS</v>
          </cell>
          <cell r="C337" t="str">
            <v>ADVAN</v>
          </cell>
          <cell r="D337">
            <v>16350</v>
          </cell>
          <cell r="E337">
            <v>16350</v>
          </cell>
          <cell r="F337">
            <v>0</v>
          </cell>
        </row>
        <row r="338">
          <cell r="A338" t="str">
            <v>GCATS</v>
          </cell>
          <cell r="B338" t="str">
            <v>COMPUTER AND TELECOM SYSTEMS</v>
          </cell>
          <cell r="C338" t="str">
            <v>ADVAN</v>
          </cell>
          <cell r="D338">
            <v>2850</v>
          </cell>
          <cell r="E338">
            <v>2850</v>
          </cell>
          <cell r="F338">
            <v>0</v>
          </cell>
        </row>
        <row r="339">
          <cell r="A339" t="str">
            <v>GCOBZ</v>
          </cell>
          <cell r="B339" t="str">
            <v>COMPUTER BAZAR</v>
          </cell>
          <cell r="C339" t="str">
            <v>ADVAN</v>
          </cell>
          <cell r="D339">
            <v>266400</v>
          </cell>
          <cell r="E339">
            <v>266400</v>
          </cell>
          <cell r="F339">
            <v>0</v>
          </cell>
        </row>
        <row r="340">
          <cell r="A340" t="str">
            <v>GCOCL</v>
          </cell>
          <cell r="B340" t="str">
            <v>COMPUTER CLINIC</v>
          </cell>
          <cell r="C340" t="str">
            <v>ADVAN</v>
          </cell>
          <cell r="D340">
            <v>2860</v>
          </cell>
          <cell r="E340">
            <v>2860</v>
          </cell>
          <cell r="F340">
            <v>0</v>
          </cell>
        </row>
        <row r="341">
          <cell r="A341" t="str">
            <v>GCSHO</v>
          </cell>
          <cell r="B341" t="str">
            <v>COMPUTER SHOPPEE INDIA</v>
          </cell>
          <cell r="C341" t="str">
            <v>ADVAN</v>
          </cell>
          <cell r="D341">
            <v>68300</v>
          </cell>
          <cell r="E341">
            <v>68300</v>
          </cell>
          <cell r="F341">
            <v>0</v>
          </cell>
        </row>
        <row r="342">
          <cell r="A342" t="str">
            <v>GCOSY</v>
          </cell>
          <cell r="B342" t="str">
            <v>COMPUTER SYSTEM &amp; SERVICES</v>
          </cell>
          <cell r="C342" t="str">
            <v>ADVAN</v>
          </cell>
          <cell r="D342">
            <v>14200</v>
          </cell>
          <cell r="E342">
            <v>14200</v>
          </cell>
          <cell r="F342">
            <v>0</v>
          </cell>
        </row>
        <row r="343">
          <cell r="A343" t="str">
            <v>GCOMT</v>
          </cell>
          <cell r="B343" t="str">
            <v>COMPUTER WORLD</v>
          </cell>
          <cell r="C343" t="str">
            <v>ADVAN</v>
          </cell>
          <cell r="D343">
            <v>29500</v>
          </cell>
          <cell r="E343">
            <v>29500</v>
          </cell>
          <cell r="F343">
            <v>0</v>
          </cell>
        </row>
        <row r="344">
          <cell r="A344" t="str">
            <v>GCONC</v>
          </cell>
          <cell r="B344" t="str">
            <v>CONCEPT INTERIOR</v>
          </cell>
          <cell r="C344" t="str">
            <v>ADVAN</v>
          </cell>
          <cell r="D344">
            <v>2370</v>
          </cell>
          <cell r="E344">
            <v>2370</v>
          </cell>
          <cell r="F344">
            <v>0</v>
          </cell>
        </row>
        <row r="345">
          <cell r="A345" t="str">
            <v>GCOSC</v>
          </cell>
          <cell r="B345" t="str">
            <v>COPY SCAN</v>
          </cell>
          <cell r="C345" t="str">
            <v>ADVAN</v>
          </cell>
          <cell r="D345">
            <v>300</v>
          </cell>
          <cell r="E345">
            <v>300</v>
          </cell>
          <cell r="F345">
            <v>0</v>
          </cell>
        </row>
        <row r="346">
          <cell r="A346" t="str">
            <v>GCOSM</v>
          </cell>
          <cell r="B346" t="str">
            <v>COSMO DIES &amp; COMPONENTS PVT LTD</v>
          </cell>
          <cell r="C346" t="str">
            <v>ADVAN</v>
          </cell>
          <cell r="D346">
            <v>14300</v>
          </cell>
          <cell r="E346">
            <v>14300</v>
          </cell>
          <cell r="F346">
            <v>0</v>
          </cell>
        </row>
        <row r="347">
          <cell r="A347" t="str">
            <v>GCREC</v>
          </cell>
          <cell r="B347" t="str">
            <v>CREATION COMPUTERS</v>
          </cell>
          <cell r="C347" t="str">
            <v>ADVAN</v>
          </cell>
          <cell r="D347">
            <v>12178</v>
          </cell>
          <cell r="E347">
            <v>12178</v>
          </cell>
          <cell r="F347">
            <v>0</v>
          </cell>
        </row>
        <row r="348">
          <cell r="A348" t="str">
            <v>GCRCO</v>
          </cell>
          <cell r="B348" t="str">
            <v>CREATIVE COMPUTERS</v>
          </cell>
          <cell r="C348" t="str">
            <v>ADVAN</v>
          </cell>
          <cell r="D348">
            <v>42650</v>
          </cell>
          <cell r="E348">
            <v>42650</v>
          </cell>
          <cell r="F348">
            <v>0</v>
          </cell>
        </row>
        <row r="349">
          <cell r="A349" t="str">
            <v>GCROW</v>
          </cell>
          <cell r="B349" t="str">
            <v>CROWN WORLDWIDE MOVERS PVT LTD</v>
          </cell>
          <cell r="C349" t="str">
            <v>ADVAN</v>
          </cell>
          <cell r="D349">
            <v>105000</v>
          </cell>
          <cell r="E349">
            <v>105000</v>
          </cell>
          <cell r="F349">
            <v>0</v>
          </cell>
        </row>
        <row r="350">
          <cell r="A350" t="str">
            <v>GCSIT</v>
          </cell>
          <cell r="B350" t="str">
            <v>CSI TELECOM P. LTD.</v>
          </cell>
          <cell r="C350" t="str">
            <v>ADVAN</v>
          </cell>
          <cell r="D350">
            <v>19500</v>
          </cell>
          <cell r="E350">
            <v>19500</v>
          </cell>
          <cell r="F350">
            <v>0</v>
          </cell>
        </row>
        <row r="351">
          <cell r="A351" t="str">
            <v>GCYBE</v>
          </cell>
          <cell r="B351" t="str">
            <v>CYBER DEN</v>
          </cell>
          <cell r="C351" t="str">
            <v>ADVAN</v>
          </cell>
          <cell r="D351">
            <v>60887</v>
          </cell>
          <cell r="E351">
            <v>60887</v>
          </cell>
          <cell r="F351">
            <v>0</v>
          </cell>
        </row>
        <row r="352">
          <cell r="A352" t="str">
            <v>GCYBV</v>
          </cell>
          <cell r="B352" t="str">
            <v>CYBER VALLEY</v>
          </cell>
          <cell r="C352" t="str">
            <v>ADVAN</v>
          </cell>
          <cell r="D352">
            <v>3450</v>
          </cell>
          <cell r="E352">
            <v>3450</v>
          </cell>
          <cell r="F352">
            <v>0</v>
          </cell>
        </row>
        <row r="353">
          <cell r="A353" t="str">
            <v>GCYRU</v>
          </cell>
          <cell r="B353" t="str">
            <v>CYRUS BHARUCHA</v>
          </cell>
          <cell r="C353" t="str">
            <v>ADVAN</v>
          </cell>
          <cell r="D353">
            <v>9748</v>
          </cell>
          <cell r="E353">
            <v>9748</v>
          </cell>
          <cell r="F353">
            <v>0</v>
          </cell>
        </row>
        <row r="354">
          <cell r="A354" t="str">
            <v>GDINT</v>
          </cell>
          <cell r="B354" t="str">
            <v>D INTERIORS</v>
          </cell>
          <cell r="C354" t="str">
            <v>ADVAN</v>
          </cell>
          <cell r="D354">
            <v>110338</v>
          </cell>
          <cell r="E354">
            <v>110338</v>
          </cell>
          <cell r="F354">
            <v>0</v>
          </cell>
        </row>
        <row r="355">
          <cell r="A355" t="str">
            <v>GE0055A</v>
          </cell>
          <cell r="B355" t="str">
            <v>D MAT CHARGES RECEIVABLE</v>
          </cell>
          <cell r="C355" t="str">
            <v>ADVAN</v>
          </cell>
          <cell r="D355">
            <v>35680.620000000003</v>
          </cell>
          <cell r="E355">
            <v>35680.620000000003</v>
          </cell>
          <cell r="F355">
            <v>0</v>
          </cell>
        </row>
        <row r="356">
          <cell r="A356" t="str">
            <v>GA0419</v>
          </cell>
          <cell r="B356" t="str">
            <v>D.M.ENTERPRISES P. LTD.</v>
          </cell>
          <cell r="C356" t="str">
            <v>ADVAN</v>
          </cell>
          <cell r="D356">
            <v>22200</v>
          </cell>
          <cell r="E356">
            <v>22200</v>
          </cell>
          <cell r="F356">
            <v>0</v>
          </cell>
        </row>
        <row r="357">
          <cell r="A357" t="str">
            <v>GADPR</v>
          </cell>
          <cell r="B357" t="str">
            <v>D.P INCOME RECEIVABLE</v>
          </cell>
          <cell r="C357" t="str">
            <v>ADVAN</v>
          </cell>
          <cell r="D357">
            <v>14830889.67</v>
          </cell>
          <cell r="E357">
            <v>14830889.67</v>
          </cell>
          <cell r="F357">
            <v>0</v>
          </cell>
        </row>
        <row r="358">
          <cell r="A358" t="str">
            <v>GDAMC</v>
          </cell>
          <cell r="B358" t="str">
            <v>DAMC</v>
          </cell>
          <cell r="C358" t="str">
            <v>ADVAN</v>
          </cell>
          <cell r="D358">
            <v>2100</v>
          </cell>
          <cell r="E358">
            <v>2100</v>
          </cell>
          <cell r="F358">
            <v>0</v>
          </cell>
        </row>
        <row r="359">
          <cell r="A359" t="str">
            <v>GDART</v>
          </cell>
          <cell r="B359" t="str">
            <v>DART COMMUNICATIONS PVT LTD</v>
          </cell>
          <cell r="C359" t="str">
            <v>ADVAN</v>
          </cell>
          <cell r="D359">
            <v>1134</v>
          </cell>
          <cell r="E359">
            <v>1134</v>
          </cell>
          <cell r="F359">
            <v>0</v>
          </cell>
        </row>
        <row r="360">
          <cell r="A360" t="str">
            <v>GDATA</v>
          </cell>
          <cell r="B360" t="str">
            <v>DATA HARD INFO. SYSTEMS PVT LTD</v>
          </cell>
          <cell r="C360" t="str">
            <v>ADVAN</v>
          </cell>
          <cell r="D360">
            <v>57417</v>
          </cell>
          <cell r="E360">
            <v>57417</v>
          </cell>
          <cell r="F360">
            <v>0</v>
          </cell>
        </row>
        <row r="361">
          <cell r="A361" t="str">
            <v>GADATA</v>
          </cell>
          <cell r="B361" t="str">
            <v>DATA STRUCTURE</v>
          </cell>
          <cell r="C361" t="str">
            <v>ADVAN</v>
          </cell>
          <cell r="D361">
            <v>66600</v>
          </cell>
          <cell r="E361">
            <v>66600</v>
          </cell>
          <cell r="F361">
            <v>0</v>
          </cell>
        </row>
        <row r="362">
          <cell r="A362" t="str">
            <v>GDDON</v>
          </cell>
          <cell r="B362" t="str">
            <v>DDON MUSIC CENTRE</v>
          </cell>
          <cell r="C362" t="str">
            <v>ADVAN</v>
          </cell>
          <cell r="D362">
            <v>1500</v>
          </cell>
          <cell r="E362">
            <v>1500</v>
          </cell>
          <cell r="F362">
            <v>0</v>
          </cell>
        </row>
        <row r="363">
          <cell r="A363" t="str">
            <v>GDECU</v>
          </cell>
          <cell r="B363" t="str">
            <v>DE CURVES</v>
          </cell>
          <cell r="C363" t="str">
            <v>ADVAN</v>
          </cell>
          <cell r="D363">
            <v>100000</v>
          </cell>
          <cell r="E363">
            <v>100000</v>
          </cell>
          <cell r="F363">
            <v>0</v>
          </cell>
        </row>
        <row r="364">
          <cell r="A364" t="str">
            <v>GDEEN</v>
          </cell>
          <cell r="B364" t="str">
            <v>DEEN M SHAIKH</v>
          </cell>
          <cell r="C364" t="str">
            <v>ADVAN</v>
          </cell>
          <cell r="D364">
            <v>96777</v>
          </cell>
          <cell r="E364">
            <v>96777</v>
          </cell>
          <cell r="F364">
            <v>0</v>
          </cell>
        </row>
        <row r="365">
          <cell r="A365" t="str">
            <v>GDEJU</v>
          </cell>
          <cell r="B365" t="str">
            <v>DEEPA S. JURIANI</v>
          </cell>
          <cell r="C365" t="str">
            <v>ADVAN</v>
          </cell>
          <cell r="D365">
            <v>45307</v>
          </cell>
          <cell r="E365">
            <v>45307</v>
          </cell>
          <cell r="F365">
            <v>0</v>
          </cell>
        </row>
        <row r="366">
          <cell r="A366" t="str">
            <v>GDETE</v>
          </cell>
          <cell r="B366" t="str">
            <v>DEEPAK  TEA VENDOR</v>
          </cell>
          <cell r="C366" t="str">
            <v>ADVAN</v>
          </cell>
          <cell r="D366">
            <v>26530</v>
          </cell>
          <cell r="E366">
            <v>26530</v>
          </cell>
          <cell r="F366">
            <v>0</v>
          </cell>
        </row>
        <row r="367">
          <cell r="A367" t="str">
            <v>GDEBT</v>
          </cell>
          <cell r="B367" t="str">
            <v>DEEPAK BATRA</v>
          </cell>
          <cell r="C367" t="str">
            <v>ADVAN</v>
          </cell>
          <cell r="D367">
            <v>2000</v>
          </cell>
          <cell r="E367">
            <v>2000</v>
          </cell>
          <cell r="F367">
            <v>0</v>
          </cell>
        </row>
        <row r="368">
          <cell r="A368" t="str">
            <v>GDEST</v>
          </cell>
          <cell r="B368" t="str">
            <v>DEEPAK STATIONERY</v>
          </cell>
          <cell r="C368" t="str">
            <v>ADVAN</v>
          </cell>
          <cell r="D368">
            <v>1057</v>
          </cell>
          <cell r="E368">
            <v>1057</v>
          </cell>
          <cell r="F368">
            <v>0</v>
          </cell>
        </row>
        <row r="369">
          <cell r="A369" t="str">
            <v>GDENI</v>
          </cell>
          <cell r="B369" t="str">
            <v>DENIS MALCOM &amp; CO.</v>
          </cell>
          <cell r="C369" t="str">
            <v>ADVAN</v>
          </cell>
          <cell r="D369">
            <v>187740</v>
          </cell>
          <cell r="E369">
            <v>187740</v>
          </cell>
          <cell r="F369">
            <v>0</v>
          </cell>
        </row>
        <row r="370">
          <cell r="A370" t="str">
            <v>GDESFR</v>
          </cell>
          <cell r="B370" t="str">
            <v>DESIGN FURNITURE WORKS</v>
          </cell>
          <cell r="C370" t="str">
            <v>ADVAN</v>
          </cell>
          <cell r="D370">
            <v>11760</v>
          </cell>
          <cell r="E370">
            <v>11760</v>
          </cell>
          <cell r="F370">
            <v>0</v>
          </cell>
        </row>
        <row r="371">
          <cell r="A371" t="str">
            <v>GDESPE</v>
          </cell>
          <cell r="B371" t="str">
            <v>DESIGN PERCEPTIONS</v>
          </cell>
          <cell r="C371" t="str">
            <v>ADVAN</v>
          </cell>
          <cell r="D371">
            <v>101000</v>
          </cell>
          <cell r="E371">
            <v>101000</v>
          </cell>
          <cell r="F371">
            <v>0</v>
          </cell>
        </row>
        <row r="372">
          <cell r="A372" t="str">
            <v>GDESP</v>
          </cell>
          <cell r="B372" t="str">
            <v>DESIGN SPHERE</v>
          </cell>
          <cell r="C372" t="str">
            <v>ADVAN</v>
          </cell>
          <cell r="D372">
            <v>834768</v>
          </cell>
          <cell r="E372">
            <v>834768</v>
          </cell>
          <cell r="F372">
            <v>0</v>
          </cell>
        </row>
        <row r="373">
          <cell r="A373" t="str">
            <v>GDSTU</v>
          </cell>
          <cell r="B373" t="str">
            <v>DESIGN STUDIO</v>
          </cell>
          <cell r="C373" t="str">
            <v>ADVAN</v>
          </cell>
          <cell r="D373">
            <v>309297</v>
          </cell>
          <cell r="E373">
            <v>309297</v>
          </cell>
          <cell r="F373">
            <v>0</v>
          </cell>
        </row>
        <row r="374">
          <cell r="A374" t="str">
            <v>GDESIG</v>
          </cell>
          <cell r="B374" t="str">
            <v>DESIGNO</v>
          </cell>
          <cell r="C374" t="str">
            <v>ADVAN</v>
          </cell>
          <cell r="D374">
            <v>9563</v>
          </cell>
          <cell r="E374">
            <v>9563</v>
          </cell>
          <cell r="F374">
            <v>0</v>
          </cell>
        </row>
        <row r="375">
          <cell r="A375" t="str">
            <v>GDEVJ</v>
          </cell>
          <cell r="B375" t="str">
            <v>DEVIBAI T. JURANI</v>
          </cell>
          <cell r="C375" t="str">
            <v>ADVAN</v>
          </cell>
          <cell r="D375">
            <v>63807</v>
          </cell>
          <cell r="E375">
            <v>63807</v>
          </cell>
          <cell r="F375">
            <v>0</v>
          </cell>
        </row>
        <row r="376">
          <cell r="A376" t="str">
            <v>GDEVP</v>
          </cell>
          <cell r="B376" t="str">
            <v>DEVPRASAD RAMPRASAD</v>
          </cell>
          <cell r="C376" t="str">
            <v>ADVAN</v>
          </cell>
          <cell r="D376">
            <v>3500</v>
          </cell>
          <cell r="E376">
            <v>3500</v>
          </cell>
          <cell r="F376">
            <v>0</v>
          </cell>
        </row>
        <row r="377">
          <cell r="A377" t="str">
            <v>GDECY</v>
          </cell>
          <cell r="B377" t="str">
            <v>DEVYANI DEEPAK KANKAL</v>
          </cell>
          <cell r="C377" t="str">
            <v>ADVAN</v>
          </cell>
          <cell r="D377">
            <v>55600</v>
          </cell>
          <cell r="E377">
            <v>55600</v>
          </cell>
          <cell r="F377">
            <v>0</v>
          </cell>
        </row>
        <row r="378">
          <cell r="A378" t="str">
            <v>GDHIN</v>
          </cell>
          <cell r="B378" t="str">
            <v>DHINGRA SAFE WORKS</v>
          </cell>
          <cell r="C378" t="str">
            <v>ADVAN</v>
          </cell>
          <cell r="D378">
            <v>47435</v>
          </cell>
          <cell r="E378">
            <v>47435</v>
          </cell>
          <cell r="F378">
            <v>0</v>
          </cell>
        </row>
        <row r="379">
          <cell r="A379" t="str">
            <v>GDPKH</v>
          </cell>
          <cell r="B379" t="str">
            <v>DHIREN P.KHODA</v>
          </cell>
          <cell r="C379" t="str">
            <v>ADVAN</v>
          </cell>
          <cell r="D379">
            <v>100000</v>
          </cell>
          <cell r="E379">
            <v>100000</v>
          </cell>
          <cell r="F379">
            <v>0</v>
          </cell>
        </row>
        <row r="380">
          <cell r="A380" t="str">
            <v>GDHRT</v>
          </cell>
          <cell r="B380" t="str">
            <v>DHRUV TECHNO SEATS</v>
          </cell>
          <cell r="C380" t="str">
            <v>ADVAN</v>
          </cell>
          <cell r="D380">
            <v>23875</v>
          </cell>
          <cell r="E380">
            <v>23875</v>
          </cell>
          <cell r="F380">
            <v>0</v>
          </cell>
        </row>
        <row r="381">
          <cell r="A381" t="str">
            <v>GDIIN</v>
          </cell>
          <cell r="B381" t="str">
            <v>DIGITEK INFOTECH PVT. LTD.</v>
          </cell>
          <cell r="C381" t="str">
            <v>ADVAN</v>
          </cell>
          <cell r="D381">
            <v>25300</v>
          </cell>
          <cell r="E381">
            <v>25300</v>
          </cell>
          <cell r="F381">
            <v>0</v>
          </cell>
        </row>
        <row r="382">
          <cell r="A382" t="str">
            <v>GDITR</v>
          </cell>
          <cell r="B382" t="str">
            <v>DIGITRON</v>
          </cell>
          <cell r="C382" t="str">
            <v>ADVAN</v>
          </cell>
          <cell r="D382">
            <v>2630</v>
          </cell>
          <cell r="E382">
            <v>2630</v>
          </cell>
          <cell r="F382">
            <v>0</v>
          </cell>
        </row>
        <row r="383">
          <cell r="A383" t="str">
            <v>GDIKS</v>
          </cell>
          <cell r="B383" t="str">
            <v>DIKSHA COMPUTERS</v>
          </cell>
          <cell r="C383" t="str">
            <v>ADVAN</v>
          </cell>
          <cell r="D383">
            <v>900</v>
          </cell>
          <cell r="E383">
            <v>900</v>
          </cell>
          <cell r="F383">
            <v>0</v>
          </cell>
        </row>
        <row r="384">
          <cell r="A384" t="str">
            <v>GDIMA</v>
          </cell>
          <cell r="B384" t="str">
            <v>DILIP MALAIYA</v>
          </cell>
          <cell r="C384" t="str">
            <v>ADVAN</v>
          </cell>
          <cell r="D384">
            <v>54912</v>
          </cell>
          <cell r="E384">
            <v>54912</v>
          </cell>
          <cell r="F384">
            <v>0</v>
          </cell>
        </row>
        <row r="385">
          <cell r="A385" t="str">
            <v>GDINS</v>
          </cell>
          <cell r="B385" t="str">
            <v>DINESH</v>
          </cell>
          <cell r="C385" t="str">
            <v>ADVAN</v>
          </cell>
          <cell r="D385">
            <v>2313</v>
          </cell>
          <cell r="E385">
            <v>2313</v>
          </cell>
          <cell r="F385">
            <v>0</v>
          </cell>
        </row>
        <row r="386">
          <cell r="A386" t="str">
            <v>GDIKU</v>
          </cell>
          <cell r="B386" t="str">
            <v>DINESHKUMAR DHOOT</v>
          </cell>
          <cell r="C386" t="str">
            <v>ADVAN</v>
          </cell>
          <cell r="D386">
            <v>17590</v>
          </cell>
          <cell r="E386">
            <v>17590</v>
          </cell>
          <cell r="F386">
            <v>0</v>
          </cell>
        </row>
        <row r="387">
          <cell r="A387" t="str">
            <v>GDSHA</v>
          </cell>
          <cell r="B387" t="str">
            <v>DIPAK V. SHAH</v>
          </cell>
          <cell r="C387" t="str">
            <v>ADVAN</v>
          </cell>
          <cell r="D387">
            <v>10000</v>
          </cell>
          <cell r="E387">
            <v>10000</v>
          </cell>
          <cell r="F387">
            <v>0</v>
          </cell>
        </row>
        <row r="388">
          <cell r="A388" t="str">
            <v>GL007</v>
          </cell>
          <cell r="B388" t="str">
            <v>DIVYESH B SHAH LOAN A/C</v>
          </cell>
          <cell r="C388" t="str">
            <v>ADVAN</v>
          </cell>
          <cell r="D388">
            <v>88892</v>
          </cell>
          <cell r="E388">
            <v>88892</v>
          </cell>
          <cell r="F388">
            <v>0</v>
          </cell>
        </row>
        <row r="389">
          <cell r="A389" t="str">
            <v>GDRSR</v>
          </cell>
          <cell r="B389" t="str">
            <v>DREAMZ SERVICES</v>
          </cell>
          <cell r="C389" t="str">
            <v>ADVAN</v>
          </cell>
          <cell r="D389">
            <v>1438</v>
          </cell>
          <cell r="E389">
            <v>1438</v>
          </cell>
          <cell r="F389">
            <v>0</v>
          </cell>
        </row>
        <row r="390">
          <cell r="A390" t="str">
            <v>GDENT</v>
          </cell>
          <cell r="B390" t="str">
            <v>DURGA ENTERPRISE</v>
          </cell>
          <cell r="C390" t="str">
            <v>ADVAN</v>
          </cell>
          <cell r="D390">
            <v>13613</v>
          </cell>
          <cell r="E390">
            <v>13613</v>
          </cell>
          <cell r="F390">
            <v>0</v>
          </cell>
        </row>
        <row r="391">
          <cell r="A391" t="str">
            <v>GDUGA</v>
          </cell>
          <cell r="B391" t="str">
            <v>DURGA STATIONERS</v>
          </cell>
          <cell r="C391" t="str">
            <v>ADVAN</v>
          </cell>
          <cell r="D391">
            <v>2833</v>
          </cell>
          <cell r="E391">
            <v>2833</v>
          </cell>
          <cell r="F391">
            <v>0</v>
          </cell>
        </row>
        <row r="392">
          <cell r="A392" t="str">
            <v>GDUTR</v>
          </cell>
          <cell r="B392" t="str">
            <v>DURGA TRAVELS</v>
          </cell>
          <cell r="C392" t="str">
            <v>ADVAN</v>
          </cell>
          <cell r="D392">
            <v>124</v>
          </cell>
          <cell r="E392">
            <v>124</v>
          </cell>
          <cell r="F392">
            <v>0</v>
          </cell>
        </row>
        <row r="393">
          <cell r="A393" t="str">
            <v>GI04004</v>
          </cell>
          <cell r="B393" t="str">
            <v>DYNAMIC WEB TECNOLOGIES (P) LTD</v>
          </cell>
          <cell r="C393" t="str">
            <v>ADVAN</v>
          </cell>
          <cell r="D393">
            <v>347000</v>
          </cell>
          <cell r="E393">
            <v>347000</v>
          </cell>
          <cell r="F393">
            <v>0</v>
          </cell>
        </row>
        <row r="394">
          <cell r="A394" t="str">
            <v>GEWOR</v>
          </cell>
          <cell r="B394" t="str">
            <v>E WORLD</v>
          </cell>
          <cell r="C394" t="str">
            <v>ADVAN</v>
          </cell>
          <cell r="D394">
            <v>21300</v>
          </cell>
          <cell r="E394">
            <v>21300</v>
          </cell>
          <cell r="F394">
            <v>0</v>
          </cell>
        </row>
        <row r="395">
          <cell r="A395" t="str">
            <v>GECOR</v>
          </cell>
          <cell r="B395" t="str">
            <v>ECONOMIC REFRIGERATION</v>
          </cell>
          <cell r="C395" t="str">
            <v>ADVAN</v>
          </cell>
          <cell r="D395">
            <v>10300</v>
          </cell>
          <cell r="E395">
            <v>10300</v>
          </cell>
          <cell r="F395">
            <v>0</v>
          </cell>
        </row>
        <row r="396">
          <cell r="A396" t="str">
            <v>GELEM</v>
          </cell>
          <cell r="B396" t="str">
            <v>ELECTRONIC EMPORIUM</v>
          </cell>
          <cell r="C396" t="str">
            <v>ADVAN</v>
          </cell>
          <cell r="D396">
            <v>7350</v>
          </cell>
          <cell r="E396">
            <v>7350</v>
          </cell>
          <cell r="F396">
            <v>0</v>
          </cell>
        </row>
        <row r="397">
          <cell r="A397" t="str">
            <v>GELCT</v>
          </cell>
          <cell r="B397" t="str">
            <v>ELECTRONICS ENGINER</v>
          </cell>
          <cell r="C397" t="str">
            <v>ADVAN</v>
          </cell>
          <cell r="D397">
            <v>3238.8</v>
          </cell>
          <cell r="E397">
            <v>3238.8</v>
          </cell>
          <cell r="F397">
            <v>0</v>
          </cell>
        </row>
        <row r="398">
          <cell r="A398" t="str">
            <v>GENAR</v>
          </cell>
          <cell r="B398" t="str">
            <v>ENAR TRADE &amp; SERVICES</v>
          </cell>
          <cell r="C398" t="str">
            <v>ADVAN</v>
          </cell>
          <cell r="D398">
            <v>55000</v>
          </cell>
          <cell r="E398">
            <v>55000</v>
          </cell>
          <cell r="F398">
            <v>0</v>
          </cell>
        </row>
        <row r="399">
          <cell r="A399" t="str">
            <v>GENDL</v>
          </cell>
          <cell r="B399" t="str">
            <v>ENDLESS IDEAS</v>
          </cell>
          <cell r="C399" t="str">
            <v>ADVAN</v>
          </cell>
          <cell r="D399">
            <v>318524</v>
          </cell>
          <cell r="E399">
            <v>318524</v>
          </cell>
          <cell r="F399">
            <v>0</v>
          </cell>
        </row>
        <row r="400">
          <cell r="A400" t="str">
            <v>GENHA</v>
          </cell>
          <cell r="B400" t="str">
            <v>ENHANCE SYSTEMS PRIVATE LIMITED</v>
          </cell>
          <cell r="C400" t="str">
            <v>ADVAN</v>
          </cell>
          <cell r="D400">
            <v>140000</v>
          </cell>
          <cell r="E400">
            <v>140000</v>
          </cell>
          <cell r="F400">
            <v>0</v>
          </cell>
        </row>
        <row r="401">
          <cell r="A401" t="str">
            <v>GENSP</v>
          </cell>
          <cell r="B401" t="str">
            <v>ENSPIRE</v>
          </cell>
          <cell r="C401" t="str">
            <v>ADVAN</v>
          </cell>
          <cell r="D401">
            <v>11113</v>
          </cell>
          <cell r="E401">
            <v>11113</v>
          </cell>
          <cell r="F401">
            <v>0</v>
          </cell>
        </row>
        <row r="402">
          <cell r="A402" t="str">
            <v>GESBE</v>
          </cell>
          <cell r="B402" t="str">
            <v>ESBEE INFOSYS</v>
          </cell>
          <cell r="C402" t="str">
            <v>ADVAN</v>
          </cell>
          <cell r="D402">
            <v>7413</v>
          </cell>
          <cell r="E402">
            <v>7413</v>
          </cell>
          <cell r="F402">
            <v>0</v>
          </cell>
        </row>
        <row r="403">
          <cell r="A403" t="str">
            <v>GESKA</v>
          </cell>
          <cell r="B403" t="str">
            <v>ESKAY ENTERPRISES</v>
          </cell>
          <cell r="C403" t="str">
            <v>ADVAN</v>
          </cell>
          <cell r="D403">
            <v>8421</v>
          </cell>
          <cell r="E403">
            <v>8421</v>
          </cell>
          <cell r="F403">
            <v>0</v>
          </cell>
        </row>
        <row r="404">
          <cell r="A404" t="str">
            <v>GESPE</v>
          </cell>
          <cell r="B404" t="str">
            <v>ESPEE XEROX</v>
          </cell>
          <cell r="C404" t="str">
            <v>ADVAN</v>
          </cell>
          <cell r="D404">
            <v>5662.5</v>
          </cell>
          <cell r="E404">
            <v>5662.5</v>
          </cell>
          <cell r="F404">
            <v>0</v>
          </cell>
        </row>
        <row r="405">
          <cell r="A405" t="str">
            <v>GEXIN</v>
          </cell>
          <cell r="B405" t="str">
            <v>EXIN EXTERIOR</v>
          </cell>
          <cell r="C405" t="str">
            <v>ADVAN</v>
          </cell>
          <cell r="D405">
            <v>121250</v>
          </cell>
          <cell r="E405">
            <v>121250</v>
          </cell>
          <cell r="F405">
            <v>0</v>
          </cell>
        </row>
        <row r="406">
          <cell r="A406" t="str">
            <v>GEXFC</v>
          </cell>
          <cell r="B406" t="str">
            <v>EXPRESS FLIGHT COURIER</v>
          </cell>
          <cell r="C406" t="str">
            <v>ADVAN</v>
          </cell>
          <cell r="D406">
            <v>4498.2299999999996</v>
          </cell>
          <cell r="E406">
            <v>4498.2299999999996</v>
          </cell>
          <cell r="F406">
            <v>0</v>
          </cell>
        </row>
        <row r="407">
          <cell r="A407" t="str">
            <v>GFSSA</v>
          </cell>
          <cell r="B407" t="str">
            <v>F S SAGGU</v>
          </cell>
          <cell r="C407" t="str">
            <v>ADVAN</v>
          </cell>
          <cell r="D407">
            <v>14980</v>
          </cell>
          <cell r="E407">
            <v>14980</v>
          </cell>
          <cell r="F407">
            <v>0</v>
          </cell>
        </row>
        <row r="408">
          <cell r="A408" t="str">
            <v>GFAIR</v>
          </cell>
          <cell r="B408" t="str">
            <v>FAIR DEAL ENTERPRISE</v>
          </cell>
          <cell r="C408" t="str">
            <v>ADVAN</v>
          </cell>
          <cell r="D408">
            <v>150000.5</v>
          </cell>
          <cell r="E408">
            <v>150000.5</v>
          </cell>
          <cell r="F408">
            <v>0</v>
          </cell>
        </row>
        <row r="409">
          <cell r="A409" t="str">
            <v>GFARD</v>
          </cell>
          <cell r="B409" t="str">
            <v>FARIDA  M SHAIKH</v>
          </cell>
          <cell r="C409" t="str">
            <v>ADVAN</v>
          </cell>
          <cell r="D409">
            <v>96777</v>
          </cell>
          <cell r="E409">
            <v>96777</v>
          </cell>
          <cell r="F409">
            <v>0</v>
          </cell>
        </row>
        <row r="410">
          <cell r="A410" t="str">
            <v>GFASTC</v>
          </cell>
          <cell r="B410" t="str">
            <v>FAST TRACK COMPUTER</v>
          </cell>
          <cell r="C410" t="str">
            <v>ADVAN</v>
          </cell>
          <cell r="D410">
            <v>15012</v>
          </cell>
          <cell r="E410">
            <v>15012</v>
          </cell>
          <cell r="F410">
            <v>0</v>
          </cell>
        </row>
        <row r="411">
          <cell r="A411" t="str">
            <v>GFAXO</v>
          </cell>
          <cell r="B411" t="str">
            <v>FAX0FINE COMMUNICATION (INDIA) LTD.</v>
          </cell>
          <cell r="C411" t="str">
            <v>ADVAN</v>
          </cell>
          <cell r="D411">
            <v>40342</v>
          </cell>
          <cell r="E411">
            <v>40342</v>
          </cell>
          <cell r="F411">
            <v>0</v>
          </cell>
        </row>
        <row r="412">
          <cell r="A412" t="str">
            <v>GFINE</v>
          </cell>
          <cell r="B412" t="str">
            <v>FINE PRINT</v>
          </cell>
          <cell r="C412" t="str">
            <v>ADVAN</v>
          </cell>
          <cell r="D412">
            <v>4258</v>
          </cell>
          <cell r="E412">
            <v>4258</v>
          </cell>
          <cell r="F412">
            <v>0</v>
          </cell>
        </row>
        <row r="413">
          <cell r="A413" t="str">
            <v>GFLYK</v>
          </cell>
          <cell r="B413" t="str">
            <v>FLYKING COURIER SERVICE</v>
          </cell>
          <cell r="C413" t="str">
            <v>ADVAN</v>
          </cell>
          <cell r="D413">
            <v>99</v>
          </cell>
          <cell r="E413">
            <v>99</v>
          </cell>
          <cell r="F413">
            <v>0</v>
          </cell>
        </row>
        <row r="414">
          <cell r="A414" t="str">
            <v>GFORT</v>
          </cell>
          <cell r="B414" t="str">
            <v>FORTE GRAND</v>
          </cell>
          <cell r="C414" t="str">
            <v>ADVAN</v>
          </cell>
          <cell r="D414">
            <v>25000</v>
          </cell>
          <cell r="E414">
            <v>25000</v>
          </cell>
          <cell r="F414">
            <v>0</v>
          </cell>
        </row>
        <row r="415">
          <cell r="A415" t="str">
            <v>GAFP</v>
          </cell>
          <cell r="B415" t="str">
            <v>FREEZECO (P) LTD.</v>
          </cell>
          <cell r="C415" t="str">
            <v>ADVAN</v>
          </cell>
          <cell r="D415">
            <v>107343</v>
          </cell>
          <cell r="E415">
            <v>107343</v>
          </cell>
          <cell r="F415">
            <v>0</v>
          </cell>
        </row>
        <row r="416">
          <cell r="A416" t="str">
            <v>GFURC</v>
          </cell>
          <cell r="B416" t="str">
            <v>FUTURE COMP</v>
          </cell>
          <cell r="C416" t="str">
            <v>ADVAN</v>
          </cell>
          <cell r="D416">
            <v>7300</v>
          </cell>
          <cell r="E416">
            <v>7300</v>
          </cell>
          <cell r="F416">
            <v>0</v>
          </cell>
        </row>
        <row r="417">
          <cell r="A417" t="str">
            <v>GGSBA</v>
          </cell>
          <cell r="B417" t="str">
            <v>G.S. BASSON &amp; ASSOCIATES</v>
          </cell>
          <cell r="C417" t="str">
            <v>ADVAN</v>
          </cell>
          <cell r="D417">
            <v>48052</v>
          </cell>
          <cell r="E417">
            <v>48052</v>
          </cell>
          <cell r="F417">
            <v>0</v>
          </cell>
        </row>
        <row r="418">
          <cell r="A418" t="str">
            <v>GGSHO</v>
          </cell>
          <cell r="B418" t="str">
            <v>G.S. HOUSING PRIVATE LIMITED</v>
          </cell>
          <cell r="C418" t="str">
            <v>ADVAN</v>
          </cell>
          <cell r="D418">
            <v>358695</v>
          </cell>
          <cell r="E418">
            <v>358695</v>
          </cell>
          <cell r="F418">
            <v>0</v>
          </cell>
        </row>
        <row r="419">
          <cell r="A419" t="str">
            <v>GL12</v>
          </cell>
          <cell r="B419" t="str">
            <v>GAGAN BANGA LOAN A/C</v>
          </cell>
          <cell r="C419" t="str">
            <v>ADVAN</v>
          </cell>
          <cell r="D419">
            <v>150000</v>
          </cell>
          <cell r="E419">
            <v>150000</v>
          </cell>
          <cell r="F419">
            <v>0</v>
          </cell>
        </row>
        <row r="420">
          <cell r="A420" t="str">
            <v>GGAGA</v>
          </cell>
          <cell r="B420" t="str">
            <v>GAGRATS - ADVOCATES</v>
          </cell>
          <cell r="C420" t="str">
            <v>ADVAN</v>
          </cell>
          <cell r="D420">
            <v>155000</v>
          </cell>
          <cell r="E420">
            <v>155000</v>
          </cell>
          <cell r="F420">
            <v>0</v>
          </cell>
        </row>
        <row r="421">
          <cell r="A421" t="str">
            <v>GA00112</v>
          </cell>
          <cell r="B421" t="str">
            <v>GAJENDRA NAGPAL LOAN A/C</v>
          </cell>
          <cell r="C421" t="str">
            <v>ADVAN</v>
          </cell>
          <cell r="D421">
            <v>266670</v>
          </cell>
          <cell r="E421">
            <v>266670</v>
          </cell>
          <cell r="F421">
            <v>0</v>
          </cell>
        </row>
        <row r="422">
          <cell r="A422" t="str">
            <v>GGALE</v>
          </cell>
          <cell r="B422" t="str">
            <v>GALA ELECTRICALS PVT.LTD</v>
          </cell>
          <cell r="C422" t="str">
            <v>ADVAN</v>
          </cell>
          <cell r="D422">
            <v>2220</v>
          </cell>
          <cell r="E422">
            <v>2220</v>
          </cell>
          <cell r="F422">
            <v>0</v>
          </cell>
        </row>
        <row r="423">
          <cell r="A423" t="str">
            <v>GGALX</v>
          </cell>
          <cell r="B423" t="str">
            <v>GALAXY</v>
          </cell>
          <cell r="C423" t="str">
            <v>ADVAN</v>
          </cell>
          <cell r="D423">
            <v>29250</v>
          </cell>
          <cell r="E423">
            <v>29250</v>
          </cell>
          <cell r="F423">
            <v>0</v>
          </cell>
        </row>
        <row r="424">
          <cell r="A424" t="str">
            <v>GGALC</v>
          </cell>
          <cell r="B424" t="str">
            <v>GALAXY COMMUNICATION</v>
          </cell>
          <cell r="C424" t="str">
            <v>ADVAN</v>
          </cell>
          <cell r="D424">
            <v>4050</v>
          </cell>
          <cell r="E424">
            <v>4050</v>
          </cell>
          <cell r="F424">
            <v>0</v>
          </cell>
        </row>
        <row r="425">
          <cell r="A425" t="str">
            <v>GGLXY</v>
          </cell>
          <cell r="B425" t="str">
            <v>GALAXY INFOCOM PVT. LTD.</v>
          </cell>
          <cell r="C425" t="str">
            <v>ADVAN</v>
          </cell>
          <cell r="D425">
            <v>169150</v>
          </cell>
          <cell r="E425">
            <v>169150</v>
          </cell>
          <cell r="F425">
            <v>0</v>
          </cell>
        </row>
        <row r="426">
          <cell r="A426" t="str">
            <v>GGANA</v>
          </cell>
          <cell r="B426" t="str">
            <v>GANESH ANANDRAO JAGDALE</v>
          </cell>
          <cell r="C426" t="str">
            <v>ADVAN</v>
          </cell>
          <cell r="D426">
            <v>55080</v>
          </cell>
          <cell r="E426">
            <v>55080</v>
          </cell>
          <cell r="F426">
            <v>0</v>
          </cell>
        </row>
        <row r="427">
          <cell r="A427" t="str">
            <v>GGANE</v>
          </cell>
          <cell r="B427" t="str">
            <v>GANESH ELECTRONICS</v>
          </cell>
          <cell r="C427" t="str">
            <v>ADVAN</v>
          </cell>
          <cell r="D427">
            <v>6699</v>
          </cell>
          <cell r="E427">
            <v>6699</v>
          </cell>
          <cell r="F427">
            <v>0</v>
          </cell>
        </row>
        <row r="428">
          <cell r="A428" t="str">
            <v>GGANG</v>
          </cell>
          <cell r="B428" t="str">
            <v>GANGA CONSTRUCTION</v>
          </cell>
          <cell r="C428" t="str">
            <v>ADVAN</v>
          </cell>
          <cell r="D428">
            <v>5910</v>
          </cell>
          <cell r="E428">
            <v>5910</v>
          </cell>
          <cell r="F428">
            <v>0</v>
          </cell>
        </row>
        <row r="429">
          <cell r="A429" t="str">
            <v>GGRAG</v>
          </cell>
          <cell r="B429" t="str">
            <v>GARG ELECTRICALS</v>
          </cell>
          <cell r="C429" t="str">
            <v>ADVAN</v>
          </cell>
          <cell r="D429">
            <v>3125</v>
          </cell>
          <cell r="E429">
            <v>3125</v>
          </cell>
          <cell r="F429">
            <v>0</v>
          </cell>
        </row>
        <row r="430">
          <cell r="A430" t="str">
            <v>GGMOH</v>
          </cell>
          <cell r="B430" t="str">
            <v>GAURI MOHAN</v>
          </cell>
          <cell r="C430" t="str">
            <v>ADVAN</v>
          </cell>
          <cell r="D430">
            <v>62760</v>
          </cell>
          <cell r="E430">
            <v>62760</v>
          </cell>
          <cell r="F430">
            <v>0</v>
          </cell>
        </row>
        <row r="431">
          <cell r="A431" t="str">
            <v>GGAUI</v>
          </cell>
          <cell r="B431" t="str">
            <v>GAURI MUKUL GUPTA</v>
          </cell>
          <cell r="C431" t="str">
            <v>ADVAN</v>
          </cell>
          <cell r="D431">
            <v>20000</v>
          </cell>
          <cell r="E431">
            <v>20000</v>
          </cell>
          <cell r="F431">
            <v>0</v>
          </cell>
        </row>
        <row r="432">
          <cell r="A432" t="str">
            <v>GGAYA</v>
          </cell>
          <cell r="B432" t="str">
            <v>GAYATRI DEVI DHOOMSING CHAUDHARI</v>
          </cell>
          <cell r="C432" t="str">
            <v>ADVAN</v>
          </cell>
          <cell r="D432">
            <v>29592</v>
          </cell>
          <cell r="E432">
            <v>29592</v>
          </cell>
          <cell r="F432">
            <v>0</v>
          </cell>
        </row>
        <row r="433">
          <cell r="A433" t="str">
            <v>GGETP</v>
          </cell>
          <cell r="B433" t="str">
            <v>GEETAJALI PUBLICITY</v>
          </cell>
          <cell r="C433" t="str">
            <v>ADVAN</v>
          </cell>
          <cell r="D433">
            <v>11640</v>
          </cell>
          <cell r="E433">
            <v>11640</v>
          </cell>
          <cell r="F433">
            <v>0</v>
          </cell>
        </row>
        <row r="434">
          <cell r="A434" t="str">
            <v>GGEMC</v>
          </cell>
          <cell r="B434" t="str">
            <v>GEM CARRIERS</v>
          </cell>
          <cell r="C434" t="str">
            <v>ADVAN</v>
          </cell>
          <cell r="D434">
            <v>1572</v>
          </cell>
          <cell r="E434">
            <v>1572</v>
          </cell>
          <cell r="F434">
            <v>0</v>
          </cell>
        </row>
        <row r="435">
          <cell r="A435" t="str">
            <v>GGEMF</v>
          </cell>
          <cell r="B435" t="str">
            <v>GEM FURNITURE</v>
          </cell>
          <cell r="C435" t="str">
            <v>ADVAN</v>
          </cell>
          <cell r="D435">
            <v>6310</v>
          </cell>
          <cell r="E435">
            <v>6310</v>
          </cell>
          <cell r="F435">
            <v>0</v>
          </cell>
        </row>
        <row r="436">
          <cell r="A436" t="str">
            <v>GGIFT</v>
          </cell>
          <cell r="B436" t="str">
            <v>GIFT HOUSE</v>
          </cell>
          <cell r="C436" t="str">
            <v>ADVAN</v>
          </cell>
          <cell r="D436">
            <v>12463</v>
          </cell>
          <cell r="E436">
            <v>12463</v>
          </cell>
          <cell r="F436">
            <v>0</v>
          </cell>
        </row>
        <row r="437">
          <cell r="A437" t="str">
            <v>GGITA</v>
          </cell>
          <cell r="B437" t="str">
            <v>GITANJALI ENGINEER</v>
          </cell>
          <cell r="C437" t="str">
            <v>ADVAN</v>
          </cell>
          <cell r="D437">
            <v>107892</v>
          </cell>
          <cell r="E437">
            <v>107892</v>
          </cell>
          <cell r="F437">
            <v>0</v>
          </cell>
        </row>
        <row r="438">
          <cell r="A438" t="str">
            <v>GGECO</v>
          </cell>
          <cell r="B438" t="str">
            <v>GLOBE ELECTRIC COMPANY</v>
          </cell>
          <cell r="C438" t="str">
            <v>ADVAN</v>
          </cell>
          <cell r="D438">
            <v>12500</v>
          </cell>
          <cell r="E438">
            <v>12500</v>
          </cell>
          <cell r="F438">
            <v>0</v>
          </cell>
        </row>
        <row r="439">
          <cell r="A439" t="str">
            <v>GGMTR</v>
          </cell>
          <cell r="B439" t="str">
            <v>GM TRADING COMPANY</v>
          </cell>
          <cell r="C439" t="str">
            <v>ADVAN</v>
          </cell>
          <cell r="D439">
            <v>18000</v>
          </cell>
          <cell r="E439">
            <v>18000</v>
          </cell>
          <cell r="F439">
            <v>0</v>
          </cell>
        </row>
        <row r="440">
          <cell r="A440" t="str">
            <v>GGOEC</v>
          </cell>
          <cell r="B440" t="str">
            <v>GOEL TRADING CO.</v>
          </cell>
          <cell r="C440" t="str">
            <v>ADVAN</v>
          </cell>
          <cell r="D440">
            <v>2015</v>
          </cell>
          <cell r="E440">
            <v>2015</v>
          </cell>
          <cell r="F440">
            <v>0</v>
          </cell>
        </row>
        <row r="441">
          <cell r="A441" t="str">
            <v>GGOTV</v>
          </cell>
          <cell r="B441" t="str">
            <v>GOEL TV CENTRE</v>
          </cell>
          <cell r="C441" t="str">
            <v>ADVAN</v>
          </cell>
          <cell r="D441">
            <v>6375</v>
          </cell>
          <cell r="E441">
            <v>6375</v>
          </cell>
          <cell r="F441">
            <v>0</v>
          </cell>
        </row>
        <row r="442">
          <cell r="A442" t="str">
            <v>GGOGA</v>
          </cell>
          <cell r="B442" t="str">
            <v>GOGATE SALES (NASIK) PVT LTD</v>
          </cell>
          <cell r="C442" t="str">
            <v>ADVAN</v>
          </cell>
          <cell r="D442">
            <v>11500</v>
          </cell>
          <cell r="E442">
            <v>11500</v>
          </cell>
          <cell r="F442">
            <v>0</v>
          </cell>
        </row>
        <row r="443">
          <cell r="A443" t="str">
            <v>GGOVI</v>
          </cell>
          <cell r="B443" t="str">
            <v>GOVIND PRAJAPATI</v>
          </cell>
          <cell r="C443" t="str">
            <v>ADVAN</v>
          </cell>
          <cell r="D443">
            <v>6880</v>
          </cell>
          <cell r="E443">
            <v>6880</v>
          </cell>
          <cell r="F443">
            <v>0</v>
          </cell>
        </row>
        <row r="444">
          <cell r="A444" t="str">
            <v>GGOYA</v>
          </cell>
          <cell r="B444" t="str">
            <v>GOYAL STEEL FURNITURE</v>
          </cell>
          <cell r="C444" t="str">
            <v>ADVAN</v>
          </cell>
          <cell r="D444">
            <v>70110</v>
          </cell>
          <cell r="E444">
            <v>70110</v>
          </cell>
          <cell r="F444">
            <v>0</v>
          </cell>
        </row>
        <row r="445">
          <cell r="A445" t="str">
            <v>GGMH</v>
          </cell>
          <cell r="B445" t="str">
            <v>GRAND MAGRATH HOTEL</v>
          </cell>
          <cell r="C445" t="str">
            <v>ADVAN</v>
          </cell>
          <cell r="D445">
            <v>306</v>
          </cell>
          <cell r="E445">
            <v>306</v>
          </cell>
          <cell r="F445">
            <v>0</v>
          </cell>
        </row>
        <row r="446">
          <cell r="A446" t="str">
            <v>GGRAF</v>
          </cell>
          <cell r="B446" t="str">
            <v>GRAPHIC CREATIONS</v>
          </cell>
          <cell r="C446" t="str">
            <v>ADVAN</v>
          </cell>
          <cell r="D446">
            <v>277109</v>
          </cell>
          <cell r="E446">
            <v>277109</v>
          </cell>
          <cell r="F446">
            <v>0</v>
          </cell>
        </row>
        <row r="447">
          <cell r="A447" t="str">
            <v>GGSCO</v>
          </cell>
          <cell r="B447" t="str">
            <v>GREENWOOD SALES CORPORATION</v>
          </cell>
          <cell r="C447" t="str">
            <v>ADVAN</v>
          </cell>
          <cell r="D447">
            <v>48760</v>
          </cell>
          <cell r="E447">
            <v>48760</v>
          </cell>
          <cell r="F447">
            <v>0</v>
          </cell>
        </row>
        <row r="448">
          <cell r="A448" t="str">
            <v>GGRIP</v>
          </cell>
          <cell r="B448" t="str">
            <v>GRIP AGENCIES</v>
          </cell>
          <cell r="C448" t="str">
            <v>ADVAN</v>
          </cell>
          <cell r="D448">
            <v>3022</v>
          </cell>
          <cell r="E448">
            <v>3022</v>
          </cell>
          <cell r="F448">
            <v>0</v>
          </cell>
        </row>
        <row r="449">
          <cell r="A449" t="str">
            <v>GGUDD</v>
          </cell>
          <cell r="B449" t="str">
            <v>GUDDU</v>
          </cell>
          <cell r="C449" t="str">
            <v>ADVAN</v>
          </cell>
          <cell r="D449">
            <v>5200</v>
          </cell>
          <cell r="E449">
            <v>5200</v>
          </cell>
          <cell r="F449">
            <v>0</v>
          </cell>
        </row>
        <row r="450">
          <cell r="A450" t="str">
            <v>GGUHE</v>
          </cell>
          <cell r="B450" t="str">
            <v>GULABCHAND HEMRAJ KATARIYA</v>
          </cell>
          <cell r="C450" t="str">
            <v>ADVAN</v>
          </cell>
          <cell r="D450">
            <v>11268</v>
          </cell>
          <cell r="E450">
            <v>11268</v>
          </cell>
          <cell r="F450">
            <v>0</v>
          </cell>
        </row>
        <row r="451">
          <cell r="A451" t="str">
            <v>GGULA</v>
          </cell>
          <cell r="B451" t="str">
            <v>GULATI ELECTRONICS</v>
          </cell>
          <cell r="C451" t="str">
            <v>ADVAN</v>
          </cell>
          <cell r="D451">
            <v>25500</v>
          </cell>
          <cell r="E451">
            <v>25500</v>
          </cell>
          <cell r="F451">
            <v>0</v>
          </cell>
        </row>
        <row r="452">
          <cell r="A452" t="str">
            <v>GGUPS</v>
          </cell>
          <cell r="B452" t="str">
            <v>GUPTA SONS</v>
          </cell>
          <cell r="C452" t="str">
            <v>ADVAN</v>
          </cell>
          <cell r="D452">
            <v>7033</v>
          </cell>
          <cell r="E452">
            <v>7033</v>
          </cell>
          <cell r="F452">
            <v>0</v>
          </cell>
        </row>
        <row r="453">
          <cell r="A453" t="str">
            <v>GHAMI</v>
          </cell>
          <cell r="B453" t="str">
            <v>HAMILTON &amp; COMPANY LTD.</v>
          </cell>
          <cell r="C453" t="str">
            <v>ADVAN</v>
          </cell>
          <cell r="D453">
            <v>3381770</v>
          </cell>
          <cell r="E453">
            <v>3381770</v>
          </cell>
          <cell r="F453">
            <v>0</v>
          </cell>
        </row>
        <row r="454">
          <cell r="A454" t="str">
            <v>GHARA</v>
          </cell>
          <cell r="B454" t="str">
            <v>HARIHARAN RAJARAM</v>
          </cell>
          <cell r="C454" t="str">
            <v>ADVAN</v>
          </cell>
          <cell r="D454">
            <v>92203</v>
          </cell>
          <cell r="E454">
            <v>92203</v>
          </cell>
          <cell r="F454">
            <v>0</v>
          </cell>
        </row>
        <row r="455">
          <cell r="A455" t="str">
            <v>GHANA</v>
          </cell>
          <cell r="B455" t="str">
            <v>HARISH NAGPAL</v>
          </cell>
          <cell r="C455" t="str">
            <v>ADVAN</v>
          </cell>
          <cell r="D455">
            <v>3655</v>
          </cell>
          <cell r="E455">
            <v>3655</v>
          </cell>
          <cell r="F455">
            <v>0</v>
          </cell>
        </row>
        <row r="456">
          <cell r="A456" t="str">
            <v>GHARN</v>
          </cell>
          <cell r="B456" t="str">
            <v>HARNOOR TELECOMMUNICTIONS</v>
          </cell>
          <cell r="C456" t="str">
            <v>ADVAN</v>
          </cell>
          <cell r="D456">
            <v>3450</v>
          </cell>
          <cell r="E456">
            <v>3450</v>
          </cell>
          <cell r="F456">
            <v>0</v>
          </cell>
        </row>
        <row r="457">
          <cell r="A457" t="str">
            <v>GHASU</v>
          </cell>
          <cell r="B457" t="str">
            <v>HASUDHA FLYWAY PVT. LTD</v>
          </cell>
          <cell r="C457" t="str">
            <v>ADVAN</v>
          </cell>
          <cell r="D457">
            <v>673</v>
          </cell>
          <cell r="E457">
            <v>673</v>
          </cell>
          <cell r="F457">
            <v>0</v>
          </cell>
        </row>
        <row r="458">
          <cell r="A458" t="str">
            <v>GHEMA</v>
          </cell>
          <cell r="B458" t="str">
            <v>HEMANT TULSIDAS SURATWALA</v>
          </cell>
          <cell r="C458" t="str">
            <v>ADVAN</v>
          </cell>
          <cell r="D458">
            <v>74919</v>
          </cell>
          <cell r="E458">
            <v>74919</v>
          </cell>
          <cell r="F458">
            <v>0</v>
          </cell>
        </row>
        <row r="459">
          <cell r="A459" t="str">
            <v>GHIFI</v>
          </cell>
          <cell r="B459" t="str">
            <v>HI-FI</v>
          </cell>
          <cell r="C459" t="str">
            <v>ADVAN</v>
          </cell>
          <cell r="D459">
            <v>2889</v>
          </cell>
          <cell r="E459">
            <v>2889</v>
          </cell>
          <cell r="F459">
            <v>0</v>
          </cell>
        </row>
        <row r="460">
          <cell r="A460" t="str">
            <v>GHIMA</v>
          </cell>
          <cell r="B460" t="str">
            <v>HIMANSHU A SHAH</v>
          </cell>
          <cell r="C460" t="str">
            <v>ADVAN</v>
          </cell>
          <cell r="D460">
            <v>58000</v>
          </cell>
          <cell r="E460">
            <v>58000</v>
          </cell>
          <cell r="F460">
            <v>0</v>
          </cell>
        </row>
        <row r="461">
          <cell r="A461" t="str">
            <v>GHIMM</v>
          </cell>
          <cell r="B461" t="str">
            <v>HIMMATBHAI RAJABHAI PATEL</v>
          </cell>
          <cell r="C461" t="str">
            <v>ADVAN</v>
          </cell>
          <cell r="D461">
            <v>37995</v>
          </cell>
          <cell r="E461">
            <v>37995</v>
          </cell>
          <cell r="F461">
            <v>0</v>
          </cell>
        </row>
        <row r="462">
          <cell r="A462" t="str">
            <v>GAHAC</v>
          </cell>
          <cell r="B462" t="str">
            <v>HIMSHILA AIR CONDITION</v>
          </cell>
          <cell r="C462" t="str">
            <v>ADVAN</v>
          </cell>
          <cell r="D462">
            <v>137150</v>
          </cell>
          <cell r="E462">
            <v>137150</v>
          </cell>
          <cell r="F462">
            <v>0</v>
          </cell>
        </row>
        <row r="463">
          <cell r="A463" t="str">
            <v>GHISA</v>
          </cell>
          <cell r="B463" t="str">
            <v>HITESH SANGVI</v>
          </cell>
          <cell r="C463" t="str">
            <v>ADVAN</v>
          </cell>
          <cell r="D463">
            <v>46414</v>
          </cell>
          <cell r="E463">
            <v>46414</v>
          </cell>
          <cell r="F463">
            <v>0</v>
          </cell>
        </row>
        <row r="464">
          <cell r="A464" t="str">
            <v>GHOLL</v>
          </cell>
          <cell r="B464" t="str">
            <v>HOLLASONS TRADING COMPANY (P) LTD.</v>
          </cell>
          <cell r="C464" t="str">
            <v>ADVAN</v>
          </cell>
          <cell r="D464">
            <v>3536</v>
          </cell>
          <cell r="E464">
            <v>3536</v>
          </cell>
          <cell r="F464">
            <v>0</v>
          </cell>
        </row>
        <row r="465">
          <cell r="A465" t="str">
            <v>GHOMH</v>
          </cell>
          <cell r="B465" t="str">
            <v>HOME &amp; HYGIENE</v>
          </cell>
          <cell r="C465" t="str">
            <v>ADVAN</v>
          </cell>
          <cell r="D465">
            <v>6890</v>
          </cell>
          <cell r="E465">
            <v>6890</v>
          </cell>
          <cell r="F465">
            <v>0</v>
          </cell>
        </row>
        <row r="466">
          <cell r="A466" t="str">
            <v>GHOLI</v>
          </cell>
          <cell r="B466" t="str">
            <v>HOME LIFE ASSOCIATES</v>
          </cell>
          <cell r="C466" t="str">
            <v>ADVAN</v>
          </cell>
          <cell r="D466">
            <v>19278</v>
          </cell>
          <cell r="E466">
            <v>19278</v>
          </cell>
          <cell r="F466">
            <v>0</v>
          </cell>
        </row>
        <row r="467">
          <cell r="A467" t="str">
            <v>GHORIZ</v>
          </cell>
          <cell r="B467" t="str">
            <v>HORIZON</v>
          </cell>
          <cell r="C467" t="str">
            <v>ADVAN</v>
          </cell>
          <cell r="D467">
            <v>151</v>
          </cell>
          <cell r="E467">
            <v>151</v>
          </cell>
          <cell r="F467">
            <v>0</v>
          </cell>
        </row>
        <row r="468">
          <cell r="A468" t="str">
            <v>GHORI</v>
          </cell>
          <cell r="B468" t="str">
            <v>HORIZON SYSTEMS &amp; COMMUNICATION PVT. LTD.</v>
          </cell>
          <cell r="C468" t="str">
            <v>ADVAN</v>
          </cell>
          <cell r="D468">
            <v>20700</v>
          </cell>
          <cell r="E468">
            <v>20700</v>
          </cell>
          <cell r="F468">
            <v>0</v>
          </cell>
        </row>
        <row r="469">
          <cell r="A469" t="str">
            <v>GHAZC</v>
          </cell>
          <cell r="B469" t="str">
            <v>HORIZONS COURIER SERVICES NASIK</v>
          </cell>
          <cell r="C469" t="str">
            <v>ADVAN</v>
          </cell>
          <cell r="D469">
            <v>661</v>
          </cell>
          <cell r="E469">
            <v>661</v>
          </cell>
          <cell r="F469">
            <v>0</v>
          </cell>
        </row>
        <row r="470">
          <cell r="A470" t="str">
            <v>GHOTL</v>
          </cell>
          <cell r="B470" t="str">
            <v>HOTEL HILTOP</v>
          </cell>
          <cell r="C470" t="str">
            <v>ADVAN</v>
          </cell>
          <cell r="D470">
            <v>47862</v>
          </cell>
          <cell r="E470">
            <v>47862</v>
          </cell>
          <cell r="F470">
            <v>0</v>
          </cell>
        </row>
        <row r="471">
          <cell r="A471" t="str">
            <v>GPRID</v>
          </cell>
          <cell r="B471" t="str">
            <v>HOTEL PRIDE</v>
          </cell>
          <cell r="C471" t="str">
            <v>ADVAN</v>
          </cell>
          <cell r="D471">
            <v>6612</v>
          </cell>
          <cell r="E471">
            <v>6612</v>
          </cell>
          <cell r="F471">
            <v>0</v>
          </cell>
        </row>
        <row r="472">
          <cell r="A472" t="str">
            <v>GILGI</v>
          </cell>
          <cell r="B472" t="str">
            <v>ICICI LOMBARD GENERAL INSURANCE CO.LTD</v>
          </cell>
          <cell r="C472" t="str">
            <v>ADVAN</v>
          </cell>
          <cell r="D472">
            <v>163688</v>
          </cell>
          <cell r="E472">
            <v>163688</v>
          </cell>
          <cell r="F472">
            <v>0</v>
          </cell>
        </row>
        <row r="473">
          <cell r="A473" t="str">
            <v>GIDEAS</v>
          </cell>
          <cell r="B473" t="str">
            <v>IDEAS GALORE</v>
          </cell>
          <cell r="C473" t="str">
            <v>ADVAN</v>
          </cell>
          <cell r="D473">
            <v>23388</v>
          </cell>
          <cell r="E473">
            <v>23388</v>
          </cell>
          <cell r="F473">
            <v>0</v>
          </cell>
        </row>
        <row r="474">
          <cell r="A474" t="str">
            <v>GILFSL</v>
          </cell>
          <cell r="B474" t="str">
            <v>IL&amp;FS (LOAN)</v>
          </cell>
          <cell r="C474" t="str">
            <v>ADVAN</v>
          </cell>
          <cell r="D474">
            <v>815913</v>
          </cell>
          <cell r="E474">
            <v>815913</v>
          </cell>
          <cell r="F474">
            <v>0</v>
          </cell>
        </row>
        <row r="475">
          <cell r="A475" t="str">
            <v>GILSL</v>
          </cell>
          <cell r="B475" t="str">
            <v>IL&amp;FS (SECURITY LENDINGA/C)</v>
          </cell>
          <cell r="C475" t="str">
            <v>ADVAN</v>
          </cell>
          <cell r="D475">
            <v>12113368.300000001</v>
          </cell>
          <cell r="E475">
            <v>12113368.300000001</v>
          </cell>
          <cell r="F475">
            <v>0</v>
          </cell>
        </row>
        <row r="476">
          <cell r="A476" t="str">
            <v>GIMPC</v>
          </cell>
          <cell r="B476" t="str">
            <v>IMPEL COMPUTER</v>
          </cell>
          <cell r="C476" t="str">
            <v>ADVAN</v>
          </cell>
          <cell r="D476">
            <v>24750</v>
          </cell>
          <cell r="E476">
            <v>24750</v>
          </cell>
          <cell r="F476">
            <v>0</v>
          </cell>
        </row>
        <row r="477">
          <cell r="A477" t="str">
            <v>GIMPU</v>
          </cell>
          <cell r="B477" t="str">
            <v>IMPULZ SYSTEMS</v>
          </cell>
          <cell r="C477" t="str">
            <v>ADVAN</v>
          </cell>
          <cell r="D477">
            <v>105300</v>
          </cell>
          <cell r="E477">
            <v>105300</v>
          </cell>
          <cell r="F477">
            <v>0</v>
          </cell>
        </row>
        <row r="478">
          <cell r="A478" t="str">
            <v>GAIFST</v>
          </cell>
          <cell r="B478" t="str">
            <v>INDEMINIFICATION MONEY - IFSL</v>
          </cell>
          <cell r="C478" t="str">
            <v>ADVAN</v>
          </cell>
          <cell r="D478">
            <v>129200000</v>
          </cell>
          <cell r="E478">
            <v>129200000</v>
          </cell>
          <cell r="F478">
            <v>0</v>
          </cell>
        </row>
        <row r="479">
          <cell r="A479" t="str">
            <v>GINELEC</v>
          </cell>
          <cell r="B479" t="str">
            <v>INDIA ELECTROMECH</v>
          </cell>
          <cell r="C479" t="str">
            <v>ADVAN</v>
          </cell>
          <cell r="D479">
            <v>25953</v>
          </cell>
          <cell r="E479">
            <v>25953</v>
          </cell>
          <cell r="F479">
            <v>0</v>
          </cell>
        </row>
        <row r="480">
          <cell r="A480" t="str">
            <v>GINDO</v>
          </cell>
          <cell r="B480" t="str">
            <v>INDIA RADIO &amp; ELECTRIC CORP.</v>
          </cell>
          <cell r="C480" t="str">
            <v>ADVAN</v>
          </cell>
          <cell r="D480">
            <v>12900</v>
          </cell>
          <cell r="E480">
            <v>12900</v>
          </cell>
          <cell r="F480">
            <v>0</v>
          </cell>
        </row>
        <row r="481">
          <cell r="A481" t="str">
            <v>GICPL</v>
          </cell>
          <cell r="B481" t="str">
            <v>INDIABULLS COMMODITIES P. LTD.</v>
          </cell>
          <cell r="C481" t="str">
            <v>ADVAN</v>
          </cell>
          <cell r="D481">
            <v>384292</v>
          </cell>
          <cell r="E481">
            <v>384292</v>
          </cell>
          <cell r="F481">
            <v>0</v>
          </cell>
        </row>
        <row r="482">
          <cell r="A482" t="str">
            <v>GICSL</v>
          </cell>
          <cell r="B482" t="str">
            <v>INDIABULLS CREDIT SERVICES LIMITED</v>
          </cell>
          <cell r="C482" t="str">
            <v>ADVAN</v>
          </cell>
          <cell r="D482">
            <v>133153363</v>
          </cell>
          <cell r="E482">
            <v>133153363</v>
          </cell>
          <cell r="F482">
            <v>0</v>
          </cell>
        </row>
        <row r="483">
          <cell r="A483" t="str">
            <v>GAIEL</v>
          </cell>
          <cell r="B483" t="str">
            <v>INDIABULLS ESTATE LIMITED</v>
          </cell>
          <cell r="C483" t="str">
            <v>ADVAN</v>
          </cell>
          <cell r="D483">
            <v>500000</v>
          </cell>
          <cell r="E483">
            <v>500000</v>
          </cell>
          <cell r="F483">
            <v>0</v>
          </cell>
        </row>
        <row r="484">
          <cell r="A484" t="str">
            <v>GAIFCPL</v>
          </cell>
          <cell r="B484" t="str">
            <v>INDIABULLS FINANCE COMPANY PVT LIMITED</v>
          </cell>
          <cell r="C484" t="str">
            <v>ADVAN</v>
          </cell>
          <cell r="D484">
            <v>2822510400</v>
          </cell>
          <cell r="E484">
            <v>2822510400</v>
          </cell>
          <cell r="F484">
            <v>0</v>
          </cell>
        </row>
        <row r="485">
          <cell r="A485" t="str">
            <v>GAIFSL</v>
          </cell>
          <cell r="B485" t="str">
            <v>INDIABULLS FINANCIAL SERVICES LTD.</v>
          </cell>
          <cell r="C485" t="str">
            <v>ADVAN</v>
          </cell>
          <cell r="D485">
            <v>161513732</v>
          </cell>
          <cell r="E485">
            <v>161513732</v>
          </cell>
          <cell r="F485">
            <v>0</v>
          </cell>
        </row>
        <row r="486">
          <cell r="A486" t="str">
            <v>GINPC</v>
          </cell>
          <cell r="B486" t="str">
            <v>INDIAN POWER CONTROLS</v>
          </cell>
          <cell r="C486" t="str">
            <v>ADVAN</v>
          </cell>
          <cell r="D486">
            <v>33800</v>
          </cell>
          <cell r="E486">
            <v>33800</v>
          </cell>
          <cell r="F486">
            <v>0</v>
          </cell>
        </row>
        <row r="487">
          <cell r="A487" t="str">
            <v>GINDIT</v>
          </cell>
          <cell r="B487" t="str">
            <v>INDITRAVEL PRIVATE LIMITED</v>
          </cell>
          <cell r="C487" t="str">
            <v>ADVAN</v>
          </cell>
          <cell r="D487">
            <v>247</v>
          </cell>
          <cell r="E487">
            <v>247</v>
          </cell>
          <cell r="F487">
            <v>0</v>
          </cell>
        </row>
        <row r="488">
          <cell r="A488" t="str">
            <v>GINFU</v>
          </cell>
          <cell r="B488" t="str">
            <v>INDORA FURNITURE WORKS</v>
          </cell>
          <cell r="C488" t="str">
            <v>ADVAN</v>
          </cell>
          <cell r="D488">
            <v>32750</v>
          </cell>
          <cell r="E488">
            <v>32750</v>
          </cell>
          <cell r="F488">
            <v>0</v>
          </cell>
        </row>
        <row r="489">
          <cell r="A489" t="str">
            <v>GINDU</v>
          </cell>
          <cell r="B489" t="str">
            <v>INDUSTRIAL EQUIPMENTS COMPANY</v>
          </cell>
          <cell r="C489" t="str">
            <v>ADVAN</v>
          </cell>
          <cell r="D489">
            <v>324</v>
          </cell>
          <cell r="E489">
            <v>324</v>
          </cell>
          <cell r="F489">
            <v>0</v>
          </cell>
        </row>
        <row r="490">
          <cell r="A490" t="str">
            <v>GINFT</v>
          </cell>
          <cell r="B490" t="str">
            <v>INFINITE TECHNOLOGIES</v>
          </cell>
          <cell r="C490" t="str">
            <v>ADVAN</v>
          </cell>
          <cell r="D490">
            <v>35000</v>
          </cell>
          <cell r="E490">
            <v>35000</v>
          </cell>
          <cell r="F490">
            <v>0</v>
          </cell>
        </row>
        <row r="491">
          <cell r="A491" t="str">
            <v>GINSO</v>
          </cell>
          <cell r="B491" t="str">
            <v>INFO SOLUTIONS</v>
          </cell>
          <cell r="C491" t="str">
            <v>ADVAN</v>
          </cell>
          <cell r="D491">
            <v>2655</v>
          </cell>
          <cell r="E491">
            <v>2655</v>
          </cell>
          <cell r="F491">
            <v>0</v>
          </cell>
        </row>
        <row r="492">
          <cell r="A492" t="str">
            <v>GINFC</v>
          </cell>
          <cell r="B492" t="str">
            <v>INFOCOM</v>
          </cell>
          <cell r="C492" t="str">
            <v>ADVAN</v>
          </cell>
          <cell r="D492">
            <v>9300</v>
          </cell>
          <cell r="E492">
            <v>9300</v>
          </cell>
          <cell r="F492">
            <v>0</v>
          </cell>
        </row>
        <row r="493">
          <cell r="A493" t="str">
            <v>GINFS</v>
          </cell>
          <cell r="B493" t="str">
            <v>INFOSYSTEMS</v>
          </cell>
          <cell r="C493" t="str">
            <v>ADVAN</v>
          </cell>
          <cell r="D493">
            <v>108550</v>
          </cell>
          <cell r="E493">
            <v>108550</v>
          </cell>
          <cell r="F493">
            <v>0</v>
          </cell>
        </row>
        <row r="494">
          <cell r="A494" t="str">
            <v>GNTEK</v>
          </cell>
          <cell r="B494" t="str">
            <v>INFOTEK COMPUTER SERVICES</v>
          </cell>
          <cell r="C494" t="str">
            <v>ADVAN</v>
          </cell>
          <cell r="D494">
            <v>93650</v>
          </cell>
          <cell r="E494">
            <v>93650</v>
          </cell>
          <cell r="F494">
            <v>0</v>
          </cell>
        </row>
        <row r="495">
          <cell r="A495" t="str">
            <v>GINGR</v>
          </cell>
          <cell r="B495" t="str">
            <v>INGRAM ASSOCIATES</v>
          </cell>
          <cell r="C495" t="str">
            <v>ADVAN</v>
          </cell>
          <cell r="D495">
            <v>22640</v>
          </cell>
          <cell r="E495">
            <v>22640</v>
          </cell>
          <cell r="F495">
            <v>0</v>
          </cell>
        </row>
        <row r="496">
          <cell r="A496" t="str">
            <v>GITRA</v>
          </cell>
          <cell r="B496" t="str">
            <v>INSTANT TRADE AGENCY</v>
          </cell>
          <cell r="C496" t="str">
            <v>ADVAN</v>
          </cell>
          <cell r="D496">
            <v>77</v>
          </cell>
          <cell r="E496">
            <v>77</v>
          </cell>
          <cell r="F496">
            <v>0</v>
          </cell>
        </row>
        <row r="497">
          <cell r="A497" t="str">
            <v>GAIRC</v>
          </cell>
          <cell r="B497" t="str">
            <v>INSURANCE RECOVERABLE</v>
          </cell>
          <cell r="C497" t="str">
            <v>ADVAN</v>
          </cell>
          <cell r="D497">
            <v>22800</v>
          </cell>
          <cell r="E497">
            <v>22800</v>
          </cell>
          <cell r="F497">
            <v>0</v>
          </cell>
        </row>
        <row r="498">
          <cell r="A498" t="str">
            <v>GINEA</v>
          </cell>
          <cell r="B498" t="str">
            <v>INTERNATIONAL ELECTRONICS AGENCY</v>
          </cell>
          <cell r="C498" t="str">
            <v>ADVAN</v>
          </cell>
          <cell r="D498">
            <v>7550</v>
          </cell>
          <cell r="E498">
            <v>7550</v>
          </cell>
          <cell r="F498">
            <v>0</v>
          </cell>
        </row>
        <row r="499">
          <cell r="A499" t="str">
            <v>GIRUP</v>
          </cell>
          <cell r="B499" t="str">
            <v>IRUPATI COURIERS</v>
          </cell>
          <cell r="C499" t="str">
            <v>ADVAN</v>
          </cell>
          <cell r="D499">
            <v>6500</v>
          </cell>
          <cell r="E499">
            <v>6500</v>
          </cell>
          <cell r="F499">
            <v>0</v>
          </cell>
        </row>
        <row r="500">
          <cell r="A500" t="str">
            <v>GINSHT</v>
          </cell>
          <cell r="B500" t="str">
            <v>ISHT COMPUTERS</v>
          </cell>
          <cell r="C500" t="str">
            <v>ADVAN</v>
          </cell>
          <cell r="D500">
            <v>1150</v>
          </cell>
          <cell r="E500">
            <v>1150</v>
          </cell>
          <cell r="F500">
            <v>0</v>
          </cell>
        </row>
        <row r="501">
          <cell r="A501" t="str">
            <v>GITCL</v>
          </cell>
          <cell r="B501" t="str">
            <v>ITC LIMITED</v>
          </cell>
          <cell r="C501" t="str">
            <v>ADVAN</v>
          </cell>
          <cell r="D501">
            <v>112050</v>
          </cell>
          <cell r="E501">
            <v>112050</v>
          </cell>
          <cell r="F501">
            <v>0</v>
          </cell>
        </row>
        <row r="502">
          <cell r="A502" t="str">
            <v>GJJAT</v>
          </cell>
          <cell r="B502" t="str">
            <v>J.J.AUTOMOTIVE LTD</v>
          </cell>
          <cell r="C502" t="str">
            <v>ADVAN</v>
          </cell>
          <cell r="D502">
            <v>526101</v>
          </cell>
          <cell r="E502">
            <v>526101</v>
          </cell>
          <cell r="F502">
            <v>0</v>
          </cell>
        </row>
        <row r="503">
          <cell r="A503" t="str">
            <v>GJKFU</v>
          </cell>
          <cell r="B503" t="str">
            <v>J.K.FURNITURES</v>
          </cell>
          <cell r="C503" t="str">
            <v>ADVAN</v>
          </cell>
          <cell r="D503">
            <v>1730</v>
          </cell>
          <cell r="E503">
            <v>1730</v>
          </cell>
          <cell r="F503">
            <v>0</v>
          </cell>
        </row>
        <row r="504">
          <cell r="A504" t="str">
            <v>GJACO</v>
          </cell>
          <cell r="B504" t="str">
            <v>JACOB OOMEN</v>
          </cell>
          <cell r="C504" t="str">
            <v>ADVAN</v>
          </cell>
          <cell r="D504">
            <v>55080</v>
          </cell>
          <cell r="E504">
            <v>55080</v>
          </cell>
          <cell r="F504">
            <v>0</v>
          </cell>
        </row>
        <row r="505">
          <cell r="A505" t="str">
            <v>GJAGA</v>
          </cell>
          <cell r="B505" t="str">
            <v>JAGAT SHANTILAL THAKKAR</v>
          </cell>
          <cell r="C505" t="str">
            <v>ADVAN</v>
          </cell>
          <cell r="D505">
            <v>19360</v>
          </cell>
          <cell r="E505">
            <v>19360</v>
          </cell>
          <cell r="F505">
            <v>0</v>
          </cell>
        </row>
        <row r="506">
          <cell r="A506" t="str">
            <v>GJABI</v>
          </cell>
          <cell r="B506" t="str">
            <v>JAGDISH SINGH BINDRA</v>
          </cell>
          <cell r="C506" t="str">
            <v>ADVAN</v>
          </cell>
          <cell r="D506">
            <v>205134</v>
          </cell>
          <cell r="E506">
            <v>205134</v>
          </cell>
          <cell r="F506">
            <v>0</v>
          </cell>
        </row>
        <row r="507">
          <cell r="A507" t="str">
            <v>GJAIG</v>
          </cell>
          <cell r="B507" t="str">
            <v>JAI GURU FURNITURE</v>
          </cell>
          <cell r="C507" t="str">
            <v>ADVAN</v>
          </cell>
          <cell r="D507">
            <v>15625</v>
          </cell>
          <cell r="E507">
            <v>15625</v>
          </cell>
          <cell r="F507">
            <v>0</v>
          </cell>
        </row>
        <row r="508">
          <cell r="A508" t="str">
            <v>GJANF</v>
          </cell>
          <cell r="B508" t="str">
            <v>JAIN FURNITURE</v>
          </cell>
          <cell r="C508" t="str">
            <v>ADVAN</v>
          </cell>
          <cell r="D508">
            <v>1</v>
          </cell>
          <cell r="E508">
            <v>1</v>
          </cell>
          <cell r="F508">
            <v>0</v>
          </cell>
        </row>
        <row r="509">
          <cell r="A509" t="str">
            <v>GJAIR</v>
          </cell>
          <cell r="B509" t="str">
            <v>JAIN IRON &amp; HARDWARE STORE</v>
          </cell>
          <cell r="C509" t="str">
            <v>ADVAN</v>
          </cell>
          <cell r="D509">
            <v>35966</v>
          </cell>
          <cell r="E509">
            <v>35966</v>
          </cell>
          <cell r="F509">
            <v>0</v>
          </cell>
        </row>
        <row r="510">
          <cell r="A510" t="str">
            <v>GJASW</v>
          </cell>
          <cell r="B510" t="str">
            <v>JAIN STEEL WORKS</v>
          </cell>
          <cell r="C510" t="str">
            <v>ADVAN</v>
          </cell>
          <cell r="D510">
            <v>1596</v>
          </cell>
          <cell r="E510">
            <v>1596</v>
          </cell>
          <cell r="F510">
            <v>0</v>
          </cell>
        </row>
        <row r="511">
          <cell r="A511" t="str">
            <v>GJAIS</v>
          </cell>
          <cell r="B511" t="str">
            <v>JAISHANKAR PRIBHDAS AHUJA</v>
          </cell>
          <cell r="C511" t="str">
            <v>ADVAN</v>
          </cell>
          <cell r="D511">
            <v>49587</v>
          </cell>
          <cell r="E511">
            <v>49587</v>
          </cell>
          <cell r="F511">
            <v>0</v>
          </cell>
        </row>
        <row r="512">
          <cell r="A512" t="str">
            <v>GJANK</v>
          </cell>
          <cell r="B512" t="str">
            <v>JANKI SHARMA &amp; SONS</v>
          </cell>
          <cell r="C512" t="str">
            <v>ADVAN</v>
          </cell>
          <cell r="D512">
            <v>5982</v>
          </cell>
          <cell r="E512">
            <v>5982</v>
          </cell>
          <cell r="F512">
            <v>0</v>
          </cell>
        </row>
        <row r="513">
          <cell r="A513" t="str">
            <v>GJASP</v>
          </cell>
          <cell r="B513" t="str">
            <v>JASPREET SINGH &amp; PREET KANWAR SINGH</v>
          </cell>
          <cell r="C513" t="str">
            <v>ADVAN</v>
          </cell>
          <cell r="D513">
            <v>77959</v>
          </cell>
          <cell r="E513">
            <v>77959</v>
          </cell>
          <cell r="F513">
            <v>0</v>
          </cell>
        </row>
        <row r="514">
          <cell r="A514" t="str">
            <v>GJAEL</v>
          </cell>
          <cell r="B514" t="str">
            <v>JATINDRA ELECTRONICS</v>
          </cell>
          <cell r="C514" t="str">
            <v>ADVAN</v>
          </cell>
          <cell r="D514">
            <v>3680</v>
          </cell>
          <cell r="E514">
            <v>3680</v>
          </cell>
          <cell r="F514">
            <v>0</v>
          </cell>
        </row>
        <row r="515">
          <cell r="A515" t="str">
            <v>GJAYO</v>
          </cell>
          <cell r="B515" t="str">
            <v>JAYA ENCLAVE OWNERS WELFARE ASSOCIATION</v>
          </cell>
          <cell r="C515" t="str">
            <v>ADVAN</v>
          </cell>
          <cell r="D515">
            <v>49999.88</v>
          </cell>
          <cell r="E515">
            <v>49999.88</v>
          </cell>
          <cell r="F515">
            <v>0</v>
          </cell>
        </row>
        <row r="516">
          <cell r="A516" t="str">
            <v>GJAYC</v>
          </cell>
          <cell r="B516" t="str">
            <v>JAYACHANDRAN &amp; BALASUNDRAM</v>
          </cell>
          <cell r="C516" t="str">
            <v>ADVAN</v>
          </cell>
          <cell r="D516">
            <v>176270</v>
          </cell>
          <cell r="E516">
            <v>176270</v>
          </cell>
          <cell r="F516">
            <v>0</v>
          </cell>
        </row>
        <row r="517">
          <cell r="A517" t="str">
            <v>GJAYS</v>
          </cell>
          <cell r="B517" t="str">
            <v>JAYESH ELECTRICAL &amp; HARDWARES</v>
          </cell>
          <cell r="C517" t="str">
            <v>ADVAN</v>
          </cell>
          <cell r="D517">
            <v>45480</v>
          </cell>
          <cell r="E517">
            <v>45480</v>
          </cell>
          <cell r="F517">
            <v>0</v>
          </cell>
        </row>
        <row r="518">
          <cell r="A518" t="str">
            <v>GJAYG</v>
          </cell>
          <cell r="B518" t="str">
            <v>JAYESH GUJJAR</v>
          </cell>
          <cell r="C518" t="str">
            <v>ADVAN</v>
          </cell>
          <cell r="D518">
            <v>112</v>
          </cell>
          <cell r="E518">
            <v>112</v>
          </cell>
          <cell r="F518">
            <v>0</v>
          </cell>
        </row>
        <row r="519">
          <cell r="A519" t="str">
            <v>GJAYL</v>
          </cell>
          <cell r="B519" t="str">
            <v>JAYLAXMI FURNISHING PVT. LTD.</v>
          </cell>
          <cell r="C519" t="str">
            <v>ADVAN</v>
          </cell>
          <cell r="D519">
            <v>4181</v>
          </cell>
          <cell r="E519">
            <v>4181</v>
          </cell>
          <cell r="F519">
            <v>0</v>
          </cell>
        </row>
        <row r="520">
          <cell r="A520" t="str">
            <v>GJITN</v>
          </cell>
          <cell r="B520" t="str">
            <v>JITENDRA SUNDER KANKAL</v>
          </cell>
          <cell r="C520" t="str">
            <v>ADVAN</v>
          </cell>
          <cell r="D520">
            <v>38250</v>
          </cell>
          <cell r="E520">
            <v>38250</v>
          </cell>
          <cell r="F520">
            <v>0</v>
          </cell>
        </row>
        <row r="521">
          <cell r="A521" t="str">
            <v>GJIWA</v>
          </cell>
          <cell r="B521" t="str">
            <v>JIWAN STEEL FURNITURE</v>
          </cell>
          <cell r="C521" t="str">
            <v>ADVAN</v>
          </cell>
          <cell r="D521">
            <v>109637</v>
          </cell>
          <cell r="E521">
            <v>109637</v>
          </cell>
          <cell r="F521">
            <v>0</v>
          </cell>
        </row>
        <row r="522">
          <cell r="A522" t="str">
            <v>GJMDT</v>
          </cell>
          <cell r="B522" t="str">
            <v>JMD DOT COM</v>
          </cell>
          <cell r="C522" t="str">
            <v>ADVAN</v>
          </cell>
          <cell r="D522">
            <v>2500</v>
          </cell>
          <cell r="E522">
            <v>2500</v>
          </cell>
          <cell r="F522">
            <v>0</v>
          </cell>
        </row>
        <row r="523">
          <cell r="A523" t="str">
            <v>GJOSP</v>
          </cell>
          <cell r="B523" t="str">
            <v>JOSEPH</v>
          </cell>
          <cell r="C523" t="str">
            <v>ADVAN</v>
          </cell>
          <cell r="D523">
            <v>10079</v>
          </cell>
          <cell r="E523">
            <v>10079</v>
          </cell>
          <cell r="F523">
            <v>0</v>
          </cell>
        </row>
        <row r="524">
          <cell r="A524" t="str">
            <v>GJYOT</v>
          </cell>
          <cell r="B524" t="str">
            <v>JYOTI NARENDRA PUJARA</v>
          </cell>
          <cell r="C524" t="str">
            <v>ADVAN</v>
          </cell>
          <cell r="D524">
            <v>108020</v>
          </cell>
          <cell r="E524">
            <v>108020</v>
          </cell>
          <cell r="F524">
            <v>0</v>
          </cell>
        </row>
        <row r="525">
          <cell r="A525" t="str">
            <v>GKKRE</v>
          </cell>
          <cell r="B525" t="str">
            <v>K. K. REFRIGERATION</v>
          </cell>
          <cell r="C525" t="str">
            <v>ADVAN</v>
          </cell>
          <cell r="D525">
            <v>1000</v>
          </cell>
          <cell r="E525">
            <v>1000</v>
          </cell>
          <cell r="F525">
            <v>0</v>
          </cell>
        </row>
        <row r="526">
          <cell r="A526" t="str">
            <v>GKLML</v>
          </cell>
          <cell r="B526" t="str">
            <v>K. RANGA RAJU</v>
          </cell>
          <cell r="C526" t="str">
            <v>ADVAN</v>
          </cell>
          <cell r="D526">
            <v>50336</v>
          </cell>
          <cell r="E526">
            <v>50336</v>
          </cell>
          <cell r="F526">
            <v>0</v>
          </cell>
        </row>
        <row r="527">
          <cell r="A527" t="str">
            <v>GKKEN</v>
          </cell>
          <cell r="B527" t="str">
            <v>K.K. ENTERPRISES</v>
          </cell>
          <cell r="C527" t="str">
            <v>ADVAN</v>
          </cell>
          <cell r="D527">
            <v>27261</v>
          </cell>
          <cell r="E527">
            <v>27261</v>
          </cell>
          <cell r="F527">
            <v>0</v>
          </cell>
        </row>
        <row r="528">
          <cell r="A528" t="str">
            <v>GKMEL</v>
          </cell>
          <cell r="B528" t="str">
            <v>K.M.ELECTRONICS</v>
          </cell>
          <cell r="C528" t="str">
            <v>ADVAN</v>
          </cell>
          <cell r="D528">
            <v>12000</v>
          </cell>
          <cell r="E528">
            <v>12000</v>
          </cell>
          <cell r="F528">
            <v>0</v>
          </cell>
        </row>
        <row r="529">
          <cell r="A529" t="str">
            <v>GKADI</v>
          </cell>
          <cell r="B529" t="str">
            <v>KADIMI CONSTRUCTION PVT LTD</v>
          </cell>
          <cell r="C529" t="str">
            <v>ADVAN</v>
          </cell>
          <cell r="D529">
            <v>2380025</v>
          </cell>
          <cell r="E529">
            <v>2380025</v>
          </cell>
          <cell r="F529">
            <v>0</v>
          </cell>
        </row>
        <row r="530">
          <cell r="A530" t="str">
            <v>GKAIE</v>
          </cell>
          <cell r="B530" t="str">
            <v>KAIZEN ENTERPRISES</v>
          </cell>
          <cell r="C530" t="str">
            <v>ADVAN</v>
          </cell>
          <cell r="D530">
            <v>8200</v>
          </cell>
          <cell r="E530">
            <v>8200</v>
          </cell>
          <cell r="F530">
            <v>0</v>
          </cell>
        </row>
        <row r="531">
          <cell r="A531" t="str">
            <v>GKALP</v>
          </cell>
          <cell r="B531" t="str">
            <v>KALPANA CHHOTRAY</v>
          </cell>
          <cell r="C531" t="str">
            <v>ADVAN</v>
          </cell>
          <cell r="D531">
            <v>76064</v>
          </cell>
          <cell r="E531">
            <v>76064</v>
          </cell>
          <cell r="F531">
            <v>0</v>
          </cell>
        </row>
        <row r="532">
          <cell r="A532" t="str">
            <v>GKARK</v>
          </cell>
          <cell r="B532" t="str">
            <v>KALPANA RAJENDRA KATARIYA</v>
          </cell>
          <cell r="C532" t="str">
            <v>ADVAN</v>
          </cell>
          <cell r="D532">
            <v>10945</v>
          </cell>
          <cell r="E532">
            <v>10945</v>
          </cell>
          <cell r="F532">
            <v>0</v>
          </cell>
        </row>
        <row r="533">
          <cell r="A533" t="str">
            <v>GKADE</v>
          </cell>
          <cell r="B533" t="str">
            <v>KALPTARU DEVELOPERS</v>
          </cell>
          <cell r="C533" t="str">
            <v>ADVAN</v>
          </cell>
          <cell r="D533">
            <v>751161</v>
          </cell>
          <cell r="E533">
            <v>751161</v>
          </cell>
          <cell r="F533">
            <v>0</v>
          </cell>
        </row>
        <row r="534">
          <cell r="A534" t="str">
            <v>GKALY</v>
          </cell>
          <cell r="B534" t="str">
            <v>KALYAN ELECTRIX</v>
          </cell>
          <cell r="C534" t="str">
            <v>ADVAN</v>
          </cell>
          <cell r="D534">
            <v>12980</v>
          </cell>
          <cell r="E534">
            <v>12980</v>
          </cell>
          <cell r="F534">
            <v>0</v>
          </cell>
        </row>
        <row r="535">
          <cell r="A535" t="str">
            <v>GKAMAL</v>
          </cell>
          <cell r="B535" t="str">
            <v>KAMAL ELECTRIC</v>
          </cell>
          <cell r="C535" t="str">
            <v>ADVAN</v>
          </cell>
          <cell r="D535">
            <v>7425</v>
          </cell>
          <cell r="E535">
            <v>7425</v>
          </cell>
          <cell r="F535">
            <v>0</v>
          </cell>
        </row>
        <row r="536">
          <cell r="A536" t="str">
            <v>GKASA</v>
          </cell>
          <cell r="B536" t="str">
            <v>KAMALIA SALES</v>
          </cell>
          <cell r="C536" t="str">
            <v>ADVAN</v>
          </cell>
          <cell r="D536">
            <v>12200</v>
          </cell>
          <cell r="E536">
            <v>12200</v>
          </cell>
          <cell r="F536">
            <v>0</v>
          </cell>
        </row>
        <row r="537">
          <cell r="A537" t="str">
            <v>GKAMD</v>
          </cell>
          <cell r="B537" t="str">
            <v>KAMLADEVI MOHANANI</v>
          </cell>
          <cell r="C537" t="str">
            <v>ADVAN</v>
          </cell>
          <cell r="D537">
            <v>76462</v>
          </cell>
          <cell r="E537">
            <v>76462</v>
          </cell>
          <cell r="F537">
            <v>0</v>
          </cell>
        </row>
        <row r="538">
          <cell r="A538" t="str">
            <v>GKANDK</v>
          </cell>
          <cell r="B538" t="str">
            <v>KANDKUR AGENCY</v>
          </cell>
          <cell r="C538" t="str">
            <v>ADVAN</v>
          </cell>
          <cell r="D538">
            <v>5690</v>
          </cell>
          <cell r="E538">
            <v>5690</v>
          </cell>
          <cell r="F538">
            <v>0</v>
          </cell>
        </row>
        <row r="539">
          <cell r="A539" t="str">
            <v>GKANT</v>
          </cell>
          <cell r="B539" t="str">
            <v>KANTA CHANDRA</v>
          </cell>
          <cell r="C539" t="str">
            <v>ADVAN</v>
          </cell>
          <cell r="D539">
            <v>33750</v>
          </cell>
          <cell r="E539">
            <v>33750</v>
          </cell>
          <cell r="F539">
            <v>0</v>
          </cell>
        </row>
        <row r="540">
          <cell r="A540" t="str">
            <v>GKATH</v>
          </cell>
          <cell r="B540" t="str">
            <v>KANTHI ENTERPRISES</v>
          </cell>
          <cell r="C540" t="str">
            <v>ADVAN</v>
          </cell>
          <cell r="D540">
            <v>12656</v>
          </cell>
          <cell r="E540">
            <v>12656</v>
          </cell>
          <cell r="F540">
            <v>0</v>
          </cell>
        </row>
        <row r="541">
          <cell r="A541" t="str">
            <v>GKATI</v>
          </cell>
          <cell r="B541" t="str">
            <v>KARTIK ENTERPRISE</v>
          </cell>
          <cell r="C541" t="str">
            <v>ADVAN</v>
          </cell>
          <cell r="D541">
            <v>6160</v>
          </cell>
          <cell r="E541">
            <v>6160</v>
          </cell>
          <cell r="F541">
            <v>0</v>
          </cell>
        </row>
        <row r="542">
          <cell r="A542" t="str">
            <v>GKART</v>
          </cell>
          <cell r="B542" t="str">
            <v>KARTIKEYA MARKETING</v>
          </cell>
          <cell r="C542" t="str">
            <v>ADVAN</v>
          </cell>
          <cell r="D542">
            <v>75875</v>
          </cell>
          <cell r="E542">
            <v>75875</v>
          </cell>
          <cell r="F542">
            <v>0</v>
          </cell>
        </row>
        <row r="543">
          <cell r="A543" t="str">
            <v>GKARU</v>
          </cell>
          <cell r="B543" t="str">
            <v>KARUNA NEON &amp; PLASTICS</v>
          </cell>
          <cell r="C543" t="str">
            <v>ADVAN</v>
          </cell>
          <cell r="D543">
            <v>11981</v>
          </cell>
          <cell r="E543">
            <v>11981</v>
          </cell>
          <cell r="F543">
            <v>0</v>
          </cell>
        </row>
        <row r="544">
          <cell r="A544" t="str">
            <v>GA0246</v>
          </cell>
          <cell r="B544" t="str">
            <v>KAVI KUMAR LOAN A/C</v>
          </cell>
          <cell r="C544" t="str">
            <v>ADVAN</v>
          </cell>
          <cell r="D544">
            <v>325000</v>
          </cell>
          <cell r="E544">
            <v>325000</v>
          </cell>
          <cell r="F544">
            <v>0</v>
          </cell>
        </row>
        <row r="545">
          <cell r="A545" t="str">
            <v>GKAGB</v>
          </cell>
          <cell r="B545" t="str">
            <v>KAVITA G. BIJLANI</v>
          </cell>
          <cell r="C545" t="str">
            <v>ADVAN</v>
          </cell>
          <cell r="D545">
            <v>13656</v>
          </cell>
          <cell r="E545">
            <v>13656</v>
          </cell>
          <cell r="F545">
            <v>0</v>
          </cell>
        </row>
        <row r="546">
          <cell r="A546" t="str">
            <v>GKENW</v>
          </cell>
          <cell r="B546" t="str">
            <v>KENWOOD CORPARATION</v>
          </cell>
          <cell r="C546" t="str">
            <v>ADVAN</v>
          </cell>
          <cell r="D546">
            <v>13000</v>
          </cell>
          <cell r="E546">
            <v>13000</v>
          </cell>
          <cell r="F546">
            <v>0</v>
          </cell>
        </row>
        <row r="547">
          <cell r="A547" t="str">
            <v>GKHOS</v>
          </cell>
          <cell r="B547" t="str">
            <v>KHOSLA ELECTRONICS PVT LTD</v>
          </cell>
          <cell r="C547" t="str">
            <v>ADVAN</v>
          </cell>
          <cell r="D547">
            <v>15200</v>
          </cell>
          <cell r="E547">
            <v>15200</v>
          </cell>
          <cell r="F547">
            <v>0</v>
          </cell>
        </row>
        <row r="548">
          <cell r="A548" t="str">
            <v>GKHUR</v>
          </cell>
          <cell r="B548" t="str">
            <v>KHURANA TELE SHOP</v>
          </cell>
          <cell r="C548" t="str">
            <v>ADVAN</v>
          </cell>
          <cell r="D548">
            <v>7500</v>
          </cell>
          <cell r="E548">
            <v>7500</v>
          </cell>
          <cell r="F548">
            <v>0</v>
          </cell>
        </row>
        <row r="549">
          <cell r="A549" t="str">
            <v>GKOAL</v>
          </cell>
          <cell r="B549" t="str">
            <v>KILBURN OFFICE AUTOMATION LIMITED</v>
          </cell>
          <cell r="C549" t="str">
            <v>ADVAN</v>
          </cell>
          <cell r="D549">
            <v>401744</v>
          </cell>
          <cell r="E549">
            <v>401744</v>
          </cell>
          <cell r="F549">
            <v>0</v>
          </cell>
        </row>
        <row r="550">
          <cell r="A550" t="str">
            <v>GKICO</v>
          </cell>
          <cell r="B550" t="str">
            <v>KIRAN COMPUTERS</v>
          </cell>
          <cell r="C550" t="str">
            <v>ADVAN</v>
          </cell>
          <cell r="D550">
            <v>3500</v>
          </cell>
          <cell r="E550">
            <v>3500</v>
          </cell>
          <cell r="F550">
            <v>0</v>
          </cell>
        </row>
        <row r="551">
          <cell r="A551" t="str">
            <v>GKIRN</v>
          </cell>
          <cell r="B551" t="str">
            <v>KIRAN GUPTA</v>
          </cell>
          <cell r="C551" t="str">
            <v>ADVAN</v>
          </cell>
          <cell r="D551">
            <v>272359</v>
          </cell>
          <cell r="E551">
            <v>272359</v>
          </cell>
          <cell r="F551">
            <v>0</v>
          </cell>
        </row>
        <row r="552">
          <cell r="A552" t="str">
            <v>GKIMO</v>
          </cell>
          <cell r="B552" t="str">
            <v>KIRAN MODI XEROX</v>
          </cell>
          <cell r="C552" t="str">
            <v>ADVAN</v>
          </cell>
          <cell r="D552">
            <v>6501.75</v>
          </cell>
          <cell r="E552">
            <v>6501.75</v>
          </cell>
          <cell r="F552">
            <v>0</v>
          </cell>
        </row>
        <row r="553">
          <cell r="A553" t="str">
            <v>GKIDA</v>
          </cell>
          <cell r="B553" t="str">
            <v>KIRTIDA JAGDISH BHUTA</v>
          </cell>
          <cell r="C553" t="str">
            <v>ADVAN</v>
          </cell>
          <cell r="D553">
            <v>58144</v>
          </cell>
          <cell r="E553">
            <v>58144</v>
          </cell>
          <cell r="F553">
            <v>0</v>
          </cell>
        </row>
        <row r="554">
          <cell r="A554" t="str">
            <v>GKIKA</v>
          </cell>
          <cell r="B554" t="str">
            <v>KISHOR KANJI SHAH</v>
          </cell>
          <cell r="C554" t="str">
            <v>ADVAN</v>
          </cell>
          <cell r="D554">
            <v>32803</v>
          </cell>
          <cell r="E554">
            <v>32803</v>
          </cell>
          <cell r="F554">
            <v>0</v>
          </cell>
        </row>
        <row r="555">
          <cell r="A555" t="str">
            <v>GKIVI</v>
          </cell>
          <cell r="B555" t="str">
            <v>KISHORE VISHWANATH BACHHUKA</v>
          </cell>
          <cell r="C555" t="str">
            <v>ADVAN</v>
          </cell>
          <cell r="D555">
            <v>342760</v>
          </cell>
          <cell r="E555">
            <v>342760</v>
          </cell>
          <cell r="F555">
            <v>0</v>
          </cell>
        </row>
        <row r="556">
          <cell r="A556" t="str">
            <v>GKOTE</v>
          </cell>
          <cell r="B556" t="str">
            <v>KOHINOOR TELEVIDEO</v>
          </cell>
          <cell r="C556" t="str">
            <v>ADVAN</v>
          </cell>
          <cell r="D556">
            <v>130000</v>
          </cell>
          <cell r="E556">
            <v>130000</v>
          </cell>
          <cell r="F556">
            <v>0</v>
          </cell>
        </row>
        <row r="557">
          <cell r="A557" t="str">
            <v>GKOAS</v>
          </cell>
          <cell r="B557" t="str">
            <v>KOHLI ASSOCIATES</v>
          </cell>
          <cell r="C557" t="str">
            <v>ADVAN</v>
          </cell>
          <cell r="D557">
            <v>8813</v>
          </cell>
          <cell r="E557">
            <v>8813</v>
          </cell>
          <cell r="F557">
            <v>0</v>
          </cell>
        </row>
        <row r="558">
          <cell r="A558" t="str">
            <v>GKOND</v>
          </cell>
          <cell r="B558" t="str">
            <v>KONDAAS AUTOMATION PVT. LTD.</v>
          </cell>
          <cell r="C558" t="str">
            <v>ADVAN</v>
          </cell>
          <cell r="D558">
            <v>42500</v>
          </cell>
          <cell r="E558">
            <v>42500</v>
          </cell>
          <cell r="F558">
            <v>0</v>
          </cell>
        </row>
        <row r="559">
          <cell r="A559" t="str">
            <v>GKOOL</v>
          </cell>
          <cell r="B559" t="str">
            <v>KOOL CORNER</v>
          </cell>
          <cell r="C559" t="str">
            <v>ADVAN</v>
          </cell>
          <cell r="D559">
            <v>8000</v>
          </cell>
          <cell r="E559">
            <v>8000</v>
          </cell>
          <cell r="F559">
            <v>0</v>
          </cell>
        </row>
        <row r="560">
          <cell r="A560" t="str">
            <v>GKONE</v>
          </cell>
          <cell r="B560" t="str">
            <v>KOOL NEST</v>
          </cell>
          <cell r="C560" t="str">
            <v>ADVAN</v>
          </cell>
          <cell r="D560">
            <v>13573</v>
          </cell>
          <cell r="E560">
            <v>13573</v>
          </cell>
          <cell r="F560">
            <v>0</v>
          </cell>
        </row>
        <row r="561">
          <cell r="A561" t="str">
            <v>GKOTA</v>
          </cell>
          <cell r="B561" t="str">
            <v>KOTA ENTERPRISES</v>
          </cell>
          <cell r="C561" t="str">
            <v>ADVAN</v>
          </cell>
          <cell r="D561">
            <v>2595</v>
          </cell>
          <cell r="E561">
            <v>2595</v>
          </cell>
          <cell r="F561">
            <v>0</v>
          </cell>
        </row>
        <row r="562">
          <cell r="A562" t="str">
            <v>GKMIL</v>
          </cell>
          <cell r="B562" t="str">
            <v>KOTAK MAHINDRA INVESTMENT LIMITED</v>
          </cell>
          <cell r="C562" t="str">
            <v>ADVAN</v>
          </cell>
          <cell r="D562">
            <v>99900000</v>
          </cell>
          <cell r="E562">
            <v>99900000</v>
          </cell>
          <cell r="F562">
            <v>0</v>
          </cell>
        </row>
        <row r="563">
          <cell r="A563" t="str">
            <v>GKRIS</v>
          </cell>
          <cell r="B563" t="str">
            <v>KRISHAN CHANDRA</v>
          </cell>
          <cell r="C563" t="str">
            <v>ADVAN</v>
          </cell>
          <cell r="D563">
            <v>33750</v>
          </cell>
          <cell r="E563">
            <v>33750</v>
          </cell>
          <cell r="F563">
            <v>0</v>
          </cell>
        </row>
        <row r="564">
          <cell r="A564" t="str">
            <v>GKRIE</v>
          </cell>
          <cell r="B564" t="str">
            <v>KRISHANA ELECTRICALS</v>
          </cell>
          <cell r="C564" t="str">
            <v>ADVAN</v>
          </cell>
          <cell r="D564">
            <v>4755</v>
          </cell>
          <cell r="E564">
            <v>4755</v>
          </cell>
          <cell r="F564">
            <v>0</v>
          </cell>
        </row>
        <row r="565">
          <cell r="A565" t="str">
            <v>GKRIN</v>
          </cell>
          <cell r="B565" t="str">
            <v>KRISHNA GULATI</v>
          </cell>
          <cell r="C565" t="str">
            <v>ADVAN</v>
          </cell>
          <cell r="D565">
            <v>14421</v>
          </cell>
          <cell r="E565">
            <v>14421</v>
          </cell>
          <cell r="F565">
            <v>0</v>
          </cell>
        </row>
        <row r="566">
          <cell r="A566" t="str">
            <v>GKISN</v>
          </cell>
          <cell r="B566" t="str">
            <v>KRISHNA KUMAR</v>
          </cell>
          <cell r="C566" t="str">
            <v>ADVAN</v>
          </cell>
          <cell r="D566">
            <v>15000</v>
          </cell>
          <cell r="E566">
            <v>15000</v>
          </cell>
          <cell r="F566">
            <v>0</v>
          </cell>
        </row>
        <row r="567">
          <cell r="A567" t="str">
            <v>GKRVA</v>
          </cell>
          <cell r="B567" t="str">
            <v>KRV ARCADE AR PLAZA SOCIETY</v>
          </cell>
          <cell r="C567" t="str">
            <v>ADVAN</v>
          </cell>
          <cell r="D567">
            <v>15582</v>
          </cell>
          <cell r="E567">
            <v>15582</v>
          </cell>
          <cell r="F567">
            <v>0</v>
          </cell>
        </row>
        <row r="568">
          <cell r="A568" t="str">
            <v>GKMAD</v>
          </cell>
          <cell r="B568" t="str">
            <v>KUMAR ADVERTISERS</v>
          </cell>
          <cell r="C568" t="str">
            <v>ADVAN</v>
          </cell>
          <cell r="D568">
            <v>8160</v>
          </cell>
          <cell r="E568">
            <v>8160</v>
          </cell>
          <cell r="F568">
            <v>0</v>
          </cell>
        </row>
        <row r="569">
          <cell r="A569" t="str">
            <v>GKUTH</v>
          </cell>
          <cell r="B569" t="str">
            <v>KUNAL THAPAR</v>
          </cell>
          <cell r="C569" t="str">
            <v>ADVAN</v>
          </cell>
          <cell r="D569">
            <v>617</v>
          </cell>
          <cell r="E569">
            <v>617</v>
          </cell>
          <cell r="F569">
            <v>0</v>
          </cell>
        </row>
        <row r="570">
          <cell r="A570" t="str">
            <v>GKUNL</v>
          </cell>
          <cell r="B570" t="str">
            <v>KUNDANLAL SOBHACHAND MANDELECHA</v>
          </cell>
          <cell r="C570" t="str">
            <v>ADVAN</v>
          </cell>
          <cell r="D570">
            <v>6628</v>
          </cell>
          <cell r="E570">
            <v>6628</v>
          </cell>
          <cell r="F570">
            <v>0</v>
          </cell>
        </row>
        <row r="571">
          <cell r="A571" t="str">
            <v>GKUSU</v>
          </cell>
          <cell r="B571" t="str">
            <v>KUSUM AJAY MODY</v>
          </cell>
          <cell r="C571" t="str">
            <v>ADVAN</v>
          </cell>
          <cell r="D571">
            <v>16524</v>
          </cell>
          <cell r="E571">
            <v>16524</v>
          </cell>
          <cell r="F571">
            <v>0</v>
          </cell>
        </row>
        <row r="572">
          <cell r="A572" t="str">
            <v>GLGEL</v>
          </cell>
          <cell r="B572" t="str">
            <v>L G  ELECTRONICS INDIA PVT. LTD.</v>
          </cell>
          <cell r="C572" t="str">
            <v>ADVAN</v>
          </cell>
          <cell r="D572">
            <v>359000</v>
          </cell>
          <cell r="E572">
            <v>359000</v>
          </cell>
          <cell r="F572">
            <v>0</v>
          </cell>
        </row>
        <row r="573">
          <cell r="A573" t="str">
            <v>GLACH</v>
          </cell>
          <cell r="B573" t="str">
            <v>LACHMI GEHIMAL MANGHNANI</v>
          </cell>
          <cell r="C573" t="str">
            <v>ADVAN</v>
          </cell>
          <cell r="D573">
            <v>650000</v>
          </cell>
          <cell r="E573">
            <v>650000</v>
          </cell>
          <cell r="F573">
            <v>0</v>
          </cell>
        </row>
        <row r="574">
          <cell r="A574" t="str">
            <v>GLAKH</v>
          </cell>
          <cell r="B574" t="str">
            <v>LAKHICHAND KESHAVDAS GANGWANI</v>
          </cell>
          <cell r="C574" t="str">
            <v>ADVAN</v>
          </cell>
          <cell r="D574">
            <v>40586</v>
          </cell>
          <cell r="E574">
            <v>40586</v>
          </cell>
          <cell r="F574">
            <v>0</v>
          </cell>
        </row>
        <row r="575">
          <cell r="A575" t="str">
            <v>GLAKS</v>
          </cell>
          <cell r="B575" t="str">
            <v>LAKSHMI DISTRIBUTORS</v>
          </cell>
          <cell r="C575" t="str">
            <v>ADVAN</v>
          </cell>
          <cell r="D575">
            <v>23900</v>
          </cell>
          <cell r="E575">
            <v>23900</v>
          </cell>
          <cell r="F575">
            <v>0</v>
          </cell>
        </row>
        <row r="576">
          <cell r="A576" t="str">
            <v>GLANC</v>
          </cell>
          <cell r="B576" t="str">
            <v>LANCER INFOTECH</v>
          </cell>
          <cell r="C576" t="str">
            <v>ADVAN</v>
          </cell>
          <cell r="D576">
            <v>28950</v>
          </cell>
          <cell r="E576">
            <v>28950</v>
          </cell>
          <cell r="F576">
            <v>0</v>
          </cell>
        </row>
        <row r="577">
          <cell r="A577" t="str">
            <v>GLATA</v>
          </cell>
          <cell r="B577" t="str">
            <v>LATA LALCHAND MUTHIYAN</v>
          </cell>
          <cell r="C577" t="str">
            <v>ADVAN</v>
          </cell>
          <cell r="D577">
            <v>6628</v>
          </cell>
          <cell r="E577">
            <v>6628</v>
          </cell>
          <cell r="F577">
            <v>0</v>
          </cell>
        </row>
        <row r="578">
          <cell r="A578" t="str">
            <v>GALATH</v>
          </cell>
          <cell r="B578" t="str">
            <v>LATHA MOHANDAS</v>
          </cell>
          <cell r="C578" t="str">
            <v>ADVAN</v>
          </cell>
          <cell r="D578">
            <v>6000</v>
          </cell>
          <cell r="E578">
            <v>6000</v>
          </cell>
          <cell r="F578">
            <v>0</v>
          </cell>
        </row>
        <row r="579">
          <cell r="A579" t="str">
            <v>GLATH</v>
          </cell>
          <cell r="B579" t="str">
            <v>LATHA RAGHUNATH</v>
          </cell>
          <cell r="C579" t="str">
            <v>ADVAN</v>
          </cell>
          <cell r="D579">
            <v>23001</v>
          </cell>
          <cell r="E579">
            <v>23001</v>
          </cell>
          <cell r="F579">
            <v>0</v>
          </cell>
        </row>
        <row r="580">
          <cell r="A580" t="str">
            <v>GLAXAG</v>
          </cell>
          <cell r="B580" t="str">
            <v>LAXMI AGENCIES</v>
          </cell>
          <cell r="C580" t="str">
            <v>ADVAN</v>
          </cell>
          <cell r="D580">
            <v>144000</v>
          </cell>
          <cell r="E580">
            <v>144000</v>
          </cell>
          <cell r="F580">
            <v>0</v>
          </cell>
        </row>
        <row r="581">
          <cell r="A581" t="str">
            <v>GLTPR</v>
          </cell>
          <cell r="B581" t="str">
            <v>LAXMI TIMBER PRODUCTS</v>
          </cell>
          <cell r="C581" t="str">
            <v>ADVAN</v>
          </cell>
          <cell r="D581">
            <v>1067806</v>
          </cell>
          <cell r="E581">
            <v>1067806</v>
          </cell>
          <cell r="F581">
            <v>0</v>
          </cell>
        </row>
        <row r="582">
          <cell r="A582" t="str">
            <v>GLIFE</v>
          </cell>
          <cell r="B582" t="str">
            <v>LIFE STYLE FURNITURE &amp; INTERIOR</v>
          </cell>
          <cell r="C582" t="str">
            <v>ADVAN</v>
          </cell>
          <cell r="D582">
            <v>66612</v>
          </cell>
          <cell r="E582">
            <v>66612</v>
          </cell>
          <cell r="F582">
            <v>0</v>
          </cell>
        </row>
        <row r="583">
          <cell r="A583" t="str">
            <v>GLPPL</v>
          </cell>
          <cell r="B583" t="str">
            <v>LIPPO PROPERTIES P. LTD.</v>
          </cell>
          <cell r="C583" t="str">
            <v>ADVAN</v>
          </cell>
          <cell r="D583">
            <v>2867880</v>
          </cell>
          <cell r="E583">
            <v>2867880</v>
          </cell>
          <cell r="F583">
            <v>0</v>
          </cell>
        </row>
        <row r="584">
          <cell r="A584" t="str">
            <v>GLIVI</v>
          </cell>
          <cell r="B584" t="str">
            <v>LIVISTA</v>
          </cell>
          <cell r="C584" t="str">
            <v>ADVAN</v>
          </cell>
          <cell r="D584">
            <v>30140</v>
          </cell>
          <cell r="E584">
            <v>30140</v>
          </cell>
          <cell r="F584">
            <v>0</v>
          </cell>
        </row>
        <row r="585">
          <cell r="A585" t="str">
            <v>GLKVP</v>
          </cell>
          <cell r="B585" t="str">
            <v>LKV PROJECTS</v>
          </cell>
          <cell r="C585" t="str">
            <v>ADVAN</v>
          </cell>
          <cell r="D585">
            <v>427500</v>
          </cell>
          <cell r="E585">
            <v>427500</v>
          </cell>
          <cell r="F585">
            <v>0</v>
          </cell>
        </row>
        <row r="586">
          <cell r="A586" t="str">
            <v>GE0095</v>
          </cell>
          <cell r="B586" t="str">
            <v>LOAN ACCOUNT CALCUTTA</v>
          </cell>
          <cell r="C586" t="str">
            <v>ADVAN</v>
          </cell>
          <cell r="D586">
            <v>126336</v>
          </cell>
          <cell r="E586">
            <v>126336</v>
          </cell>
          <cell r="F586">
            <v>0</v>
          </cell>
        </row>
        <row r="587">
          <cell r="A587" t="str">
            <v>GLOKU</v>
          </cell>
          <cell r="B587" t="str">
            <v>LOVE KUSH SHARMA</v>
          </cell>
          <cell r="C587" t="str">
            <v>ADVAN</v>
          </cell>
          <cell r="D587">
            <v>561</v>
          </cell>
          <cell r="E587">
            <v>561</v>
          </cell>
          <cell r="F587">
            <v>0</v>
          </cell>
        </row>
        <row r="588">
          <cell r="A588" t="str">
            <v>GLUCK</v>
          </cell>
          <cell r="B588" t="str">
            <v>LUCKY STEEL FURNITURE INDUSTRIES &amp; TRD</v>
          </cell>
          <cell r="C588" t="str">
            <v>ADVAN</v>
          </cell>
          <cell r="D588">
            <v>8750</v>
          </cell>
          <cell r="E588">
            <v>8750</v>
          </cell>
          <cell r="F588">
            <v>0</v>
          </cell>
        </row>
        <row r="589">
          <cell r="A589" t="str">
            <v>GLUIS</v>
          </cell>
          <cell r="B589" t="str">
            <v>LUIS D CRUZ</v>
          </cell>
          <cell r="C589" t="str">
            <v>ADVAN</v>
          </cell>
          <cell r="D589">
            <v>15588</v>
          </cell>
          <cell r="E589">
            <v>15588</v>
          </cell>
          <cell r="F589">
            <v>0</v>
          </cell>
        </row>
        <row r="590">
          <cell r="A590" t="str">
            <v>GLUXM</v>
          </cell>
          <cell r="B590" t="str">
            <v>LUXMI GLASS EMPORIUM</v>
          </cell>
          <cell r="C590" t="str">
            <v>ADVAN</v>
          </cell>
          <cell r="D590">
            <v>3930</v>
          </cell>
          <cell r="E590">
            <v>3930</v>
          </cell>
          <cell r="F590">
            <v>0</v>
          </cell>
        </row>
        <row r="591">
          <cell r="A591" t="str">
            <v>GMGEL</v>
          </cell>
          <cell r="B591" t="str">
            <v>M.G. ELECTRICALS</v>
          </cell>
          <cell r="C591" t="str">
            <v>ADVAN</v>
          </cell>
          <cell r="D591">
            <v>3200</v>
          </cell>
          <cell r="E591">
            <v>3200</v>
          </cell>
          <cell r="F591">
            <v>0</v>
          </cell>
        </row>
        <row r="592">
          <cell r="A592" t="str">
            <v>GMGTD</v>
          </cell>
          <cell r="B592" t="str">
            <v>M.G.TRADERS</v>
          </cell>
          <cell r="C592" t="str">
            <v>ADVAN</v>
          </cell>
          <cell r="D592">
            <v>29187</v>
          </cell>
          <cell r="E592">
            <v>29187</v>
          </cell>
          <cell r="F592">
            <v>0</v>
          </cell>
        </row>
        <row r="593">
          <cell r="A593" t="str">
            <v>GMMPA</v>
          </cell>
          <cell r="B593" t="str">
            <v>M.M. PATIL INVESTMENT &amp; LEASING PVT. LTD</v>
          </cell>
          <cell r="C593" t="str">
            <v>ADVAN</v>
          </cell>
          <cell r="D593">
            <v>296806</v>
          </cell>
          <cell r="E593">
            <v>296806</v>
          </cell>
          <cell r="F593">
            <v>0</v>
          </cell>
        </row>
        <row r="594">
          <cell r="A594" t="str">
            <v>GMREN</v>
          </cell>
          <cell r="B594" t="str">
            <v>M.R. ENGINEERING WORKS</v>
          </cell>
          <cell r="C594" t="str">
            <v>ADVAN</v>
          </cell>
          <cell r="D594">
            <v>404</v>
          </cell>
          <cell r="E594">
            <v>404</v>
          </cell>
          <cell r="F594">
            <v>0</v>
          </cell>
        </row>
        <row r="595">
          <cell r="A595" t="str">
            <v>GMSRE</v>
          </cell>
          <cell r="B595" t="str">
            <v>M.S. REFRIGERATION</v>
          </cell>
          <cell r="C595" t="str">
            <v>ADVAN</v>
          </cell>
          <cell r="D595">
            <v>3648</v>
          </cell>
          <cell r="E595">
            <v>3648</v>
          </cell>
          <cell r="F595">
            <v>0</v>
          </cell>
        </row>
        <row r="596">
          <cell r="A596" t="str">
            <v>GGVIS</v>
          </cell>
          <cell r="B596" t="str">
            <v>M/S G. VISHIN &amp; SONS</v>
          </cell>
          <cell r="C596" t="str">
            <v>ADVAN</v>
          </cell>
          <cell r="D596">
            <v>97017</v>
          </cell>
          <cell r="E596">
            <v>97017</v>
          </cell>
          <cell r="F596">
            <v>0</v>
          </cell>
        </row>
        <row r="597">
          <cell r="A597" t="str">
            <v>GKOCH</v>
          </cell>
          <cell r="B597" t="str">
            <v>M/S KOCHHAR MELAMINE INDUSTRIES P. LTD.</v>
          </cell>
          <cell r="C597" t="str">
            <v>ADVAN</v>
          </cell>
          <cell r="D597">
            <v>138949</v>
          </cell>
          <cell r="E597">
            <v>138949</v>
          </cell>
          <cell r="F597">
            <v>0</v>
          </cell>
        </row>
        <row r="598">
          <cell r="A598" t="str">
            <v>GYADE</v>
          </cell>
          <cell r="B598" t="str">
            <v>M/S YASHDEEP CONDTRUCTIONS</v>
          </cell>
          <cell r="C598" t="str">
            <v>ADVAN</v>
          </cell>
          <cell r="D598">
            <v>115724</v>
          </cell>
          <cell r="E598">
            <v>115724</v>
          </cell>
          <cell r="F598">
            <v>0</v>
          </cell>
        </row>
        <row r="599">
          <cell r="A599" t="str">
            <v>GMAAA</v>
          </cell>
          <cell r="B599" t="str">
            <v>MAA AASHAPURA ARTS</v>
          </cell>
          <cell r="C599" t="str">
            <v>ADVAN</v>
          </cell>
          <cell r="D599">
            <v>7000</v>
          </cell>
          <cell r="E599">
            <v>7000</v>
          </cell>
          <cell r="F599">
            <v>0</v>
          </cell>
        </row>
        <row r="600">
          <cell r="A600" t="str">
            <v>GMAAK</v>
          </cell>
          <cell r="B600" t="str">
            <v>MAAKAALA</v>
          </cell>
          <cell r="C600" t="str">
            <v>ADVAN</v>
          </cell>
          <cell r="D600">
            <v>115100</v>
          </cell>
          <cell r="E600">
            <v>115100</v>
          </cell>
          <cell r="F600">
            <v>0</v>
          </cell>
        </row>
        <row r="601">
          <cell r="A601" t="str">
            <v>GMADC</v>
          </cell>
          <cell r="B601" t="str">
            <v>MADAAN CONTRACTORS AND BUILDERS</v>
          </cell>
          <cell r="C601" t="str">
            <v>ADVAN</v>
          </cell>
          <cell r="D601">
            <v>14000</v>
          </cell>
          <cell r="E601">
            <v>14000</v>
          </cell>
          <cell r="F601">
            <v>0</v>
          </cell>
        </row>
        <row r="602">
          <cell r="A602" t="str">
            <v>GMARP</v>
          </cell>
          <cell r="B602" t="str">
            <v>MADANKUWAR REKHACHAND PARAKH</v>
          </cell>
          <cell r="C602" t="str">
            <v>ADVAN</v>
          </cell>
          <cell r="D602">
            <v>227544</v>
          </cell>
          <cell r="E602">
            <v>227544</v>
          </cell>
          <cell r="F602">
            <v>0</v>
          </cell>
        </row>
        <row r="603">
          <cell r="A603" t="str">
            <v>GMAEL</v>
          </cell>
          <cell r="B603" t="str">
            <v>MADHU ELECTRONICS</v>
          </cell>
          <cell r="C603" t="str">
            <v>ADVAN</v>
          </cell>
          <cell r="D603">
            <v>247300</v>
          </cell>
          <cell r="E603">
            <v>247300</v>
          </cell>
          <cell r="F603">
            <v>0</v>
          </cell>
        </row>
        <row r="604">
          <cell r="A604" t="str">
            <v>GMADHU</v>
          </cell>
          <cell r="B604" t="str">
            <v>MADHU KOHLI</v>
          </cell>
          <cell r="C604" t="str">
            <v>ADVAN</v>
          </cell>
          <cell r="D604">
            <v>105023</v>
          </cell>
          <cell r="E604">
            <v>105023</v>
          </cell>
          <cell r="F604">
            <v>0</v>
          </cell>
        </row>
        <row r="605">
          <cell r="A605" t="str">
            <v>GMAGN</v>
          </cell>
          <cell r="B605" t="str">
            <v>MAGNUM PESTICIDES CORPORATION</v>
          </cell>
          <cell r="C605" t="str">
            <v>ADVAN</v>
          </cell>
          <cell r="D605">
            <v>4801</v>
          </cell>
          <cell r="E605">
            <v>4801</v>
          </cell>
          <cell r="F605">
            <v>0</v>
          </cell>
        </row>
        <row r="606">
          <cell r="A606" t="str">
            <v>GMAHL</v>
          </cell>
          <cell r="B606" t="str">
            <v>MAHALINGA UNITED AIR EXPRESS</v>
          </cell>
          <cell r="C606" t="str">
            <v>ADVAN</v>
          </cell>
          <cell r="D606">
            <v>119</v>
          </cell>
          <cell r="E606">
            <v>119</v>
          </cell>
          <cell r="F606">
            <v>0</v>
          </cell>
        </row>
        <row r="607">
          <cell r="A607" t="str">
            <v>GMKAC</v>
          </cell>
          <cell r="B607" t="str">
            <v>MAHARASHTRA KALA ACADEMY</v>
          </cell>
          <cell r="C607" t="str">
            <v>ADVAN</v>
          </cell>
          <cell r="D607">
            <v>15000</v>
          </cell>
          <cell r="E607">
            <v>15000</v>
          </cell>
          <cell r="F607">
            <v>0</v>
          </cell>
        </row>
        <row r="608">
          <cell r="A608" t="str">
            <v>GMAEN</v>
          </cell>
          <cell r="B608" t="str">
            <v>MAHESHWARI ENTERPRISES</v>
          </cell>
          <cell r="C608" t="str">
            <v>ADVAN</v>
          </cell>
          <cell r="D608">
            <v>18630</v>
          </cell>
          <cell r="E608">
            <v>18630</v>
          </cell>
          <cell r="F608">
            <v>0</v>
          </cell>
        </row>
        <row r="609">
          <cell r="A609" t="str">
            <v>GMAS</v>
          </cell>
          <cell r="B609" t="str">
            <v>MANGLAM SYSTEMS</v>
          </cell>
          <cell r="C609" t="str">
            <v>ADVAN</v>
          </cell>
          <cell r="D609">
            <v>48750</v>
          </cell>
          <cell r="E609">
            <v>48750</v>
          </cell>
          <cell r="F609">
            <v>0</v>
          </cell>
        </row>
        <row r="610">
          <cell r="A610" t="str">
            <v>GMANS</v>
          </cell>
          <cell r="B610" t="str">
            <v>MANI SERVICES</v>
          </cell>
          <cell r="C610" t="str">
            <v>ADVAN</v>
          </cell>
          <cell r="D610">
            <v>34200</v>
          </cell>
          <cell r="E610">
            <v>34200</v>
          </cell>
          <cell r="F610">
            <v>0</v>
          </cell>
        </row>
        <row r="611">
          <cell r="A611" t="str">
            <v>GMANIE</v>
          </cell>
          <cell r="B611" t="str">
            <v>MANISH ENTERPRISES</v>
          </cell>
          <cell r="C611" t="str">
            <v>ADVAN</v>
          </cell>
          <cell r="D611">
            <v>337</v>
          </cell>
          <cell r="E611">
            <v>337</v>
          </cell>
          <cell r="F611">
            <v>0</v>
          </cell>
        </row>
        <row r="612">
          <cell r="A612" t="str">
            <v>GMAHP</v>
          </cell>
          <cell r="B612" t="str">
            <v>MANISHA H PAMNANI</v>
          </cell>
          <cell r="C612" t="str">
            <v>ADVAN</v>
          </cell>
          <cell r="D612">
            <v>1964</v>
          </cell>
          <cell r="E612">
            <v>1964</v>
          </cell>
          <cell r="F612">
            <v>0</v>
          </cell>
        </row>
        <row r="613">
          <cell r="A613" t="str">
            <v>GMANE</v>
          </cell>
          <cell r="B613" t="str">
            <v>MANJEET SINGH SETHI</v>
          </cell>
          <cell r="C613" t="str">
            <v>ADVAN</v>
          </cell>
          <cell r="D613">
            <v>12590</v>
          </cell>
          <cell r="E613">
            <v>12590</v>
          </cell>
          <cell r="F613">
            <v>0</v>
          </cell>
        </row>
        <row r="614">
          <cell r="A614" t="str">
            <v>GMANU</v>
          </cell>
          <cell r="B614" t="str">
            <v>MANJU JAIN</v>
          </cell>
          <cell r="C614" t="str">
            <v>ADVAN</v>
          </cell>
          <cell r="D614">
            <v>90095</v>
          </cell>
          <cell r="E614">
            <v>90095</v>
          </cell>
          <cell r="F614">
            <v>0</v>
          </cell>
        </row>
        <row r="615">
          <cell r="A615" t="str">
            <v>GMARA</v>
          </cell>
          <cell r="B615" t="str">
            <v>MANJU RAVI KUMAR</v>
          </cell>
          <cell r="C615" t="str">
            <v>ADVAN</v>
          </cell>
          <cell r="D615">
            <v>23001</v>
          </cell>
          <cell r="E615">
            <v>23001</v>
          </cell>
          <cell r="F615">
            <v>0</v>
          </cell>
        </row>
        <row r="616">
          <cell r="A616" t="str">
            <v>GMANL</v>
          </cell>
          <cell r="B616" t="str">
            <v>MANO ELECTRICALS</v>
          </cell>
          <cell r="C616" t="str">
            <v>ADVAN</v>
          </cell>
          <cell r="D616">
            <v>7135</v>
          </cell>
          <cell r="E616">
            <v>7135</v>
          </cell>
          <cell r="F616">
            <v>0</v>
          </cell>
        </row>
        <row r="617">
          <cell r="A617" t="str">
            <v>GMANM</v>
          </cell>
          <cell r="B617" t="str">
            <v>MANOJ KUMAR SAHU</v>
          </cell>
          <cell r="C617" t="str">
            <v>ADVAN</v>
          </cell>
          <cell r="D617">
            <v>3000</v>
          </cell>
          <cell r="E617">
            <v>3000</v>
          </cell>
          <cell r="F617">
            <v>0</v>
          </cell>
        </row>
        <row r="618">
          <cell r="A618" t="str">
            <v>GTAMB</v>
          </cell>
          <cell r="B618" t="str">
            <v>MANOJ TAMBOLI</v>
          </cell>
          <cell r="C618" t="str">
            <v>ADVAN</v>
          </cell>
          <cell r="D618">
            <v>5127</v>
          </cell>
          <cell r="E618">
            <v>5127</v>
          </cell>
          <cell r="F618">
            <v>0</v>
          </cell>
        </row>
        <row r="619">
          <cell r="A619" t="str">
            <v>GMANR</v>
          </cell>
          <cell r="B619" t="str">
            <v>MANSA RAM MAHAJAN</v>
          </cell>
          <cell r="C619" t="str">
            <v>ADVAN</v>
          </cell>
          <cell r="D619">
            <v>3517</v>
          </cell>
          <cell r="E619">
            <v>3517</v>
          </cell>
          <cell r="F619">
            <v>0</v>
          </cell>
        </row>
        <row r="620">
          <cell r="A620" t="str">
            <v>GMELE</v>
          </cell>
          <cell r="B620" t="str">
            <v>MARAGATHAM ELECTROSTATS</v>
          </cell>
          <cell r="C620" t="str">
            <v>ADVAN</v>
          </cell>
          <cell r="D620">
            <v>695.04</v>
          </cell>
          <cell r="E620">
            <v>695.04</v>
          </cell>
          <cell r="F620">
            <v>0</v>
          </cell>
        </row>
        <row r="621">
          <cell r="A621" t="str">
            <v>GM002</v>
          </cell>
          <cell r="B621" t="str">
            <v>MARGIN FROM MDS</v>
          </cell>
          <cell r="C621" t="str">
            <v>ADVAN</v>
          </cell>
          <cell r="D621">
            <v>343940.84</v>
          </cell>
          <cell r="E621">
            <v>343940.84</v>
          </cell>
          <cell r="F621">
            <v>0</v>
          </cell>
        </row>
        <row r="622">
          <cell r="A622" t="str">
            <v>GMACO</v>
          </cell>
          <cell r="B622" t="str">
            <v>MARK COM SERVICES</v>
          </cell>
          <cell r="C622" t="str">
            <v>ADVAN</v>
          </cell>
          <cell r="D622">
            <v>9000</v>
          </cell>
          <cell r="E622">
            <v>9000</v>
          </cell>
          <cell r="F622">
            <v>0</v>
          </cell>
        </row>
        <row r="623">
          <cell r="A623" t="str">
            <v>GMARU</v>
          </cell>
          <cell r="B623" t="str">
            <v>MARU ELECTRONICS</v>
          </cell>
          <cell r="C623" t="str">
            <v>ADVAN</v>
          </cell>
          <cell r="D623">
            <v>67387</v>
          </cell>
          <cell r="E623">
            <v>67387</v>
          </cell>
          <cell r="F623">
            <v>0</v>
          </cell>
        </row>
        <row r="624">
          <cell r="A624" t="str">
            <v>GMAELE</v>
          </cell>
          <cell r="B624" t="str">
            <v>MARUTHAM ELECTRICALS</v>
          </cell>
          <cell r="C624" t="str">
            <v>ADVAN</v>
          </cell>
          <cell r="D624">
            <v>6240</v>
          </cell>
          <cell r="E624">
            <v>6240</v>
          </cell>
          <cell r="F624">
            <v>0</v>
          </cell>
        </row>
        <row r="625">
          <cell r="A625" t="str">
            <v>GMARN</v>
          </cell>
          <cell r="B625" t="str">
            <v>MARYANN D CRUZ</v>
          </cell>
          <cell r="C625" t="str">
            <v>ADVAN</v>
          </cell>
          <cell r="D625">
            <v>15588</v>
          </cell>
          <cell r="E625">
            <v>15588</v>
          </cell>
          <cell r="F625">
            <v>0</v>
          </cell>
        </row>
        <row r="626">
          <cell r="A626" t="str">
            <v>GMAST</v>
          </cell>
          <cell r="B626" t="str">
            <v>MASTER ASHMEET SINGH</v>
          </cell>
          <cell r="C626" t="str">
            <v>ADVAN</v>
          </cell>
          <cell r="D626">
            <v>14980</v>
          </cell>
          <cell r="E626">
            <v>14980</v>
          </cell>
          <cell r="F626">
            <v>0</v>
          </cell>
        </row>
        <row r="627">
          <cell r="A627" t="str">
            <v>GMASC</v>
          </cell>
          <cell r="B627" t="str">
            <v>MASTER CONSULTANCY SERVICES</v>
          </cell>
          <cell r="C627" t="str">
            <v>ADVAN</v>
          </cell>
          <cell r="D627">
            <v>38500</v>
          </cell>
          <cell r="E627">
            <v>38500</v>
          </cell>
          <cell r="F627">
            <v>0</v>
          </cell>
        </row>
        <row r="628">
          <cell r="A628" t="str">
            <v>GMATC</v>
          </cell>
          <cell r="B628" t="str">
            <v>MATRIX CONSULTANTS</v>
          </cell>
          <cell r="C628" t="str">
            <v>ADVAN</v>
          </cell>
          <cell r="D628">
            <v>1823</v>
          </cell>
          <cell r="E628">
            <v>1823</v>
          </cell>
          <cell r="F628">
            <v>0</v>
          </cell>
        </row>
        <row r="629">
          <cell r="A629" t="str">
            <v>GMAULI</v>
          </cell>
          <cell r="B629" t="str">
            <v>MAULI STEEL FABRICRATERS</v>
          </cell>
          <cell r="C629" t="str">
            <v>ADVAN</v>
          </cell>
          <cell r="D629">
            <v>9000</v>
          </cell>
          <cell r="E629">
            <v>9000</v>
          </cell>
          <cell r="F629">
            <v>0</v>
          </cell>
        </row>
        <row r="630">
          <cell r="A630" t="str">
            <v>GMAXF</v>
          </cell>
          <cell r="B630" t="str">
            <v>MAX FREEZE ENGINEERS</v>
          </cell>
          <cell r="C630" t="str">
            <v>ADVAN</v>
          </cell>
          <cell r="D630">
            <v>27450</v>
          </cell>
          <cell r="E630">
            <v>27450</v>
          </cell>
          <cell r="F630">
            <v>0</v>
          </cell>
        </row>
        <row r="631">
          <cell r="A631" t="str">
            <v>GMAXB</v>
          </cell>
          <cell r="B631" t="str">
            <v>MAXBEN FINANCE PVT. LTD</v>
          </cell>
          <cell r="C631" t="str">
            <v>ADVAN</v>
          </cell>
          <cell r="D631">
            <v>5100</v>
          </cell>
          <cell r="E631">
            <v>5100</v>
          </cell>
          <cell r="F631">
            <v>0</v>
          </cell>
        </row>
        <row r="632">
          <cell r="A632" t="str">
            <v>GMAXX</v>
          </cell>
          <cell r="B632" t="str">
            <v>MAXXIS COMMUNICATIONS PVT.LTD</v>
          </cell>
          <cell r="C632" t="str">
            <v>ADVAN</v>
          </cell>
          <cell r="D632">
            <v>700</v>
          </cell>
          <cell r="E632">
            <v>700</v>
          </cell>
          <cell r="F632">
            <v>0</v>
          </cell>
        </row>
        <row r="633">
          <cell r="A633" t="str">
            <v>GMEDI</v>
          </cell>
          <cell r="B633" t="str">
            <v>MEDIA SYSTEM</v>
          </cell>
          <cell r="C633" t="str">
            <v>ADVAN</v>
          </cell>
          <cell r="D633">
            <v>50740</v>
          </cell>
          <cell r="E633">
            <v>50740</v>
          </cell>
          <cell r="F633">
            <v>0</v>
          </cell>
        </row>
        <row r="634">
          <cell r="A634" t="str">
            <v>GMEEN</v>
          </cell>
          <cell r="B634" t="str">
            <v>MEENA R SHAH</v>
          </cell>
          <cell r="C634" t="str">
            <v>ADVAN</v>
          </cell>
          <cell r="D634">
            <v>33880</v>
          </cell>
          <cell r="E634">
            <v>33880</v>
          </cell>
          <cell r="F634">
            <v>0</v>
          </cell>
        </row>
        <row r="635">
          <cell r="A635" t="str">
            <v>GMEGD</v>
          </cell>
          <cell r="B635" t="str">
            <v>MEGA DISTRIBUTORS</v>
          </cell>
          <cell r="C635" t="str">
            <v>ADVAN</v>
          </cell>
          <cell r="D635">
            <v>226</v>
          </cell>
          <cell r="E635">
            <v>226</v>
          </cell>
          <cell r="F635">
            <v>0</v>
          </cell>
        </row>
        <row r="636">
          <cell r="A636" t="str">
            <v>GMEGA</v>
          </cell>
          <cell r="B636" t="str">
            <v>MEGA HERTZ TECHNOLOGIES</v>
          </cell>
          <cell r="C636" t="str">
            <v>ADVAN</v>
          </cell>
          <cell r="D636">
            <v>13825</v>
          </cell>
          <cell r="E636">
            <v>13825</v>
          </cell>
          <cell r="F636">
            <v>0</v>
          </cell>
        </row>
        <row r="637">
          <cell r="A637" t="str">
            <v>GMICR</v>
          </cell>
          <cell r="B637" t="str">
            <v>MICRONET SOLUTIONS</v>
          </cell>
          <cell r="C637" t="str">
            <v>ADVAN</v>
          </cell>
          <cell r="D637">
            <v>3500</v>
          </cell>
          <cell r="E637">
            <v>3500</v>
          </cell>
          <cell r="F637">
            <v>0</v>
          </cell>
        </row>
        <row r="638">
          <cell r="A638" t="str">
            <v>GMCSS</v>
          </cell>
          <cell r="B638" t="str">
            <v>MICROSENSE COMPUTER SALES AND SERVICES</v>
          </cell>
          <cell r="C638" t="str">
            <v>ADVAN</v>
          </cell>
          <cell r="D638">
            <v>3400</v>
          </cell>
          <cell r="E638">
            <v>3400</v>
          </cell>
          <cell r="F638">
            <v>0</v>
          </cell>
        </row>
        <row r="639">
          <cell r="A639" t="str">
            <v>GMILD</v>
          </cell>
          <cell r="B639" t="str">
            <v>MILAN DECORATORS</v>
          </cell>
          <cell r="C639" t="str">
            <v>ADVAN</v>
          </cell>
          <cell r="D639">
            <v>2858</v>
          </cell>
          <cell r="E639">
            <v>2858</v>
          </cell>
          <cell r="F639">
            <v>0</v>
          </cell>
        </row>
        <row r="640">
          <cell r="A640" t="str">
            <v>GMITH</v>
          </cell>
          <cell r="B640" t="str">
            <v>MITHI SOFTWARE TECHNOLOGIES PVT LTD</v>
          </cell>
          <cell r="C640" t="str">
            <v>ADVAN</v>
          </cell>
          <cell r="D640">
            <v>20000</v>
          </cell>
          <cell r="E640">
            <v>20000</v>
          </cell>
          <cell r="F640">
            <v>0</v>
          </cell>
        </row>
        <row r="641">
          <cell r="A641" t="str">
            <v>GMNSC</v>
          </cell>
          <cell r="B641" t="str">
            <v>MNS COMPUTER</v>
          </cell>
          <cell r="C641" t="str">
            <v>ADVAN</v>
          </cell>
          <cell r="D641">
            <v>63712</v>
          </cell>
          <cell r="E641">
            <v>63712</v>
          </cell>
          <cell r="F641">
            <v>0</v>
          </cell>
        </row>
        <row r="642">
          <cell r="A642" t="str">
            <v>GMOGA</v>
          </cell>
          <cell r="B642" t="str">
            <v>MOBILE GALLERY</v>
          </cell>
          <cell r="C642" t="str">
            <v>ADVAN</v>
          </cell>
          <cell r="D642">
            <v>19200</v>
          </cell>
          <cell r="E642">
            <v>19200</v>
          </cell>
          <cell r="F642">
            <v>0</v>
          </cell>
        </row>
        <row r="643">
          <cell r="A643" t="str">
            <v>GMJUN</v>
          </cell>
          <cell r="B643" t="str">
            <v>MOBILE JUNCTION</v>
          </cell>
          <cell r="C643" t="str">
            <v>ADVAN</v>
          </cell>
          <cell r="D643">
            <v>1561</v>
          </cell>
          <cell r="E643">
            <v>1561</v>
          </cell>
          <cell r="F643">
            <v>0</v>
          </cell>
        </row>
        <row r="644">
          <cell r="A644" t="str">
            <v>GMODR</v>
          </cell>
          <cell r="B644" t="str">
            <v>MODERN FURNITURE HOUSE</v>
          </cell>
          <cell r="C644" t="str">
            <v>ADVAN</v>
          </cell>
          <cell r="D644">
            <v>276063</v>
          </cell>
          <cell r="E644">
            <v>276063</v>
          </cell>
          <cell r="F644">
            <v>0</v>
          </cell>
        </row>
        <row r="645">
          <cell r="A645" t="str">
            <v>GMODY</v>
          </cell>
          <cell r="B645" t="str">
            <v>MODY FOUNDATION</v>
          </cell>
          <cell r="C645" t="str">
            <v>ADVAN</v>
          </cell>
          <cell r="D645">
            <v>60000</v>
          </cell>
          <cell r="E645">
            <v>60000</v>
          </cell>
          <cell r="F645">
            <v>0</v>
          </cell>
        </row>
        <row r="646">
          <cell r="A646" t="str">
            <v>GMOJI</v>
          </cell>
          <cell r="B646" t="str">
            <v>MOJIKA APPLIANCES PVT. LTD.</v>
          </cell>
          <cell r="C646" t="str">
            <v>ADVAN</v>
          </cell>
          <cell r="D646">
            <v>5440</v>
          </cell>
          <cell r="E646">
            <v>5440</v>
          </cell>
          <cell r="F646">
            <v>0</v>
          </cell>
        </row>
        <row r="647">
          <cell r="A647" t="str">
            <v>GMONA</v>
          </cell>
          <cell r="B647" t="str">
            <v>MONA V. PUNJABI</v>
          </cell>
          <cell r="C647" t="str">
            <v>ADVAN</v>
          </cell>
          <cell r="D647">
            <v>109699</v>
          </cell>
          <cell r="E647">
            <v>109699</v>
          </cell>
          <cell r="F647">
            <v>0</v>
          </cell>
        </row>
        <row r="648">
          <cell r="A648" t="str">
            <v>GMONI</v>
          </cell>
          <cell r="B648" t="str">
            <v>MONISHA ENTERPRISES</v>
          </cell>
          <cell r="C648" t="str">
            <v>ADVAN</v>
          </cell>
          <cell r="D648">
            <v>9203.89</v>
          </cell>
          <cell r="E648">
            <v>9203.89</v>
          </cell>
          <cell r="F648">
            <v>0</v>
          </cell>
        </row>
        <row r="649">
          <cell r="A649" t="str">
            <v>GMONL</v>
          </cell>
          <cell r="B649" t="str">
            <v>MOONA LALL &amp; SONS PVT. LTD</v>
          </cell>
          <cell r="C649" t="str">
            <v>ADVAN</v>
          </cell>
          <cell r="D649">
            <v>21400</v>
          </cell>
          <cell r="E649">
            <v>21400</v>
          </cell>
          <cell r="F649">
            <v>0</v>
          </cell>
        </row>
        <row r="650">
          <cell r="A650" t="str">
            <v>GMMCA</v>
          </cell>
          <cell r="B650" t="str">
            <v>MORISON MENON CHARTERED ACCOUTANT</v>
          </cell>
          <cell r="C650" t="str">
            <v>ADVAN</v>
          </cell>
          <cell r="D650">
            <v>75420</v>
          </cell>
          <cell r="E650">
            <v>75420</v>
          </cell>
          <cell r="F650">
            <v>0</v>
          </cell>
        </row>
        <row r="651">
          <cell r="A651" t="str">
            <v>GMOTI</v>
          </cell>
          <cell r="B651" t="str">
            <v>MOTI PESSUMAL TAHILRAMANI</v>
          </cell>
          <cell r="C651" t="str">
            <v>ADVAN</v>
          </cell>
          <cell r="D651">
            <v>49584</v>
          </cell>
          <cell r="E651">
            <v>49584</v>
          </cell>
          <cell r="F651">
            <v>0</v>
          </cell>
        </row>
        <row r="652">
          <cell r="A652" t="str">
            <v>GMPLF</v>
          </cell>
          <cell r="B652" t="str">
            <v>MPL FORD</v>
          </cell>
          <cell r="C652" t="str">
            <v>ADVAN</v>
          </cell>
          <cell r="D652">
            <v>78052</v>
          </cell>
          <cell r="E652">
            <v>78052</v>
          </cell>
          <cell r="F652">
            <v>0</v>
          </cell>
        </row>
        <row r="653">
          <cell r="A653" t="str">
            <v>GABED</v>
          </cell>
          <cell r="B653" t="str">
            <v>MRS. ABEDA PEERPASHAHUSENI INAMDAR</v>
          </cell>
          <cell r="C653" t="str">
            <v>ADVAN</v>
          </cell>
          <cell r="D653">
            <v>25245</v>
          </cell>
          <cell r="E653">
            <v>25245</v>
          </cell>
          <cell r="F653">
            <v>0</v>
          </cell>
        </row>
        <row r="654">
          <cell r="A654" t="str">
            <v>GMUKK</v>
          </cell>
          <cell r="B654" t="str">
            <v>MUKESH KANJANI</v>
          </cell>
          <cell r="C654" t="str">
            <v>ADVAN</v>
          </cell>
          <cell r="D654">
            <v>114052</v>
          </cell>
          <cell r="E654">
            <v>114052</v>
          </cell>
          <cell r="F654">
            <v>0</v>
          </cell>
        </row>
        <row r="655">
          <cell r="A655" t="str">
            <v>GMUKL</v>
          </cell>
          <cell r="B655" t="str">
            <v>MUKUL R GUPTA</v>
          </cell>
          <cell r="C655" t="str">
            <v>ADVAN</v>
          </cell>
          <cell r="D655">
            <v>12000</v>
          </cell>
          <cell r="E655">
            <v>12000</v>
          </cell>
          <cell r="F655">
            <v>0</v>
          </cell>
        </row>
        <row r="656">
          <cell r="A656" t="str">
            <v>GMURI</v>
          </cell>
          <cell r="B656" t="str">
            <v>MURIEL BRANCO &amp; ANTHONY BRANCO</v>
          </cell>
          <cell r="C656" t="str">
            <v>ADVAN</v>
          </cell>
          <cell r="D656">
            <v>76042</v>
          </cell>
          <cell r="E656">
            <v>76042</v>
          </cell>
          <cell r="F656">
            <v>0</v>
          </cell>
        </row>
        <row r="657">
          <cell r="A657" t="str">
            <v>GMURT</v>
          </cell>
          <cell r="B657" t="str">
            <v>MURTHI AGENCIES</v>
          </cell>
          <cell r="C657" t="str">
            <v>ADVAN</v>
          </cell>
          <cell r="D657">
            <v>989</v>
          </cell>
          <cell r="E657">
            <v>989</v>
          </cell>
          <cell r="F657">
            <v>0</v>
          </cell>
        </row>
        <row r="658">
          <cell r="A658" t="str">
            <v>GMUSK</v>
          </cell>
          <cell r="B658" t="str">
            <v>MUSKAN VENITIAN BLINDS ENTERPRISES</v>
          </cell>
          <cell r="C658" t="str">
            <v>ADVAN</v>
          </cell>
          <cell r="D658">
            <v>10654</v>
          </cell>
          <cell r="E658">
            <v>10654</v>
          </cell>
          <cell r="F658">
            <v>0</v>
          </cell>
        </row>
        <row r="659">
          <cell r="A659" t="str">
            <v>GMYIT</v>
          </cell>
          <cell r="B659" t="str">
            <v>MY IT CENTER INDIA PVT. LTD.</v>
          </cell>
          <cell r="C659" t="str">
            <v>ADVAN</v>
          </cell>
          <cell r="D659">
            <v>9450</v>
          </cell>
          <cell r="E659">
            <v>9450</v>
          </cell>
          <cell r="F659">
            <v>0</v>
          </cell>
        </row>
        <row r="660">
          <cell r="A660" t="str">
            <v>GNCOM</v>
          </cell>
          <cell r="B660" t="str">
            <v>N COMPUTECH</v>
          </cell>
          <cell r="C660" t="str">
            <v>ADVAN</v>
          </cell>
          <cell r="D660">
            <v>8100</v>
          </cell>
          <cell r="E660">
            <v>8100</v>
          </cell>
          <cell r="F660">
            <v>0</v>
          </cell>
        </row>
        <row r="661">
          <cell r="A661" t="str">
            <v>GNPOR</v>
          </cell>
          <cell r="B661" t="str">
            <v>N PORUS INFOTEK</v>
          </cell>
          <cell r="C661" t="str">
            <v>ADVAN</v>
          </cell>
          <cell r="D661">
            <v>19420</v>
          </cell>
          <cell r="E661">
            <v>19420</v>
          </cell>
          <cell r="F661">
            <v>0</v>
          </cell>
        </row>
        <row r="662">
          <cell r="A662" t="str">
            <v>GNAAU</v>
          </cell>
          <cell r="B662" t="str">
            <v>NANDA AUTOMOBILES PVT LTD</v>
          </cell>
          <cell r="C662" t="str">
            <v>ADVAN</v>
          </cell>
          <cell r="D662">
            <v>20000</v>
          </cell>
          <cell r="E662">
            <v>20000</v>
          </cell>
          <cell r="F662">
            <v>0</v>
          </cell>
        </row>
        <row r="663">
          <cell r="A663" t="str">
            <v>GNARH</v>
          </cell>
          <cell r="B663" t="str">
            <v>NARANBHAI H PATEL (HUF)</v>
          </cell>
          <cell r="C663" t="str">
            <v>ADVAN</v>
          </cell>
          <cell r="D663">
            <v>134148</v>
          </cell>
          <cell r="E663">
            <v>134148</v>
          </cell>
          <cell r="F663">
            <v>0</v>
          </cell>
        </row>
        <row r="664">
          <cell r="A664" t="str">
            <v>GNARE</v>
          </cell>
          <cell r="B664" t="str">
            <v>NARENDRA PAL SINGH</v>
          </cell>
          <cell r="C664" t="str">
            <v>ADVAN</v>
          </cell>
          <cell r="D664">
            <v>37880</v>
          </cell>
          <cell r="E664">
            <v>37880</v>
          </cell>
          <cell r="F664">
            <v>0</v>
          </cell>
        </row>
        <row r="665">
          <cell r="A665" t="str">
            <v>GNARM</v>
          </cell>
          <cell r="B665" t="str">
            <v>NARESH RATILAL MAKWANA</v>
          </cell>
          <cell r="C665" t="str">
            <v>ADVAN</v>
          </cell>
          <cell r="D665">
            <v>1060</v>
          </cell>
          <cell r="E665">
            <v>1060</v>
          </cell>
          <cell r="F665">
            <v>0</v>
          </cell>
        </row>
        <row r="666">
          <cell r="A666" t="str">
            <v>GNARI</v>
          </cell>
          <cell r="B666" t="str">
            <v>NARINDER KAUR</v>
          </cell>
          <cell r="C666" t="str">
            <v>ADVAN</v>
          </cell>
          <cell r="D666">
            <v>14980</v>
          </cell>
          <cell r="E666">
            <v>14980</v>
          </cell>
          <cell r="F666">
            <v>0</v>
          </cell>
        </row>
        <row r="667">
          <cell r="A667" t="str">
            <v>GNACS</v>
          </cell>
          <cell r="B667" t="str">
            <v>NATIONAL COMMERCIAL SERVICES</v>
          </cell>
          <cell r="C667" t="str">
            <v>ADVAN</v>
          </cell>
          <cell r="D667">
            <v>388</v>
          </cell>
          <cell r="E667">
            <v>388</v>
          </cell>
          <cell r="F667">
            <v>0</v>
          </cell>
        </row>
        <row r="668">
          <cell r="A668" t="str">
            <v>GNTON</v>
          </cell>
          <cell r="B668" t="str">
            <v>NATIONAL ELECTRONICS</v>
          </cell>
          <cell r="C668" t="str">
            <v>ADVAN</v>
          </cell>
          <cell r="D668">
            <v>6500</v>
          </cell>
          <cell r="E668">
            <v>6500</v>
          </cell>
          <cell r="F668">
            <v>0</v>
          </cell>
        </row>
        <row r="669">
          <cell r="A669" t="str">
            <v>GNSCCL</v>
          </cell>
          <cell r="B669" t="str">
            <v>NATIONAL SECURITIES CLEARING CORPORATION LTD</v>
          </cell>
          <cell r="C669" t="str">
            <v>ADVAN</v>
          </cell>
          <cell r="D669">
            <v>737641.61</v>
          </cell>
          <cell r="E669">
            <v>39848.339999999997</v>
          </cell>
          <cell r="F669">
            <v>697793.27</v>
          </cell>
        </row>
        <row r="670">
          <cell r="A670" t="str">
            <v>GBSEL</v>
          </cell>
          <cell r="B670" t="str">
            <v>NATIONAL STOCK EXCHANGE LIMITED</v>
          </cell>
          <cell r="C670" t="str">
            <v>ADVAN</v>
          </cell>
          <cell r="D670">
            <v>19153.5</v>
          </cell>
          <cell r="E670">
            <v>0</v>
          </cell>
          <cell r="F670">
            <v>19153.5</v>
          </cell>
        </row>
        <row r="671">
          <cell r="A671" t="str">
            <v>GNAST</v>
          </cell>
          <cell r="B671" t="str">
            <v>NATIONAL STOCK EXCHANGE OF INDIA LIMITED</v>
          </cell>
          <cell r="C671" t="str">
            <v>ADVAN</v>
          </cell>
          <cell r="D671">
            <v>3952052.01</v>
          </cell>
          <cell r="E671">
            <v>455460.44</v>
          </cell>
          <cell r="F671">
            <v>3496591.57</v>
          </cell>
        </row>
        <row r="672">
          <cell r="A672" t="str">
            <v>GNAKO</v>
          </cell>
          <cell r="B672" t="str">
            <v>NAVEEN KOTHARI</v>
          </cell>
          <cell r="C672" t="str">
            <v>ADVAN</v>
          </cell>
          <cell r="D672">
            <v>1842</v>
          </cell>
          <cell r="E672">
            <v>1842</v>
          </cell>
          <cell r="F672">
            <v>0</v>
          </cell>
        </row>
        <row r="673">
          <cell r="A673" t="str">
            <v>GNAVI</v>
          </cell>
          <cell r="B673" t="str">
            <v>NAVIN INTERNATIONAL</v>
          </cell>
          <cell r="C673" t="str">
            <v>ADVAN</v>
          </cell>
          <cell r="D673">
            <v>46967</v>
          </cell>
          <cell r="E673">
            <v>46967</v>
          </cell>
          <cell r="F673">
            <v>0</v>
          </cell>
        </row>
        <row r="674">
          <cell r="A674" t="str">
            <v>GNAVK</v>
          </cell>
          <cell r="B674" t="str">
            <v>NAVKETAN CONSTUCTION PVT LTD</v>
          </cell>
          <cell r="C674" t="str">
            <v>ADVAN</v>
          </cell>
          <cell r="D674">
            <v>10000</v>
          </cell>
          <cell r="E674">
            <v>10000</v>
          </cell>
          <cell r="F674">
            <v>0</v>
          </cell>
        </row>
        <row r="675">
          <cell r="A675" t="str">
            <v>GNAYA</v>
          </cell>
          <cell r="B675" t="str">
            <v>NAYANA SURYAKANT PATEL</v>
          </cell>
          <cell r="C675" t="str">
            <v>ADVAN</v>
          </cell>
          <cell r="D675">
            <v>179824</v>
          </cell>
          <cell r="E675">
            <v>179824</v>
          </cell>
          <cell r="F675">
            <v>0</v>
          </cell>
        </row>
        <row r="676">
          <cell r="A676" t="str">
            <v>GNDTVLT</v>
          </cell>
          <cell r="B676" t="str">
            <v>NDTV LTD</v>
          </cell>
          <cell r="C676" t="str">
            <v>ADVAN</v>
          </cell>
          <cell r="D676">
            <v>149360</v>
          </cell>
          <cell r="E676">
            <v>149360</v>
          </cell>
          <cell r="F676">
            <v>0</v>
          </cell>
        </row>
        <row r="677">
          <cell r="A677" t="str">
            <v>GNEKH</v>
          </cell>
          <cell r="B677" t="str">
            <v>NEELAM KHANNA</v>
          </cell>
          <cell r="C677" t="str">
            <v>ADVAN</v>
          </cell>
          <cell r="D677">
            <v>50000</v>
          </cell>
          <cell r="E677">
            <v>50000</v>
          </cell>
          <cell r="F677">
            <v>0</v>
          </cell>
        </row>
        <row r="678">
          <cell r="A678" t="str">
            <v>GNEKA</v>
          </cell>
          <cell r="B678" t="str">
            <v>NEELKANT</v>
          </cell>
          <cell r="C678" t="str">
            <v>ADVAN</v>
          </cell>
          <cell r="D678">
            <v>2200</v>
          </cell>
          <cell r="E678">
            <v>2200</v>
          </cell>
          <cell r="F678">
            <v>0</v>
          </cell>
        </row>
        <row r="679">
          <cell r="A679" t="str">
            <v>GNEEL</v>
          </cell>
          <cell r="B679" t="str">
            <v>NEELU CHANDRA</v>
          </cell>
          <cell r="C679" t="str">
            <v>ADVAN</v>
          </cell>
          <cell r="D679">
            <v>60000</v>
          </cell>
          <cell r="E679">
            <v>60000</v>
          </cell>
          <cell r="F679">
            <v>0</v>
          </cell>
        </row>
        <row r="680">
          <cell r="A680" t="str">
            <v>GNEMI</v>
          </cell>
          <cell r="B680" t="str">
            <v>NEMINATH FURNITURE</v>
          </cell>
          <cell r="C680" t="str">
            <v>ADVAN</v>
          </cell>
          <cell r="D680">
            <v>3015</v>
          </cell>
          <cell r="E680">
            <v>3015</v>
          </cell>
          <cell r="F680">
            <v>0</v>
          </cell>
        </row>
        <row r="681">
          <cell r="A681" t="str">
            <v>GNETC</v>
          </cell>
          <cell r="B681" t="str">
            <v>NETCOM</v>
          </cell>
          <cell r="C681" t="str">
            <v>ADVAN</v>
          </cell>
          <cell r="D681">
            <v>21500</v>
          </cell>
          <cell r="E681">
            <v>21500</v>
          </cell>
          <cell r="F681">
            <v>0</v>
          </cell>
        </row>
        <row r="682">
          <cell r="A682" t="str">
            <v>GNETR</v>
          </cell>
          <cell r="B682" t="str">
            <v>NETRA ENTERPRISES</v>
          </cell>
          <cell r="C682" t="str">
            <v>ADVAN</v>
          </cell>
          <cell r="D682">
            <v>3000</v>
          </cell>
          <cell r="E682">
            <v>3000</v>
          </cell>
          <cell r="F682">
            <v>0</v>
          </cell>
        </row>
        <row r="683">
          <cell r="A683" t="str">
            <v>GNUET</v>
          </cell>
          <cell r="B683" t="str">
            <v>NEU-TECH COMPUTER</v>
          </cell>
          <cell r="C683" t="str">
            <v>ADVAN</v>
          </cell>
          <cell r="D683">
            <v>25600</v>
          </cell>
          <cell r="E683">
            <v>25600</v>
          </cell>
          <cell r="F683">
            <v>0</v>
          </cell>
        </row>
        <row r="684">
          <cell r="A684" t="str">
            <v>GNEDC</v>
          </cell>
          <cell r="B684" t="str">
            <v>NEW DART EXPRESS</v>
          </cell>
          <cell r="C684" t="str">
            <v>ADVAN</v>
          </cell>
          <cell r="D684">
            <v>80</v>
          </cell>
          <cell r="E684">
            <v>80</v>
          </cell>
          <cell r="F684">
            <v>0</v>
          </cell>
        </row>
        <row r="685">
          <cell r="A685" t="str">
            <v>GNDTV</v>
          </cell>
          <cell r="B685" t="str">
            <v>NEW DELHI TELEVISION LIMITED</v>
          </cell>
          <cell r="C685" t="str">
            <v>ADVAN</v>
          </cell>
          <cell r="D685">
            <v>1364642</v>
          </cell>
          <cell r="E685">
            <v>1364642</v>
          </cell>
          <cell r="F685">
            <v>0</v>
          </cell>
        </row>
        <row r="686">
          <cell r="A686" t="str">
            <v>GNEWI</v>
          </cell>
          <cell r="B686" t="str">
            <v>NEW IMPERIAL TRAVELS</v>
          </cell>
          <cell r="C686" t="str">
            <v>ADVAN</v>
          </cell>
          <cell r="D686">
            <v>12371</v>
          </cell>
          <cell r="E686">
            <v>12371</v>
          </cell>
          <cell r="F686">
            <v>0</v>
          </cell>
        </row>
        <row r="687">
          <cell r="A687" t="str">
            <v>GNEWE</v>
          </cell>
          <cell r="B687" t="str">
            <v>NEW REGAL TAXI SERVICE</v>
          </cell>
          <cell r="C687" t="str">
            <v>ADVAN</v>
          </cell>
          <cell r="D687">
            <v>58049</v>
          </cell>
          <cell r="E687">
            <v>58049</v>
          </cell>
          <cell r="F687">
            <v>0</v>
          </cell>
        </row>
        <row r="688">
          <cell r="A688" t="str">
            <v>GNSFH</v>
          </cell>
          <cell r="B688" t="str">
            <v>NEW STEEL FURNITURE HOUSE</v>
          </cell>
          <cell r="C688" t="str">
            <v>ADVAN</v>
          </cell>
          <cell r="D688">
            <v>12138</v>
          </cell>
          <cell r="E688">
            <v>12138</v>
          </cell>
          <cell r="F688">
            <v>0</v>
          </cell>
        </row>
        <row r="689">
          <cell r="A689" t="str">
            <v>GNGRE</v>
          </cell>
          <cell r="B689" t="str">
            <v>NG RESEARCH &amp; TECHNOLOGIES</v>
          </cell>
          <cell r="C689" t="str">
            <v>ADVAN</v>
          </cell>
          <cell r="D689">
            <v>39400</v>
          </cell>
          <cell r="E689">
            <v>39400</v>
          </cell>
          <cell r="F689">
            <v>0</v>
          </cell>
        </row>
        <row r="690">
          <cell r="A690" t="str">
            <v>GNIHI</v>
          </cell>
          <cell r="B690" t="str">
            <v>NIHIT FINANCIAL CONSULTANTS PVT LTD</v>
          </cell>
          <cell r="C690" t="str">
            <v>ADVAN</v>
          </cell>
          <cell r="D690">
            <v>97348</v>
          </cell>
          <cell r="E690">
            <v>97348</v>
          </cell>
          <cell r="F690">
            <v>0</v>
          </cell>
        </row>
        <row r="691">
          <cell r="A691" t="str">
            <v>GNIKJ</v>
          </cell>
          <cell r="B691" t="str">
            <v>NIKHIL JASAVANTRAI SALOT</v>
          </cell>
          <cell r="C691" t="str">
            <v>ADVAN</v>
          </cell>
          <cell r="D691">
            <v>130867</v>
          </cell>
          <cell r="E691">
            <v>130867</v>
          </cell>
          <cell r="F691">
            <v>0</v>
          </cell>
        </row>
        <row r="692">
          <cell r="A692" t="str">
            <v>GNILA</v>
          </cell>
          <cell r="B692" t="str">
            <v>NILANBHAI RANJITBHAI GORAGANDHI</v>
          </cell>
          <cell r="C692" t="str">
            <v>ADVAN</v>
          </cell>
          <cell r="D692">
            <v>94490</v>
          </cell>
          <cell r="E692">
            <v>94490</v>
          </cell>
          <cell r="F692">
            <v>0</v>
          </cell>
        </row>
        <row r="693">
          <cell r="A693" t="str">
            <v>GNILE</v>
          </cell>
          <cell r="B693" t="str">
            <v>NILESH VYAVHARE</v>
          </cell>
          <cell r="C693" t="str">
            <v>ADVAN</v>
          </cell>
          <cell r="D693">
            <v>153614</v>
          </cell>
          <cell r="E693">
            <v>153614</v>
          </cell>
          <cell r="F693">
            <v>0</v>
          </cell>
        </row>
        <row r="694">
          <cell r="A694" t="str">
            <v>GNILG</v>
          </cell>
          <cell r="B694" t="str">
            <v>NILGIRI INFRASTRUCTURE LIMITED</v>
          </cell>
          <cell r="C694" t="str">
            <v>ADVAN</v>
          </cell>
          <cell r="D694">
            <v>5000</v>
          </cell>
          <cell r="E694">
            <v>5000</v>
          </cell>
          <cell r="F694">
            <v>0</v>
          </cell>
        </row>
        <row r="695">
          <cell r="A695" t="str">
            <v>GNISP</v>
          </cell>
          <cell r="B695" t="str">
            <v>NIS SPARTA LTD</v>
          </cell>
          <cell r="C695" t="str">
            <v>ADVAN</v>
          </cell>
          <cell r="D695">
            <v>29070</v>
          </cell>
          <cell r="E695">
            <v>29070</v>
          </cell>
          <cell r="F695">
            <v>0</v>
          </cell>
        </row>
        <row r="696">
          <cell r="A696" t="str">
            <v>GNITA</v>
          </cell>
          <cell r="B696" t="str">
            <v>NITABEN BIPIN KUMAR PATEL</v>
          </cell>
          <cell r="C696" t="str">
            <v>ADVAN</v>
          </cell>
          <cell r="D696">
            <v>29604</v>
          </cell>
          <cell r="E696">
            <v>29604</v>
          </cell>
          <cell r="F696">
            <v>0</v>
          </cell>
        </row>
        <row r="697">
          <cell r="A697" t="str">
            <v>GNITV</v>
          </cell>
          <cell r="B697" t="str">
            <v>NITIN VISPUTE</v>
          </cell>
          <cell r="C697" t="str">
            <v>ADVAN</v>
          </cell>
          <cell r="D697">
            <v>9848</v>
          </cell>
          <cell r="E697">
            <v>9848</v>
          </cell>
          <cell r="F697">
            <v>0</v>
          </cell>
        </row>
        <row r="698">
          <cell r="A698" t="str">
            <v>GOTIL</v>
          </cell>
          <cell r="B698" t="str">
            <v>OASIS TOURS INDIA PVT LTD</v>
          </cell>
          <cell r="C698" t="str">
            <v>ADVAN</v>
          </cell>
          <cell r="D698">
            <v>6492</v>
          </cell>
          <cell r="E698">
            <v>6492</v>
          </cell>
          <cell r="F698">
            <v>0</v>
          </cell>
        </row>
        <row r="699">
          <cell r="A699" t="str">
            <v>GODCC</v>
          </cell>
          <cell r="B699" t="str">
            <v>ODC SERVICES</v>
          </cell>
          <cell r="C699" t="str">
            <v>ADVAN</v>
          </cell>
          <cell r="D699">
            <v>2724</v>
          </cell>
          <cell r="E699">
            <v>2724</v>
          </cell>
          <cell r="F699">
            <v>0</v>
          </cell>
        </row>
        <row r="700">
          <cell r="A700" t="str">
            <v>GOMET</v>
          </cell>
          <cell r="B700" t="str">
            <v>OM ENTERPRISES</v>
          </cell>
          <cell r="C700" t="str">
            <v>ADVAN</v>
          </cell>
          <cell r="D700">
            <v>12800</v>
          </cell>
          <cell r="E700">
            <v>12800</v>
          </cell>
          <cell r="F700">
            <v>0</v>
          </cell>
        </row>
        <row r="701">
          <cell r="A701" t="str">
            <v>GL01</v>
          </cell>
          <cell r="B701" t="str">
            <v>OM SINGH LOAN A/C</v>
          </cell>
          <cell r="C701" t="str">
            <v>ADVAN</v>
          </cell>
          <cell r="D701">
            <v>66000</v>
          </cell>
          <cell r="E701">
            <v>66000</v>
          </cell>
          <cell r="F701">
            <v>0</v>
          </cell>
        </row>
        <row r="702">
          <cell r="A702" t="str">
            <v>GOMXM</v>
          </cell>
          <cell r="B702" t="str">
            <v>OMAX MARKETING</v>
          </cell>
          <cell r="C702" t="str">
            <v>ADVAN</v>
          </cell>
          <cell r="D702">
            <v>53400</v>
          </cell>
          <cell r="E702">
            <v>53400</v>
          </cell>
          <cell r="F702">
            <v>0</v>
          </cell>
        </row>
        <row r="703">
          <cell r="A703" t="str">
            <v>GOMAX</v>
          </cell>
          <cell r="B703" t="str">
            <v>OMAX OFFICE EQUIPMENTS</v>
          </cell>
          <cell r="C703" t="str">
            <v>ADVAN</v>
          </cell>
          <cell r="D703">
            <v>68750</v>
          </cell>
          <cell r="E703">
            <v>68750</v>
          </cell>
          <cell r="F703">
            <v>0</v>
          </cell>
        </row>
        <row r="704">
          <cell r="A704" t="str">
            <v>GOMEG</v>
          </cell>
          <cell r="B704" t="str">
            <v>OMEGA INTERIORS</v>
          </cell>
          <cell r="C704" t="str">
            <v>ADVAN</v>
          </cell>
          <cell r="D704">
            <v>786000</v>
          </cell>
          <cell r="E704">
            <v>786000</v>
          </cell>
          <cell r="F704">
            <v>0</v>
          </cell>
        </row>
        <row r="705">
          <cell r="A705" t="str">
            <v>GORXP</v>
          </cell>
          <cell r="B705" t="str">
            <v>ORIENT EXPRESS SERVICES</v>
          </cell>
          <cell r="C705" t="str">
            <v>ADVAN</v>
          </cell>
          <cell r="D705">
            <v>26</v>
          </cell>
          <cell r="E705">
            <v>26</v>
          </cell>
          <cell r="F705">
            <v>0</v>
          </cell>
        </row>
        <row r="706">
          <cell r="A706" t="str">
            <v>GOELT</v>
          </cell>
          <cell r="B706" t="str">
            <v>ORIGIN EXPRESS LTD</v>
          </cell>
          <cell r="C706" t="str">
            <v>ADVAN</v>
          </cell>
          <cell r="D706">
            <v>223</v>
          </cell>
          <cell r="E706">
            <v>223</v>
          </cell>
          <cell r="F706">
            <v>0</v>
          </cell>
        </row>
        <row r="707">
          <cell r="A707" t="str">
            <v>GOVSE</v>
          </cell>
          <cell r="B707" t="str">
            <v>OVERSEAS TRADE AGENCIES</v>
          </cell>
          <cell r="C707" t="str">
            <v>ADVAN</v>
          </cell>
          <cell r="D707">
            <v>18000</v>
          </cell>
          <cell r="E707">
            <v>18000</v>
          </cell>
          <cell r="F707">
            <v>0</v>
          </cell>
        </row>
        <row r="708">
          <cell r="A708" t="str">
            <v>GOXFO</v>
          </cell>
          <cell r="B708" t="str">
            <v>OXFORD STATIONERS &amp; COMPUTERS</v>
          </cell>
          <cell r="C708" t="str">
            <v>ADVAN</v>
          </cell>
          <cell r="D708">
            <v>4406</v>
          </cell>
          <cell r="E708">
            <v>4406</v>
          </cell>
          <cell r="F708">
            <v>0</v>
          </cell>
        </row>
        <row r="709">
          <cell r="A709" t="str">
            <v>GPBIN</v>
          </cell>
          <cell r="B709" t="str">
            <v>P B INDRAJIT REDDY</v>
          </cell>
          <cell r="C709" t="str">
            <v>ADVAN</v>
          </cell>
          <cell r="D709">
            <v>129012</v>
          </cell>
          <cell r="E709">
            <v>129012</v>
          </cell>
          <cell r="F709">
            <v>0</v>
          </cell>
        </row>
        <row r="710">
          <cell r="A710" t="str">
            <v>GPRGU</v>
          </cell>
          <cell r="B710" t="str">
            <v>P R GULATI</v>
          </cell>
          <cell r="C710" t="str">
            <v>ADVAN</v>
          </cell>
          <cell r="D710">
            <v>13300</v>
          </cell>
          <cell r="E710">
            <v>13300</v>
          </cell>
          <cell r="F710">
            <v>0</v>
          </cell>
        </row>
        <row r="711">
          <cell r="A711" t="str">
            <v>GPAIN</v>
          </cell>
          <cell r="B711" t="str">
            <v>PACE INFOTECH</v>
          </cell>
          <cell r="C711" t="str">
            <v>ADVAN</v>
          </cell>
          <cell r="D711">
            <v>109395</v>
          </cell>
          <cell r="E711">
            <v>109395</v>
          </cell>
          <cell r="F711">
            <v>0</v>
          </cell>
        </row>
        <row r="712">
          <cell r="A712" t="str">
            <v>GPAPO</v>
          </cell>
          <cell r="B712" t="str">
            <v>PACER POWER SOLUTION PVT LTD</v>
          </cell>
          <cell r="C712" t="str">
            <v>ADVAN</v>
          </cell>
          <cell r="D712">
            <v>37242</v>
          </cell>
          <cell r="E712">
            <v>37242</v>
          </cell>
          <cell r="F712">
            <v>0</v>
          </cell>
        </row>
        <row r="713">
          <cell r="A713" t="str">
            <v>GPAEN</v>
          </cell>
          <cell r="B713" t="str">
            <v>PACIFIC ENGERGY SYSTEM</v>
          </cell>
          <cell r="C713" t="str">
            <v>ADVAN</v>
          </cell>
          <cell r="D713">
            <v>24792</v>
          </cell>
          <cell r="E713">
            <v>24792</v>
          </cell>
          <cell r="F713">
            <v>0</v>
          </cell>
        </row>
        <row r="714">
          <cell r="A714" t="str">
            <v>GPACI</v>
          </cell>
          <cell r="B714" t="str">
            <v>PACIFIC MACHINERY AND EQUIPMENTS PRIVATE LIMITED</v>
          </cell>
          <cell r="C714" t="str">
            <v>ADVAN</v>
          </cell>
          <cell r="D714">
            <v>8507340</v>
          </cell>
          <cell r="E714">
            <v>8507340</v>
          </cell>
          <cell r="F714">
            <v>0</v>
          </cell>
        </row>
        <row r="715">
          <cell r="A715" t="str">
            <v>GPAPA</v>
          </cell>
          <cell r="B715" t="str">
            <v>PADAM PANI TIWARI</v>
          </cell>
          <cell r="C715" t="str">
            <v>ADVAN</v>
          </cell>
          <cell r="D715">
            <v>15000</v>
          </cell>
          <cell r="E715">
            <v>15000</v>
          </cell>
          <cell r="F715">
            <v>0</v>
          </cell>
        </row>
        <row r="716">
          <cell r="A716" t="str">
            <v>GPAIS</v>
          </cell>
          <cell r="B716" t="str">
            <v>PAIS PLASTICS</v>
          </cell>
          <cell r="C716" t="str">
            <v>ADVAN</v>
          </cell>
          <cell r="D716">
            <v>9260</v>
          </cell>
          <cell r="E716">
            <v>9260</v>
          </cell>
          <cell r="F716">
            <v>0</v>
          </cell>
        </row>
        <row r="717">
          <cell r="A717" t="str">
            <v>GPALL</v>
          </cell>
          <cell r="B717" t="str">
            <v>PALLAVI CHAWLA</v>
          </cell>
          <cell r="C717" t="str">
            <v>ADVAN</v>
          </cell>
          <cell r="D717">
            <v>362500</v>
          </cell>
          <cell r="E717">
            <v>362500</v>
          </cell>
          <cell r="F717">
            <v>0</v>
          </cell>
        </row>
        <row r="718">
          <cell r="A718" t="str">
            <v>GPANC</v>
          </cell>
          <cell r="B718" t="str">
            <v>PANCHETI ENGINEERS &amp; CONTRACTORS</v>
          </cell>
          <cell r="C718" t="str">
            <v>ADVAN</v>
          </cell>
          <cell r="D718">
            <v>33670</v>
          </cell>
          <cell r="E718">
            <v>33670</v>
          </cell>
          <cell r="F718">
            <v>0</v>
          </cell>
        </row>
        <row r="719">
          <cell r="A719" t="str">
            <v>GPARCO</v>
          </cell>
          <cell r="B719" t="str">
            <v>PARAS COMPUTER</v>
          </cell>
          <cell r="C719" t="str">
            <v>ADVAN</v>
          </cell>
          <cell r="D719">
            <v>55800</v>
          </cell>
          <cell r="E719">
            <v>55800</v>
          </cell>
          <cell r="F719">
            <v>0</v>
          </cell>
        </row>
        <row r="720">
          <cell r="A720" t="str">
            <v>GPAJU</v>
          </cell>
          <cell r="B720" t="str">
            <v>PARASMAL JUGRAJ  JAIN</v>
          </cell>
          <cell r="C720" t="str">
            <v>ADVAN</v>
          </cell>
          <cell r="D720">
            <v>1100000</v>
          </cell>
          <cell r="E720">
            <v>1100000</v>
          </cell>
          <cell r="F720">
            <v>0</v>
          </cell>
        </row>
        <row r="721">
          <cell r="A721" t="str">
            <v>GPARE</v>
          </cell>
          <cell r="B721" t="str">
            <v>PARESHKUMAR ARVINSBHAI PATADIA</v>
          </cell>
          <cell r="C721" t="str">
            <v>ADVAN</v>
          </cell>
          <cell r="D721">
            <v>8000</v>
          </cell>
          <cell r="E721">
            <v>8000</v>
          </cell>
          <cell r="F721">
            <v>0</v>
          </cell>
        </row>
        <row r="722">
          <cell r="A722" t="str">
            <v>GPAEL</v>
          </cell>
          <cell r="B722" t="str">
            <v>PARIMALA ELECTRICS</v>
          </cell>
          <cell r="C722" t="str">
            <v>ADVAN</v>
          </cell>
          <cell r="D722">
            <v>70600</v>
          </cell>
          <cell r="E722">
            <v>70600</v>
          </cell>
          <cell r="F722">
            <v>0</v>
          </cell>
        </row>
        <row r="723">
          <cell r="A723" t="str">
            <v>GPARI</v>
          </cell>
          <cell r="B723" t="str">
            <v>PARIS STATIONERY &amp; XEROX</v>
          </cell>
          <cell r="C723" t="str">
            <v>ADVAN</v>
          </cell>
          <cell r="D723">
            <v>13904.5</v>
          </cell>
          <cell r="E723">
            <v>13904.5</v>
          </cell>
          <cell r="F723">
            <v>0</v>
          </cell>
        </row>
        <row r="724">
          <cell r="A724" t="str">
            <v>GPAHI</v>
          </cell>
          <cell r="B724" t="str">
            <v>PARUL HIREN CHHEDA</v>
          </cell>
          <cell r="C724" t="str">
            <v>ADVAN</v>
          </cell>
          <cell r="D724">
            <v>73424</v>
          </cell>
          <cell r="E724">
            <v>73424</v>
          </cell>
          <cell r="F724">
            <v>0</v>
          </cell>
        </row>
        <row r="725">
          <cell r="A725" t="str">
            <v>GPARV</v>
          </cell>
          <cell r="B725" t="str">
            <v>PARVINDAR SINGH</v>
          </cell>
          <cell r="C725" t="str">
            <v>ADVAN</v>
          </cell>
          <cell r="D725">
            <v>6300</v>
          </cell>
          <cell r="E725">
            <v>6300</v>
          </cell>
          <cell r="F725">
            <v>0</v>
          </cell>
        </row>
        <row r="726">
          <cell r="A726" t="str">
            <v>GPASC</v>
          </cell>
          <cell r="B726" t="str">
            <v>PASCHIM GUJARAT VIJ CO LTD</v>
          </cell>
          <cell r="C726" t="str">
            <v>ADVAN</v>
          </cell>
          <cell r="D726">
            <v>8134</v>
          </cell>
          <cell r="E726">
            <v>8134</v>
          </cell>
          <cell r="F726">
            <v>0</v>
          </cell>
        </row>
        <row r="727">
          <cell r="A727" t="str">
            <v>GPBAG</v>
          </cell>
          <cell r="B727" t="str">
            <v>PAVAN BAGARIA</v>
          </cell>
          <cell r="C727" t="str">
            <v>ADVAN</v>
          </cell>
          <cell r="D727">
            <v>9900</v>
          </cell>
          <cell r="E727">
            <v>9900</v>
          </cell>
          <cell r="F727">
            <v>0</v>
          </cell>
        </row>
        <row r="728">
          <cell r="A728" t="str">
            <v>GPAWA</v>
          </cell>
          <cell r="B728" t="str">
            <v>PAWAN AIRWAYS COURIERS</v>
          </cell>
          <cell r="C728" t="str">
            <v>ADVAN</v>
          </cell>
          <cell r="D728">
            <v>1783</v>
          </cell>
          <cell r="E728">
            <v>1783</v>
          </cell>
          <cell r="F728">
            <v>0</v>
          </cell>
        </row>
        <row r="729">
          <cell r="A729" t="str">
            <v>GPGAU</v>
          </cell>
          <cell r="B729" t="str">
            <v>PG AUTOMATION SERVICES</v>
          </cell>
          <cell r="C729" t="str">
            <v>ADVAN</v>
          </cell>
          <cell r="D729">
            <v>18611.2</v>
          </cell>
          <cell r="E729">
            <v>18611.2</v>
          </cell>
          <cell r="F729">
            <v>0</v>
          </cell>
        </row>
        <row r="730">
          <cell r="A730" t="str">
            <v>GAPINK</v>
          </cell>
          <cell r="B730" t="str">
            <v>PINKCITY MOTORS PVT. LTD.</v>
          </cell>
          <cell r="C730" t="str">
            <v>ADVAN</v>
          </cell>
          <cell r="D730">
            <v>701006</v>
          </cell>
          <cell r="E730">
            <v>701006</v>
          </cell>
          <cell r="F730">
            <v>0</v>
          </cell>
        </row>
        <row r="731">
          <cell r="A731" t="str">
            <v>GPION</v>
          </cell>
          <cell r="B731" t="str">
            <v>PIONEER PROPERTY MANAGEMENT LTD.</v>
          </cell>
          <cell r="C731" t="str">
            <v>ADVAN</v>
          </cell>
          <cell r="D731">
            <v>29348</v>
          </cell>
          <cell r="E731">
            <v>29348</v>
          </cell>
          <cell r="F731">
            <v>0</v>
          </cell>
        </row>
        <row r="732">
          <cell r="A732" t="str">
            <v>GPIYU</v>
          </cell>
          <cell r="B732" t="str">
            <v>PIYUSH N SANGHVI</v>
          </cell>
          <cell r="C732" t="str">
            <v>ADVAN</v>
          </cell>
          <cell r="D732">
            <v>41441</v>
          </cell>
          <cell r="E732">
            <v>41441</v>
          </cell>
          <cell r="F732">
            <v>0</v>
          </cell>
        </row>
        <row r="733">
          <cell r="A733" t="str">
            <v>GPLAN</v>
          </cell>
          <cell r="B733" t="str">
            <v>PLANET E - COM SOLUTIONS (P)  LTD</v>
          </cell>
          <cell r="C733" t="str">
            <v>ADVAN</v>
          </cell>
          <cell r="D733">
            <v>92500</v>
          </cell>
          <cell r="E733">
            <v>92500</v>
          </cell>
          <cell r="F733">
            <v>0</v>
          </cell>
        </row>
        <row r="734">
          <cell r="A734" t="str">
            <v>GPOLU</v>
          </cell>
          <cell r="B734" t="str">
            <v>POOJA LUBRICANTS</v>
          </cell>
          <cell r="C734" t="str">
            <v>ADVAN</v>
          </cell>
          <cell r="D734">
            <v>2400</v>
          </cell>
          <cell r="E734">
            <v>2400</v>
          </cell>
          <cell r="F734">
            <v>0</v>
          </cell>
        </row>
        <row r="735">
          <cell r="A735" t="str">
            <v>GPOCO</v>
          </cell>
          <cell r="B735" t="str">
            <v>POONAM COURIERS</v>
          </cell>
          <cell r="C735" t="str">
            <v>ADVAN</v>
          </cell>
          <cell r="D735">
            <v>2751</v>
          </cell>
          <cell r="E735">
            <v>2751</v>
          </cell>
          <cell r="F735">
            <v>0</v>
          </cell>
        </row>
        <row r="736">
          <cell r="A736" t="str">
            <v>GPOPL</v>
          </cell>
          <cell r="B736" t="str">
            <v>POPULAR ELECTRICAL COMPANY</v>
          </cell>
          <cell r="C736" t="str">
            <v>ADVAN</v>
          </cell>
          <cell r="D736">
            <v>5510</v>
          </cell>
          <cell r="E736">
            <v>5510</v>
          </cell>
          <cell r="F736">
            <v>0</v>
          </cell>
        </row>
        <row r="737">
          <cell r="A737" t="str">
            <v>GPOWR</v>
          </cell>
          <cell r="B737" t="str">
            <v>POWER CONTROL SYSTEMS</v>
          </cell>
          <cell r="C737" t="str">
            <v>ADVAN</v>
          </cell>
          <cell r="D737">
            <v>194000</v>
          </cell>
          <cell r="E737">
            <v>194000</v>
          </cell>
          <cell r="F737">
            <v>0</v>
          </cell>
        </row>
        <row r="738">
          <cell r="A738" t="str">
            <v>GPOWSO</v>
          </cell>
          <cell r="B738" t="str">
            <v>POWER TECH SOLUTION</v>
          </cell>
          <cell r="C738" t="str">
            <v>ADVAN</v>
          </cell>
          <cell r="D738">
            <v>35850</v>
          </cell>
          <cell r="E738">
            <v>35850</v>
          </cell>
          <cell r="F738">
            <v>0</v>
          </cell>
        </row>
        <row r="739">
          <cell r="A739" t="str">
            <v>GPRSH</v>
          </cell>
          <cell r="B739" t="str">
            <v>PRABHA SHEETARAM SHETTY</v>
          </cell>
          <cell r="C739" t="str">
            <v>ADVAN</v>
          </cell>
          <cell r="D739">
            <v>588808</v>
          </cell>
          <cell r="E739">
            <v>588808</v>
          </cell>
          <cell r="F739">
            <v>0</v>
          </cell>
        </row>
        <row r="740">
          <cell r="A740" t="str">
            <v>GPRDH</v>
          </cell>
          <cell r="B740" t="str">
            <v>PRADEEP I. DHINGRA GOPAL I. DHINGRA &amp; SHYAM I. DHINGRA</v>
          </cell>
          <cell r="C740" t="str">
            <v>ADVAN</v>
          </cell>
          <cell r="D740">
            <v>107100</v>
          </cell>
          <cell r="E740">
            <v>107100</v>
          </cell>
          <cell r="F740">
            <v>0</v>
          </cell>
        </row>
        <row r="741">
          <cell r="A741" t="str">
            <v>GPRAE</v>
          </cell>
          <cell r="B741" t="str">
            <v>PRADEEP TULISDAS SURATWALA</v>
          </cell>
          <cell r="C741" t="str">
            <v>ADVAN</v>
          </cell>
          <cell r="D741">
            <v>8500</v>
          </cell>
          <cell r="E741">
            <v>8500</v>
          </cell>
          <cell r="F741">
            <v>0</v>
          </cell>
        </row>
        <row r="742">
          <cell r="A742" t="str">
            <v>GPRKA</v>
          </cell>
          <cell r="B742" t="str">
            <v>PRAKASH A CHAWLA</v>
          </cell>
          <cell r="C742" t="str">
            <v>ADVAN</v>
          </cell>
          <cell r="D742">
            <v>46551</v>
          </cell>
          <cell r="E742">
            <v>46551</v>
          </cell>
          <cell r="F742">
            <v>0</v>
          </cell>
        </row>
        <row r="743">
          <cell r="A743" t="str">
            <v>GPRAX</v>
          </cell>
          <cell r="B743" t="str">
            <v>PRAKASH XEROX</v>
          </cell>
          <cell r="C743" t="str">
            <v>ADVAN</v>
          </cell>
          <cell r="D743">
            <v>3738</v>
          </cell>
          <cell r="E743">
            <v>3738</v>
          </cell>
          <cell r="F743">
            <v>0</v>
          </cell>
        </row>
        <row r="744">
          <cell r="A744" t="str">
            <v>GPRSU</v>
          </cell>
          <cell r="B744" t="str">
            <v>PRAMILA SUGANCHAND RAKA</v>
          </cell>
          <cell r="C744" t="str">
            <v>ADVAN</v>
          </cell>
          <cell r="D744">
            <v>91326</v>
          </cell>
          <cell r="E744">
            <v>91326</v>
          </cell>
          <cell r="F744">
            <v>0</v>
          </cell>
        </row>
        <row r="745">
          <cell r="A745" t="str">
            <v>GPRAP</v>
          </cell>
          <cell r="B745" t="str">
            <v>PRATAP CHAND SINGHI</v>
          </cell>
          <cell r="C745" t="str">
            <v>ADVAN</v>
          </cell>
          <cell r="D745">
            <v>9600</v>
          </cell>
          <cell r="E745">
            <v>9600</v>
          </cell>
          <cell r="F745">
            <v>0</v>
          </cell>
        </row>
        <row r="746">
          <cell r="A746" t="str">
            <v>GPRKU</v>
          </cell>
          <cell r="B746" t="str">
            <v>PRATAP KUMAR HIRALAL SHAH</v>
          </cell>
          <cell r="C746" t="str">
            <v>ADVAN</v>
          </cell>
          <cell r="D746">
            <v>197841</v>
          </cell>
          <cell r="E746">
            <v>197841</v>
          </cell>
          <cell r="F746">
            <v>0</v>
          </cell>
        </row>
        <row r="747">
          <cell r="A747" t="str">
            <v>GPRAV</v>
          </cell>
          <cell r="B747" t="str">
            <v>PRAVEEN JAIN</v>
          </cell>
          <cell r="C747" t="str">
            <v>ADVAN</v>
          </cell>
          <cell r="D747">
            <v>173549</v>
          </cell>
          <cell r="E747">
            <v>173549</v>
          </cell>
          <cell r="F747">
            <v>0</v>
          </cell>
        </row>
        <row r="748">
          <cell r="A748" t="str">
            <v>GPRECI</v>
          </cell>
          <cell r="B748" t="str">
            <v>PRECIOUS ELECTRICALS</v>
          </cell>
          <cell r="C748" t="str">
            <v>ADVAN</v>
          </cell>
          <cell r="D748">
            <v>119225</v>
          </cell>
          <cell r="E748">
            <v>119225</v>
          </cell>
          <cell r="F748">
            <v>0</v>
          </cell>
        </row>
        <row r="749">
          <cell r="A749" t="str">
            <v>GPREC</v>
          </cell>
          <cell r="B749" t="str">
            <v>PRECISE ELECTRONICS PVT. LTD.</v>
          </cell>
          <cell r="C749" t="str">
            <v>ADVAN</v>
          </cell>
          <cell r="D749">
            <v>6000</v>
          </cell>
          <cell r="E749">
            <v>6000</v>
          </cell>
          <cell r="F749">
            <v>0</v>
          </cell>
        </row>
        <row r="750">
          <cell r="A750" t="str">
            <v>GPRED</v>
          </cell>
          <cell r="B750" t="str">
            <v>PREM CHAND &amp; SONS</v>
          </cell>
          <cell r="C750" t="str">
            <v>ADVAN</v>
          </cell>
          <cell r="D750">
            <v>209107</v>
          </cell>
          <cell r="E750">
            <v>209107</v>
          </cell>
          <cell r="F750">
            <v>0</v>
          </cell>
        </row>
        <row r="751">
          <cell r="A751" t="str">
            <v>GPREA</v>
          </cell>
          <cell r="B751" t="str">
            <v>PREMIER APPLIANCES "N" ELECTRICALS</v>
          </cell>
          <cell r="C751" t="str">
            <v>ADVAN</v>
          </cell>
          <cell r="D751">
            <v>2750</v>
          </cell>
          <cell r="E751">
            <v>2750</v>
          </cell>
          <cell r="F751">
            <v>0</v>
          </cell>
        </row>
        <row r="752">
          <cell r="A752" t="str">
            <v>GPREMS</v>
          </cell>
          <cell r="B752" t="str">
            <v>PREMIER SALES</v>
          </cell>
          <cell r="C752" t="str">
            <v>ADVAN</v>
          </cell>
          <cell r="D752">
            <v>64000</v>
          </cell>
          <cell r="E752">
            <v>64000</v>
          </cell>
          <cell r="F752">
            <v>0</v>
          </cell>
        </row>
        <row r="753">
          <cell r="A753" t="str">
            <v>GPRJA</v>
          </cell>
          <cell r="B753" t="str">
            <v>PREMLATA JANAKRAJ GUPTA</v>
          </cell>
          <cell r="C753" t="str">
            <v>ADVAN</v>
          </cell>
          <cell r="D753">
            <v>150000</v>
          </cell>
          <cell r="E753">
            <v>150000</v>
          </cell>
          <cell r="F753">
            <v>0</v>
          </cell>
        </row>
        <row r="754">
          <cell r="A754" t="str">
            <v>GPRIR</v>
          </cell>
          <cell r="B754" t="str">
            <v>PRIME REAL ESTATE</v>
          </cell>
          <cell r="C754" t="str">
            <v>ADVAN</v>
          </cell>
          <cell r="D754">
            <v>3960</v>
          </cell>
          <cell r="E754">
            <v>3960</v>
          </cell>
          <cell r="F754">
            <v>0</v>
          </cell>
        </row>
        <row r="755">
          <cell r="A755" t="str">
            <v>GPRTI</v>
          </cell>
          <cell r="B755" t="str">
            <v>PRITIBEN PRABHUDASBHAI PAREKH</v>
          </cell>
          <cell r="C755" t="str">
            <v>ADVAN</v>
          </cell>
          <cell r="D755">
            <v>49000</v>
          </cell>
          <cell r="E755">
            <v>49000</v>
          </cell>
          <cell r="F755">
            <v>0</v>
          </cell>
        </row>
        <row r="756">
          <cell r="A756" t="str">
            <v>GPRVE</v>
          </cell>
          <cell r="B756" t="str">
            <v>PRIYANKA VED MEHTA</v>
          </cell>
          <cell r="C756" t="str">
            <v>ADVAN</v>
          </cell>
          <cell r="D756">
            <v>106029</v>
          </cell>
          <cell r="E756">
            <v>106029</v>
          </cell>
          <cell r="F756">
            <v>0</v>
          </cell>
        </row>
        <row r="757">
          <cell r="A757" t="str">
            <v>GPROD</v>
          </cell>
          <cell r="B757" t="str">
            <v>PROFICIENT TECHNOLOGIES</v>
          </cell>
          <cell r="C757" t="str">
            <v>ADVAN</v>
          </cell>
          <cell r="D757">
            <v>8100</v>
          </cell>
          <cell r="E757">
            <v>8100</v>
          </cell>
          <cell r="F757">
            <v>0</v>
          </cell>
        </row>
        <row r="758">
          <cell r="A758" t="str">
            <v>GPROG</v>
          </cell>
          <cell r="B758" t="str">
            <v>PROGREESSIVE X'PANSIA</v>
          </cell>
          <cell r="C758" t="str">
            <v>ADVAN</v>
          </cell>
          <cell r="D758">
            <v>4488</v>
          </cell>
          <cell r="E758">
            <v>4488</v>
          </cell>
          <cell r="F758">
            <v>0</v>
          </cell>
        </row>
        <row r="759">
          <cell r="A759" t="str">
            <v>GPITE</v>
          </cell>
          <cell r="B759" t="str">
            <v>PROTOCOL INFO TECH</v>
          </cell>
          <cell r="C759" t="str">
            <v>ADVAN</v>
          </cell>
          <cell r="D759">
            <v>71390</v>
          </cell>
          <cell r="E759">
            <v>71390</v>
          </cell>
          <cell r="F759">
            <v>0</v>
          </cell>
        </row>
        <row r="760">
          <cell r="A760" t="str">
            <v>GPROT</v>
          </cell>
          <cell r="B760" t="str">
            <v>PROTON CONTROL SYSTEMS</v>
          </cell>
          <cell r="C760" t="str">
            <v>ADVAN</v>
          </cell>
          <cell r="D760">
            <v>58250</v>
          </cell>
          <cell r="E760">
            <v>58250</v>
          </cell>
          <cell r="F760">
            <v>0</v>
          </cell>
        </row>
        <row r="761">
          <cell r="A761" t="str">
            <v>GPUJA</v>
          </cell>
          <cell r="B761" t="str">
            <v>PUJA ENTERPRISES</v>
          </cell>
          <cell r="C761" t="str">
            <v>ADVAN</v>
          </cell>
          <cell r="D761">
            <v>5318</v>
          </cell>
          <cell r="E761">
            <v>5318</v>
          </cell>
          <cell r="F761">
            <v>0</v>
          </cell>
        </row>
        <row r="762">
          <cell r="A762" t="str">
            <v>GPUNJ</v>
          </cell>
          <cell r="B762" t="str">
            <v>PUNJAB DIESELS(AGENCIES)</v>
          </cell>
          <cell r="C762" t="str">
            <v>ADVAN</v>
          </cell>
          <cell r="D762">
            <v>13250</v>
          </cell>
          <cell r="E762">
            <v>13250</v>
          </cell>
          <cell r="F762">
            <v>0</v>
          </cell>
        </row>
        <row r="763">
          <cell r="A763" t="str">
            <v>GPUNK</v>
          </cell>
          <cell r="B763" t="str">
            <v>PUNJAB KESRI GROUP</v>
          </cell>
          <cell r="C763" t="str">
            <v>ADVAN</v>
          </cell>
          <cell r="D763">
            <v>6000</v>
          </cell>
          <cell r="E763">
            <v>6000</v>
          </cell>
          <cell r="F763">
            <v>0</v>
          </cell>
        </row>
        <row r="764">
          <cell r="A764" t="str">
            <v>GPURE</v>
          </cell>
          <cell r="B764" t="str">
            <v>PURE DEALS CONSULTANTS</v>
          </cell>
          <cell r="C764" t="str">
            <v>ADVAN</v>
          </cell>
          <cell r="D764">
            <v>7546</v>
          </cell>
          <cell r="E764">
            <v>7546</v>
          </cell>
          <cell r="F764">
            <v>0</v>
          </cell>
        </row>
        <row r="765">
          <cell r="A765" t="str">
            <v>GPURN</v>
          </cell>
          <cell r="B765" t="str">
            <v>PURNIMA AGARWAL</v>
          </cell>
          <cell r="C765" t="str">
            <v>ADVAN</v>
          </cell>
          <cell r="D765">
            <v>57813</v>
          </cell>
          <cell r="E765">
            <v>57813</v>
          </cell>
          <cell r="F765">
            <v>0</v>
          </cell>
        </row>
        <row r="766">
          <cell r="A766" t="str">
            <v>GPUJR</v>
          </cell>
          <cell r="B766" t="str">
            <v>PUSHPA JAMNADAS RAJWANI</v>
          </cell>
          <cell r="C766" t="str">
            <v>ADVAN</v>
          </cell>
          <cell r="D766">
            <v>71071</v>
          </cell>
          <cell r="E766">
            <v>71071</v>
          </cell>
          <cell r="F766">
            <v>0</v>
          </cell>
        </row>
        <row r="767">
          <cell r="A767" t="str">
            <v>GQUAS</v>
          </cell>
          <cell r="B767" t="str">
            <v>QUANTUAMO SERVICE</v>
          </cell>
          <cell r="C767" t="str">
            <v>ADVAN</v>
          </cell>
          <cell r="D767">
            <v>222</v>
          </cell>
          <cell r="E767">
            <v>222</v>
          </cell>
          <cell r="F767">
            <v>0</v>
          </cell>
        </row>
        <row r="768">
          <cell r="A768" t="str">
            <v>GQUAN</v>
          </cell>
          <cell r="B768" t="str">
            <v>QUANTUM LINK COMMUNICATIONS PVT. LTD</v>
          </cell>
          <cell r="C768" t="str">
            <v>ADVAN</v>
          </cell>
          <cell r="D768">
            <v>22500</v>
          </cell>
          <cell r="E768">
            <v>22500</v>
          </cell>
          <cell r="F768">
            <v>0</v>
          </cell>
        </row>
        <row r="769">
          <cell r="A769" t="str">
            <v>GQUTE</v>
          </cell>
          <cell r="B769" t="str">
            <v>QUANTUM TECHNOLOGIES &amp;  SERVICES</v>
          </cell>
          <cell r="C769" t="str">
            <v>ADVAN</v>
          </cell>
          <cell r="D769">
            <v>13475</v>
          </cell>
          <cell r="E769">
            <v>13475</v>
          </cell>
          <cell r="F769">
            <v>0</v>
          </cell>
        </row>
        <row r="770">
          <cell r="A770" t="str">
            <v>GRKCP</v>
          </cell>
          <cell r="B770" t="str">
            <v>R K COMPUTERS &amp; COMMUNICATIONS</v>
          </cell>
          <cell r="C770" t="str">
            <v>ADVAN</v>
          </cell>
          <cell r="D770">
            <v>2200</v>
          </cell>
          <cell r="E770">
            <v>2200</v>
          </cell>
          <cell r="F770">
            <v>0</v>
          </cell>
        </row>
        <row r="771">
          <cell r="A771" t="str">
            <v>GRDNA</v>
          </cell>
          <cell r="B771" t="str">
            <v>R. D. NAIK</v>
          </cell>
          <cell r="C771" t="str">
            <v>ADVAN</v>
          </cell>
          <cell r="D771">
            <v>21933.75</v>
          </cell>
          <cell r="E771">
            <v>21933.75</v>
          </cell>
          <cell r="F771">
            <v>0</v>
          </cell>
        </row>
        <row r="772">
          <cell r="A772" t="str">
            <v>GRRAD</v>
          </cell>
          <cell r="B772" t="str">
            <v>R. RADHAKRISHNAN</v>
          </cell>
          <cell r="C772" t="str">
            <v>ADVAN</v>
          </cell>
          <cell r="D772">
            <v>456</v>
          </cell>
          <cell r="E772">
            <v>456</v>
          </cell>
          <cell r="F772">
            <v>0</v>
          </cell>
        </row>
        <row r="773">
          <cell r="A773" t="str">
            <v>GRBTR</v>
          </cell>
          <cell r="B773" t="str">
            <v>R.B.TRADING CO.</v>
          </cell>
          <cell r="C773" t="str">
            <v>ADVAN</v>
          </cell>
          <cell r="D773">
            <v>1725</v>
          </cell>
          <cell r="E773">
            <v>1725</v>
          </cell>
          <cell r="F773">
            <v>0</v>
          </cell>
        </row>
        <row r="774">
          <cell r="A774" t="str">
            <v>GRKMA</v>
          </cell>
          <cell r="B774" t="str">
            <v>R.K. MANI</v>
          </cell>
          <cell r="C774" t="str">
            <v>ADVAN</v>
          </cell>
          <cell r="D774">
            <v>67130</v>
          </cell>
          <cell r="E774">
            <v>67130</v>
          </cell>
          <cell r="F774">
            <v>0</v>
          </cell>
        </row>
        <row r="775">
          <cell r="A775" t="str">
            <v>GRKGR</v>
          </cell>
          <cell r="B775" t="str">
            <v>R.K.GROUP</v>
          </cell>
          <cell r="C775" t="str">
            <v>ADVAN</v>
          </cell>
          <cell r="D775">
            <v>16999</v>
          </cell>
          <cell r="E775">
            <v>16999</v>
          </cell>
          <cell r="F775">
            <v>0</v>
          </cell>
        </row>
        <row r="776">
          <cell r="A776" t="str">
            <v>GRPUSH</v>
          </cell>
          <cell r="B776" t="str">
            <v>R.PUSHPARAJ</v>
          </cell>
          <cell r="C776" t="str">
            <v>ADVAN</v>
          </cell>
          <cell r="D776">
            <v>4800</v>
          </cell>
          <cell r="E776">
            <v>4800</v>
          </cell>
          <cell r="F776">
            <v>0</v>
          </cell>
        </row>
        <row r="777">
          <cell r="A777" t="str">
            <v>GRSEN</v>
          </cell>
          <cell r="B777" t="str">
            <v>R.S. ENTERPRISES</v>
          </cell>
          <cell r="C777" t="str">
            <v>ADVAN</v>
          </cell>
          <cell r="D777">
            <v>45750</v>
          </cell>
          <cell r="E777">
            <v>45750</v>
          </cell>
          <cell r="F777">
            <v>0</v>
          </cell>
        </row>
        <row r="778">
          <cell r="A778" t="str">
            <v>GRAPO</v>
          </cell>
          <cell r="B778" t="str">
            <v>RACHANA POWERCOM PVT LTD</v>
          </cell>
          <cell r="C778" t="str">
            <v>ADVAN</v>
          </cell>
          <cell r="D778">
            <v>17000</v>
          </cell>
          <cell r="E778">
            <v>17000</v>
          </cell>
          <cell r="F778">
            <v>0</v>
          </cell>
        </row>
        <row r="779">
          <cell r="A779" t="str">
            <v>GRPPL</v>
          </cell>
          <cell r="B779" t="str">
            <v>RACHANA POWERCOM PVT. LTD.</v>
          </cell>
          <cell r="C779" t="str">
            <v>ADVAN</v>
          </cell>
          <cell r="D779">
            <v>17244</v>
          </cell>
          <cell r="E779">
            <v>17244</v>
          </cell>
          <cell r="F779">
            <v>0</v>
          </cell>
        </row>
        <row r="780">
          <cell r="A780" t="str">
            <v>GRACH</v>
          </cell>
          <cell r="B780" t="str">
            <v>RACHNA SINGH</v>
          </cell>
          <cell r="C780" t="str">
            <v>ADVAN</v>
          </cell>
          <cell r="D780">
            <v>14980</v>
          </cell>
          <cell r="E780">
            <v>14980</v>
          </cell>
          <cell r="F780">
            <v>0</v>
          </cell>
        </row>
        <row r="781">
          <cell r="A781" t="str">
            <v>GRADI</v>
          </cell>
          <cell r="B781" t="str">
            <v>RADIANT ELECTRONICS</v>
          </cell>
          <cell r="C781" t="str">
            <v>ADVAN</v>
          </cell>
          <cell r="D781">
            <v>21500</v>
          </cell>
          <cell r="E781">
            <v>21500</v>
          </cell>
          <cell r="F781">
            <v>0</v>
          </cell>
        </row>
        <row r="782">
          <cell r="A782" t="str">
            <v>GRAHO</v>
          </cell>
          <cell r="B782" t="str">
            <v>RADIANT HOSPITALITY SERVICES</v>
          </cell>
          <cell r="C782" t="str">
            <v>ADVAN</v>
          </cell>
          <cell r="D782">
            <v>206840</v>
          </cell>
          <cell r="E782">
            <v>206840</v>
          </cell>
          <cell r="F782">
            <v>0</v>
          </cell>
        </row>
        <row r="783">
          <cell r="A783" t="str">
            <v>GRCLH</v>
          </cell>
          <cell r="B783" t="str">
            <v>RADIO CENTRE &amp; LIGHT HOUSE</v>
          </cell>
          <cell r="C783" t="str">
            <v>ADVAN</v>
          </cell>
          <cell r="D783">
            <v>6400</v>
          </cell>
          <cell r="E783">
            <v>6400</v>
          </cell>
          <cell r="F783">
            <v>0</v>
          </cell>
        </row>
        <row r="784">
          <cell r="A784" t="str">
            <v>GRAGA</v>
          </cell>
          <cell r="B784" t="str">
            <v>RAGA INFOTECH</v>
          </cell>
          <cell r="C784" t="str">
            <v>ADVAN</v>
          </cell>
          <cell r="D784">
            <v>10500</v>
          </cell>
          <cell r="E784">
            <v>10500</v>
          </cell>
          <cell r="F784">
            <v>0</v>
          </cell>
        </row>
        <row r="785">
          <cell r="A785" t="str">
            <v>GRAAG</v>
          </cell>
          <cell r="B785" t="str">
            <v>RAGHAVENDRA AGENCIES</v>
          </cell>
          <cell r="C785" t="str">
            <v>ADVAN</v>
          </cell>
          <cell r="D785">
            <v>134</v>
          </cell>
          <cell r="E785">
            <v>134</v>
          </cell>
          <cell r="F785">
            <v>0</v>
          </cell>
        </row>
        <row r="786">
          <cell r="A786" t="str">
            <v>GRAGI</v>
          </cell>
          <cell r="B786" t="str">
            <v>RAGINI MOHAN</v>
          </cell>
          <cell r="C786" t="str">
            <v>ADVAN</v>
          </cell>
          <cell r="D786">
            <v>60000</v>
          </cell>
          <cell r="E786">
            <v>60000</v>
          </cell>
          <cell r="F786">
            <v>0</v>
          </cell>
        </row>
        <row r="787">
          <cell r="A787" t="str">
            <v>GRAHY</v>
          </cell>
          <cell r="B787" t="str">
            <v>RAHUL YADAV</v>
          </cell>
          <cell r="C787" t="str">
            <v>ADVAN</v>
          </cell>
          <cell r="D787">
            <v>4500</v>
          </cell>
          <cell r="E787">
            <v>4500</v>
          </cell>
          <cell r="F787">
            <v>0</v>
          </cell>
        </row>
        <row r="788">
          <cell r="A788" t="str">
            <v>GRAJC</v>
          </cell>
          <cell r="B788" t="str">
            <v>RAJ &amp; COMPANY</v>
          </cell>
          <cell r="C788" t="str">
            <v>ADVAN</v>
          </cell>
          <cell r="D788">
            <v>2352</v>
          </cell>
          <cell r="E788">
            <v>2352</v>
          </cell>
          <cell r="F788">
            <v>0</v>
          </cell>
        </row>
        <row r="789">
          <cell r="A789" t="str">
            <v>GRCOP</v>
          </cell>
          <cell r="B789" t="str">
            <v>RAJ COPY CENTRE</v>
          </cell>
          <cell r="C789" t="str">
            <v>ADVAN</v>
          </cell>
          <cell r="D789">
            <v>499.11</v>
          </cell>
          <cell r="E789">
            <v>499.11</v>
          </cell>
          <cell r="F789">
            <v>0</v>
          </cell>
        </row>
        <row r="790">
          <cell r="A790" t="str">
            <v>GRAJQ</v>
          </cell>
          <cell r="B790" t="str">
            <v>RAJ KUMAR  PRABHA TELECOM</v>
          </cell>
          <cell r="C790" t="str">
            <v>ADVAN</v>
          </cell>
          <cell r="D790">
            <v>3600</v>
          </cell>
          <cell r="E790">
            <v>3600</v>
          </cell>
          <cell r="F790">
            <v>0</v>
          </cell>
        </row>
        <row r="791">
          <cell r="A791" t="str">
            <v>GRAJK</v>
          </cell>
          <cell r="B791" t="str">
            <v>RAJ KUMAR DHURKA</v>
          </cell>
          <cell r="C791" t="str">
            <v>ADVAN</v>
          </cell>
          <cell r="D791">
            <v>159120</v>
          </cell>
          <cell r="E791">
            <v>159120</v>
          </cell>
          <cell r="F791">
            <v>0</v>
          </cell>
        </row>
        <row r="792">
          <cell r="A792" t="str">
            <v>GRAJJ</v>
          </cell>
          <cell r="B792" t="str">
            <v>RAJ SINGH JHALA</v>
          </cell>
          <cell r="C792" t="str">
            <v>ADVAN</v>
          </cell>
          <cell r="D792">
            <v>3254</v>
          </cell>
          <cell r="E792">
            <v>3254</v>
          </cell>
          <cell r="F792">
            <v>0</v>
          </cell>
        </row>
        <row r="793">
          <cell r="A793" t="str">
            <v>GRAJT</v>
          </cell>
          <cell r="B793" t="str">
            <v>RAJA ELECTRICALS TRADERS</v>
          </cell>
          <cell r="C793" t="str">
            <v>ADVAN</v>
          </cell>
          <cell r="D793">
            <v>3000</v>
          </cell>
          <cell r="E793">
            <v>3000</v>
          </cell>
          <cell r="F793">
            <v>0</v>
          </cell>
        </row>
        <row r="794">
          <cell r="A794" t="str">
            <v>GRANA</v>
          </cell>
          <cell r="B794" t="str">
            <v>RAJAN SHUKLA &amp; COMPANY</v>
          </cell>
          <cell r="C794" t="str">
            <v>ADVAN</v>
          </cell>
          <cell r="D794">
            <v>3497.44</v>
          </cell>
          <cell r="E794">
            <v>3497.44</v>
          </cell>
          <cell r="F794">
            <v>0</v>
          </cell>
        </row>
        <row r="795">
          <cell r="A795" t="str">
            <v>GRAJD</v>
          </cell>
          <cell r="B795" t="str">
            <v>RAJDEEP ELECTRONICS</v>
          </cell>
          <cell r="C795" t="str">
            <v>ADVAN</v>
          </cell>
          <cell r="D795">
            <v>4990</v>
          </cell>
          <cell r="E795">
            <v>4990</v>
          </cell>
          <cell r="F795">
            <v>0</v>
          </cell>
        </row>
        <row r="796">
          <cell r="A796" t="str">
            <v>GRAJG</v>
          </cell>
          <cell r="B796" t="str">
            <v>RAJEEV GULATI</v>
          </cell>
          <cell r="C796" t="str">
            <v>ADVAN</v>
          </cell>
          <cell r="D796">
            <v>13300</v>
          </cell>
          <cell r="E796">
            <v>13300</v>
          </cell>
          <cell r="F796">
            <v>0</v>
          </cell>
        </row>
        <row r="797">
          <cell r="A797" t="str">
            <v>GRAJN</v>
          </cell>
          <cell r="B797" t="str">
            <v>RAJENDER KUMAR</v>
          </cell>
          <cell r="C797" t="str">
            <v>ADVAN</v>
          </cell>
          <cell r="D797">
            <v>18500</v>
          </cell>
          <cell r="E797">
            <v>18500</v>
          </cell>
          <cell r="F797">
            <v>0</v>
          </cell>
        </row>
        <row r="798">
          <cell r="A798" t="str">
            <v>GRJTH</v>
          </cell>
          <cell r="B798" t="str">
            <v>RAJENDRA AMRITLAL THAKRAR HUF</v>
          </cell>
          <cell r="C798" t="str">
            <v>ADVAN</v>
          </cell>
          <cell r="D798">
            <v>55493</v>
          </cell>
          <cell r="E798">
            <v>55493</v>
          </cell>
          <cell r="F798">
            <v>0</v>
          </cell>
        </row>
        <row r="799">
          <cell r="A799" t="str">
            <v>GRAEL</v>
          </cell>
          <cell r="B799" t="str">
            <v>RAJENDRA ELECTRICALS</v>
          </cell>
          <cell r="C799" t="str">
            <v>ADVAN</v>
          </cell>
          <cell r="D799">
            <v>1875</v>
          </cell>
          <cell r="E799">
            <v>1875</v>
          </cell>
          <cell r="F799">
            <v>0</v>
          </cell>
        </row>
        <row r="800">
          <cell r="A800" t="str">
            <v>GRAJEL</v>
          </cell>
          <cell r="B800" t="str">
            <v>RAJENDRA ELECTRICALS</v>
          </cell>
          <cell r="C800" t="str">
            <v>ADVAN</v>
          </cell>
          <cell r="D800">
            <v>2464</v>
          </cell>
          <cell r="E800">
            <v>2464</v>
          </cell>
          <cell r="F800">
            <v>0</v>
          </cell>
        </row>
        <row r="801">
          <cell r="A801" t="str">
            <v>GRMAN</v>
          </cell>
          <cell r="B801" t="str">
            <v>RAJENDRA MANDANLAL GUGALE</v>
          </cell>
          <cell r="C801" t="str">
            <v>ADVAN</v>
          </cell>
          <cell r="D801">
            <v>374387</v>
          </cell>
          <cell r="E801">
            <v>374387</v>
          </cell>
          <cell r="F801">
            <v>0</v>
          </cell>
        </row>
        <row r="802">
          <cell r="A802" t="str">
            <v>GRJES</v>
          </cell>
          <cell r="B802" t="str">
            <v>RAJESH AGGARWAL</v>
          </cell>
          <cell r="C802" t="str">
            <v>ADVAN</v>
          </cell>
          <cell r="D802">
            <v>36720</v>
          </cell>
          <cell r="E802">
            <v>36720</v>
          </cell>
          <cell r="F802">
            <v>0</v>
          </cell>
        </row>
        <row r="803">
          <cell r="A803" t="str">
            <v>GRAJB</v>
          </cell>
          <cell r="B803" t="str">
            <v>RAJESH BATRA</v>
          </cell>
          <cell r="C803" t="str">
            <v>ADVAN</v>
          </cell>
          <cell r="D803">
            <v>75000</v>
          </cell>
          <cell r="E803">
            <v>75000</v>
          </cell>
          <cell r="F803">
            <v>0</v>
          </cell>
        </row>
        <row r="804">
          <cell r="A804" t="str">
            <v>GRAJW</v>
          </cell>
          <cell r="B804" t="str">
            <v>RAJESH GAWADE</v>
          </cell>
          <cell r="C804" t="str">
            <v>ADVAN</v>
          </cell>
          <cell r="D804">
            <v>7700</v>
          </cell>
          <cell r="E804">
            <v>7700</v>
          </cell>
          <cell r="F804">
            <v>0</v>
          </cell>
        </row>
        <row r="805">
          <cell r="A805" t="str">
            <v>GRAGU</v>
          </cell>
          <cell r="B805" t="str">
            <v>RAJIV GULATI</v>
          </cell>
          <cell r="C805" t="str">
            <v>ADVAN</v>
          </cell>
          <cell r="D805">
            <v>98</v>
          </cell>
          <cell r="E805">
            <v>98</v>
          </cell>
          <cell r="F805">
            <v>0</v>
          </cell>
        </row>
        <row r="806">
          <cell r="A806" t="str">
            <v>GIRAJI</v>
          </cell>
          <cell r="B806" t="str">
            <v>RAJIV RATTAN IMPREST A/C</v>
          </cell>
          <cell r="C806" t="str">
            <v>ADVAN</v>
          </cell>
          <cell r="D806">
            <v>91100</v>
          </cell>
          <cell r="E806">
            <v>91100</v>
          </cell>
          <cell r="F806">
            <v>0</v>
          </cell>
        </row>
        <row r="807">
          <cell r="A807" t="str">
            <v>GRATI</v>
          </cell>
          <cell r="B807" t="str">
            <v>RAJTILAK STATIONERS</v>
          </cell>
          <cell r="C807" t="str">
            <v>ADVAN</v>
          </cell>
          <cell r="D807">
            <v>23234</v>
          </cell>
          <cell r="E807">
            <v>23234</v>
          </cell>
          <cell r="F807">
            <v>0</v>
          </cell>
        </row>
        <row r="808">
          <cell r="A808" t="str">
            <v>GRAJZ</v>
          </cell>
          <cell r="B808" t="str">
            <v>RAJU SRIVASTAVA</v>
          </cell>
          <cell r="C808" t="str">
            <v>ADVAN</v>
          </cell>
          <cell r="D808">
            <v>8114</v>
          </cell>
          <cell r="E808">
            <v>8114</v>
          </cell>
          <cell r="F808">
            <v>0</v>
          </cell>
        </row>
        <row r="809">
          <cell r="A809" t="str">
            <v>GRKES</v>
          </cell>
          <cell r="B809" t="str">
            <v>RAKESH</v>
          </cell>
          <cell r="C809" t="str">
            <v>ADVAN</v>
          </cell>
          <cell r="D809">
            <v>500</v>
          </cell>
          <cell r="E809">
            <v>500</v>
          </cell>
          <cell r="F809">
            <v>0</v>
          </cell>
        </row>
        <row r="810">
          <cell r="A810" t="str">
            <v>GRAKE</v>
          </cell>
          <cell r="B810" t="str">
            <v>RAKESH GUPTA</v>
          </cell>
          <cell r="C810" t="str">
            <v>ADVAN</v>
          </cell>
          <cell r="D810">
            <v>77605</v>
          </cell>
          <cell r="E810">
            <v>77605</v>
          </cell>
          <cell r="F810">
            <v>0</v>
          </cell>
        </row>
        <row r="811">
          <cell r="A811" t="str">
            <v>GRARM</v>
          </cell>
          <cell r="B811" t="str">
            <v>RAKESH R. MEHTA</v>
          </cell>
          <cell r="C811" t="str">
            <v>ADVAN</v>
          </cell>
          <cell r="D811">
            <v>2805</v>
          </cell>
          <cell r="E811">
            <v>2805</v>
          </cell>
          <cell r="F811">
            <v>0</v>
          </cell>
        </row>
        <row r="812">
          <cell r="A812" t="str">
            <v>GRAKH</v>
          </cell>
          <cell r="B812" t="str">
            <v>RAKESH SOLANKI</v>
          </cell>
          <cell r="C812" t="str">
            <v>ADVAN</v>
          </cell>
          <cell r="D812">
            <v>10489</v>
          </cell>
          <cell r="E812">
            <v>10489</v>
          </cell>
          <cell r="F812">
            <v>0</v>
          </cell>
        </row>
        <row r="813">
          <cell r="A813" t="str">
            <v>GRAMIF</v>
          </cell>
          <cell r="B813" t="str">
            <v>RAM INFOTECH</v>
          </cell>
          <cell r="C813" t="str">
            <v>ADVAN</v>
          </cell>
          <cell r="D813">
            <v>80000</v>
          </cell>
          <cell r="E813">
            <v>80000</v>
          </cell>
          <cell r="F813">
            <v>0</v>
          </cell>
        </row>
        <row r="814">
          <cell r="A814" t="str">
            <v>GRAMK</v>
          </cell>
          <cell r="B814" t="str">
            <v>RAM KUMAR RANA</v>
          </cell>
          <cell r="C814" t="str">
            <v>ADVAN</v>
          </cell>
          <cell r="D814">
            <v>337700</v>
          </cell>
          <cell r="E814">
            <v>337700</v>
          </cell>
          <cell r="F814">
            <v>0</v>
          </cell>
        </row>
        <row r="815">
          <cell r="A815" t="str">
            <v>GRASA</v>
          </cell>
          <cell r="B815" t="str">
            <v>RAM SAGAR SINGH (IMPREST)</v>
          </cell>
          <cell r="C815" t="str">
            <v>ADVAN</v>
          </cell>
          <cell r="D815">
            <v>41685</v>
          </cell>
          <cell r="E815">
            <v>41685</v>
          </cell>
          <cell r="F815">
            <v>0</v>
          </cell>
        </row>
        <row r="816">
          <cell r="A816" t="str">
            <v>GRAMG</v>
          </cell>
          <cell r="B816" t="str">
            <v>RAMESH D. GUPTA</v>
          </cell>
          <cell r="C816" t="str">
            <v>ADVAN</v>
          </cell>
          <cell r="D816">
            <v>157822</v>
          </cell>
          <cell r="E816">
            <v>157822</v>
          </cell>
          <cell r="F816">
            <v>0</v>
          </cell>
        </row>
        <row r="817">
          <cell r="A817" t="str">
            <v>GRDEV</v>
          </cell>
          <cell r="B817" t="str">
            <v>RAMESH DEVJANI</v>
          </cell>
          <cell r="C817" t="str">
            <v>ADVAN</v>
          </cell>
          <cell r="D817">
            <v>90300</v>
          </cell>
          <cell r="E817">
            <v>90300</v>
          </cell>
          <cell r="F817">
            <v>0</v>
          </cell>
        </row>
        <row r="818">
          <cell r="A818" t="str">
            <v>GRAMV</v>
          </cell>
          <cell r="B818" t="str">
            <v>RAMVEL COMPUTERS &amp; ELECTRONICS</v>
          </cell>
          <cell r="C818" t="str">
            <v>ADVAN</v>
          </cell>
          <cell r="D818">
            <v>1500</v>
          </cell>
          <cell r="E818">
            <v>1500</v>
          </cell>
          <cell r="F818">
            <v>0</v>
          </cell>
        </row>
        <row r="819">
          <cell r="A819" t="str">
            <v>GRANE</v>
          </cell>
          <cell r="B819" t="str">
            <v>RANJAN ELECTRONICS</v>
          </cell>
          <cell r="C819" t="str">
            <v>ADVAN</v>
          </cell>
          <cell r="D819">
            <v>24115</v>
          </cell>
          <cell r="E819">
            <v>24115</v>
          </cell>
          <cell r="F819">
            <v>0</v>
          </cell>
        </row>
        <row r="820">
          <cell r="A820" t="str">
            <v>GRANJ</v>
          </cell>
          <cell r="B820" t="str">
            <v>RANJANA SINGHI</v>
          </cell>
          <cell r="C820" t="str">
            <v>ADVAN</v>
          </cell>
          <cell r="D820">
            <v>71114</v>
          </cell>
          <cell r="E820">
            <v>71114</v>
          </cell>
          <cell r="F820">
            <v>0</v>
          </cell>
        </row>
        <row r="821">
          <cell r="A821" t="str">
            <v>GRAO</v>
          </cell>
          <cell r="B821" t="str">
            <v>RAO ENTERPRIISES  STORE</v>
          </cell>
          <cell r="C821" t="str">
            <v>ADVAN</v>
          </cell>
          <cell r="D821">
            <v>7250</v>
          </cell>
          <cell r="E821">
            <v>7250</v>
          </cell>
          <cell r="F821">
            <v>0</v>
          </cell>
        </row>
        <row r="822">
          <cell r="A822" t="str">
            <v>GRAPI</v>
          </cell>
          <cell r="B822" t="str">
            <v>RAPID COMPUTER SERVICES</v>
          </cell>
          <cell r="C822" t="str">
            <v>ADVAN</v>
          </cell>
          <cell r="D822">
            <v>40600</v>
          </cell>
          <cell r="E822">
            <v>40600</v>
          </cell>
          <cell r="F822">
            <v>0</v>
          </cell>
        </row>
        <row r="823">
          <cell r="A823" t="str">
            <v>GRATA</v>
          </cell>
          <cell r="B823" t="str">
            <v>RATAN LAL GARG</v>
          </cell>
          <cell r="C823" t="str">
            <v>ADVAN</v>
          </cell>
          <cell r="D823">
            <v>18500</v>
          </cell>
          <cell r="E823">
            <v>18500</v>
          </cell>
          <cell r="F823">
            <v>0</v>
          </cell>
        </row>
        <row r="824">
          <cell r="A824" t="str">
            <v>GRAVT</v>
          </cell>
          <cell r="B824" t="str">
            <v>RAVI INTERIOR WORK</v>
          </cell>
          <cell r="C824" t="str">
            <v>ADVAN</v>
          </cell>
          <cell r="D824">
            <v>31621</v>
          </cell>
          <cell r="E824">
            <v>31621</v>
          </cell>
          <cell r="F824">
            <v>0</v>
          </cell>
        </row>
        <row r="825">
          <cell r="A825" t="str">
            <v>GRAYM</v>
          </cell>
          <cell r="B825" t="str">
            <v>RAYMAL K RABARI</v>
          </cell>
          <cell r="C825" t="str">
            <v>ADVAN</v>
          </cell>
          <cell r="D825">
            <v>3938</v>
          </cell>
          <cell r="E825">
            <v>3938</v>
          </cell>
          <cell r="F825">
            <v>0</v>
          </cell>
        </row>
        <row r="826">
          <cell r="A826" t="str">
            <v>GREGA</v>
          </cell>
          <cell r="B826" t="str">
            <v>REGAL ELECTRONICS</v>
          </cell>
          <cell r="C826" t="str">
            <v>ADVAN</v>
          </cell>
          <cell r="D826">
            <v>7400</v>
          </cell>
          <cell r="E826">
            <v>7400</v>
          </cell>
          <cell r="F826">
            <v>0</v>
          </cell>
        </row>
        <row r="827">
          <cell r="A827" t="str">
            <v>GRELW</v>
          </cell>
          <cell r="B827" t="str">
            <v>RELAINCE WEB STORE LTD</v>
          </cell>
          <cell r="C827" t="str">
            <v>ADVAN</v>
          </cell>
          <cell r="D827">
            <v>1999</v>
          </cell>
          <cell r="E827">
            <v>1999</v>
          </cell>
          <cell r="F827">
            <v>0</v>
          </cell>
        </row>
        <row r="828">
          <cell r="A828" t="str">
            <v>GRELI</v>
          </cell>
          <cell r="B828" t="str">
            <v>RELIABLE SOFTWARE SYSTEM PVT. LTD.</v>
          </cell>
          <cell r="C828" t="str">
            <v>ADVAN</v>
          </cell>
          <cell r="D828">
            <v>14244</v>
          </cell>
          <cell r="E828">
            <v>14244</v>
          </cell>
          <cell r="F828">
            <v>0</v>
          </cell>
        </row>
        <row r="829">
          <cell r="A829" t="str">
            <v>GRELB</v>
          </cell>
          <cell r="B829" t="str">
            <v>RELIANCE BO</v>
          </cell>
          <cell r="C829" t="str">
            <v>ADVAN</v>
          </cell>
          <cell r="D829">
            <v>1921</v>
          </cell>
          <cell r="E829">
            <v>1921</v>
          </cell>
          <cell r="F829">
            <v>0</v>
          </cell>
        </row>
        <row r="830">
          <cell r="A830" t="str">
            <v>GRAPT</v>
          </cell>
          <cell r="B830" t="str">
            <v>REMESH PATEL</v>
          </cell>
          <cell r="C830" t="str">
            <v>ADVAN</v>
          </cell>
          <cell r="D830">
            <v>2723</v>
          </cell>
          <cell r="E830">
            <v>2723</v>
          </cell>
          <cell r="F830">
            <v>0</v>
          </cell>
        </row>
        <row r="831">
          <cell r="A831" t="str">
            <v>GRESH</v>
          </cell>
          <cell r="B831" t="str">
            <v>RESHMA SUSHIL MUTHIYAN</v>
          </cell>
          <cell r="C831" t="str">
            <v>ADVAN</v>
          </cell>
          <cell r="D831">
            <v>20444</v>
          </cell>
          <cell r="E831">
            <v>20444</v>
          </cell>
          <cell r="F831">
            <v>0</v>
          </cell>
        </row>
        <row r="832">
          <cell r="A832" t="str">
            <v>GREVA</v>
          </cell>
          <cell r="B832" t="str">
            <v>REVANKAR ELECTRICALS</v>
          </cell>
          <cell r="C832" t="str">
            <v>ADVAN</v>
          </cell>
          <cell r="D832">
            <v>1750</v>
          </cell>
          <cell r="E832">
            <v>1750</v>
          </cell>
          <cell r="F832">
            <v>0</v>
          </cell>
        </row>
        <row r="833">
          <cell r="A833" t="str">
            <v>GRHYT</v>
          </cell>
          <cell r="B833" t="str">
            <v>RHYTHM HOUSE</v>
          </cell>
          <cell r="C833" t="str">
            <v>ADVAN</v>
          </cell>
          <cell r="D833">
            <v>37200</v>
          </cell>
          <cell r="E833">
            <v>37200</v>
          </cell>
          <cell r="F833">
            <v>0</v>
          </cell>
        </row>
        <row r="834">
          <cell r="A834" t="str">
            <v>GRIGR</v>
          </cell>
          <cell r="B834" t="str">
            <v>RIGHT RESOURCES</v>
          </cell>
          <cell r="C834" t="str">
            <v>ADVAN</v>
          </cell>
          <cell r="D834">
            <v>2872</v>
          </cell>
          <cell r="E834">
            <v>2872</v>
          </cell>
          <cell r="F834">
            <v>0</v>
          </cell>
        </row>
        <row r="835">
          <cell r="A835" t="str">
            <v>GRKAP</v>
          </cell>
          <cell r="B835" t="str">
            <v>RISHI KAPOOR</v>
          </cell>
          <cell r="C835" t="str">
            <v>ADVAN</v>
          </cell>
          <cell r="D835">
            <v>48966</v>
          </cell>
          <cell r="E835">
            <v>48966</v>
          </cell>
          <cell r="F835">
            <v>0</v>
          </cell>
        </row>
        <row r="836">
          <cell r="A836" t="str">
            <v>GRIYA</v>
          </cell>
          <cell r="B836" t="str">
            <v>RIYA TRAVELS</v>
          </cell>
          <cell r="C836" t="str">
            <v>ADVAN</v>
          </cell>
          <cell r="D836">
            <v>16000</v>
          </cell>
          <cell r="E836">
            <v>16000</v>
          </cell>
          <cell r="F836">
            <v>0</v>
          </cell>
        </row>
        <row r="837">
          <cell r="A837" t="str">
            <v>GROHH</v>
          </cell>
          <cell r="B837" t="str">
            <v>ROHIT HARISHCHANDRA</v>
          </cell>
          <cell r="C837" t="str">
            <v>ADVAN</v>
          </cell>
          <cell r="D837">
            <v>19865</v>
          </cell>
          <cell r="E837">
            <v>19865</v>
          </cell>
          <cell r="F837">
            <v>0</v>
          </cell>
        </row>
        <row r="838">
          <cell r="A838" t="str">
            <v>GRSDU</v>
          </cell>
          <cell r="B838" t="str">
            <v>RSD UPPAL IMPEREST A/C</v>
          </cell>
          <cell r="C838" t="str">
            <v>ADVAN</v>
          </cell>
          <cell r="D838">
            <v>6006</v>
          </cell>
          <cell r="E838">
            <v>6006</v>
          </cell>
          <cell r="F838">
            <v>0</v>
          </cell>
        </row>
        <row r="839">
          <cell r="A839" t="str">
            <v>GRUBY</v>
          </cell>
          <cell r="B839" t="str">
            <v>RUBY KIRTIBHAI PATEL</v>
          </cell>
          <cell r="C839" t="str">
            <v>ADVAN</v>
          </cell>
          <cell r="D839">
            <v>179824</v>
          </cell>
          <cell r="E839">
            <v>179824</v>
          </cell>
          <cell r="F839">
            <v>0</v>
          </cell>
        </row>
        <row r="840">
          <cell r="A840" t="str">
            <v>GRUJU</v>
          </cell>
          <cell r="B840" t="str">
            <v>RUJUTA JATIN SHAH</v>
          </cell>
          <cell r="C840" t="str">
            <v>ADVAN</v>
          </cell>
          <cell r="D840">
            <v>71675</v>
          </cell>
          <cell r="E840">
            <v>71675</v>
          </cell>
          <cell r="F840">
            <v>0</v>
          </cell>
        </row>
        <row r="841">
          <cell r="A841" t="str">
            <v>GSSEL</v>
          </cell>
          <cell r="B841" t="str">
            <v>S S ELECTRICALS</v>
          </cell>
          <cell r="C841" t="str">
            <v>ADVAN</v>
          </cell>
          <cell r="D841">
            <v>21888</v>
          </cell>
          <cell r="E841">
            <v>21888</v>
          </cell>
          <cell r="F841">
            <v>0</v>
          </cell>
        </row>
        <row r="842">
          <cell r="A842" t="str">
            <v>GSTPR</v>
          </cell>
          <cell r="B842" t="str">
            <v>S T PRASAD</v>
          </cell>
          <cell r="C842" t="str">
            <v>ADVAN</v>
          </cell>
          <cell r="D842">
            <v>76521</v>
          </cell>
          <cell r="E842">
            <v>76521</v>
          </cell>
          <cell r="F842">
            <v>0</v>
          </cell>
        </row>
        <row r="843">
          <cell r="A843" t="str">
            <v>GSAZA</v>
          </cell>
          <cell r="B843" t="str">
            <v>S. AZAGAPPAN</v>
          </cell>
          <cell r="C843" t="str">
            <v>ADVAN</v>
          </cell>
          <cell r="D843">
            <v>3548</v>
          </cell>
          <cell r="E843">
            <v>3548</v>
          </cell>
          <cell r="F843">
            <v>0</v>
          </cell>
        </row>
        <row r="844">
          <cell r="A844" t="str">
            <v>GSKDE</v>
          </cell>
          <cell r="B844" t="str">
            <v>S. KUMAR DECOR</v>
          </cell>
          <cell r="C844" t="str">
            <v>ADVAN</v>
          </cell>
          <cell r="D844">
            <v>68000</v>
          </cell>
          <cell r="E844">
            <v>68000</v>
          </cell>
          <cell r="F844">
            <v>0</v>
          </cell>
        </row>
        <row r="845">
          <cell r="A845" t="str">
            <v>GSGTR</v>
          </cell>
          <cell r="B845" t="str">
            <v>S.G.TRADERS</v>
          </cell>
          <cell r="C845" t="str">
            <v>ADVAN</v>
          </cell>
          <cell r="D845">
            <v>12426</v>
          </cell>
          <cell r="E845">
            <v>12426</v>
          </cell>
          <cell r="F845">
            <v>0</v>
          </cell>
        </row>
        <row r="846">
          <cell r="A846" t="str">
            <v>GSPIN</v>
          </cell>
          <cell r="B846" t="str">
            <v>S.P. INFOCOM</v>
          </cell>
          <cell r="C846" t="str">
            <v>ADVAN</v>
          </cell>
          <cell r="D846">
            <v>10132</v>
          </cell>
          <cell r="E846">
            <v>10132</v>
          </cell>
          <cell r="F846">
            <v>0</v>
          </cell>
        </row>
        <row r="847">
          <cell r="A847" t="str">
            <v>GSABI</v>
          </cell>
          <cell r="B847" t="str">
            <v>SABINA MOHMADSALIM DHOLIA</v>
          </cell>
          <cell r="C847" t="str">
            <v>ADVAN</v>
          </cell>
          <cell r="D847">
            <v>22299</v>
          </cell>
          <cell r="E847">
            <v>22299</v>
          </cell>
          <cell r="F847">
            <v>0</v>
          </cell>
        </row>
        <row r="848">
          <cell r="A848" t="str">
            <v>GSCHE</v>
          </cell>
          <cell r="B848" t="str">
            <v>SACHDEVA ELECTRONICS PVT. LTD.</v>
          </cell>
          <cell r="C848" t="str">
            <v>ADVAN</v>
          </cell>
          <cell r="D848">
            <v>7800</v>
          </cell>
          <cell r="E848">
            <v>7800</v>
          </cell>
          <cell r="F848">
            <v>0</v>
          </cell>
        </row>
        <row r="849">
          <cell r="A849" t="str">
            <v>GSADK</v>
          </cell>
          <cell r="B849" t="str">
            <v>SADHNA KANJANI</v>
          </cell>
          <cell r="C849" t="str">
            <v>ADVAN</v>
          </cell>
          <cell r="D849">
            <v>114146</v>
          </cell>
          <cell r="E849">
            <v>114146</v>
          </cell>
          <cell r="F849">
            <v>0</v>
          </cell>
        </row>
        <row r="850">
          <cell r="A850" t="str">
            <v>GSAFE</v>
          </cell>
          <cell r="B850" t="str">
            <v>SAFE POWER TECHNOLOGIES (P) LTD.</v>
          </cell>
          <cell r="C850" t="str">
            <v>ADVAN</v>
          </cell>
          <cell r="D850">
            <v>19500</v>
          </cell>
          <cell r="E850">
            <v>19500</v>
          </cell>
          <cell r="F850">
            <v>0</v>
          </cell>
        </row>
        <row r="851">
          <cell r="A851" t="str">
            <v>GSAFI</v>
          </cell>
          <cell r="B851" t="str">
            <v>SAFIYA MOHMADRAFIQ DHOLIA</v>
          </cell>
          <cell r="C851" t="str">
            <v>ADVAN</v>
          </cell>
          <cell r="D851">
            <v>16533</v>
          </cell>
          <cell r="E851">
            <v>16533</v>
          </cell>
          <cell r="F851">
            <v>0</v>
          </cell>
        </row>
        <row r="852">
          <cell r="A852" t="str">
            <v>GSAHN</v>
          </cell>
          <cell r="B852" t="str">
            <v>SAHANI ELECTRICALS</v>
          </cell>
          <cell r="C852" t="str">
            <v>ADVAN</v>
          </cell>
          <cell r="D852">
            <v>20000</v>
          </cell>
          <cell r="E852">
            <v>20000</v>
          </cell>
          <cell r="F852">
            <v>0</v>
          </cell>
        </row>
        <row r="853">
          <cell r="A853" t="str">
            <v>GSAHE</v>
          </cell>
          <cell r="B853" t="str">
            <v>SAHEDA BANU MOHMADKASIM DHOLIA</v>
          </cell>
          <cell r="C853" t="str">
            <v>ADVAN</v>
          </cell>
          <cell r="D853">
            <v>17799</v>
          </cell>
          <cell r="E853">
            <v>17799</v>
          </cell>
          <cell r="F853">
            <v>0</v>
          </cell>
        </row>
        <row r="854">
          <cell r="A854" t="str">
            <v>GSABR</v>
          </cell>
          <cell r="B854" t="str">
            <v>SAHNI BROTHERS</v>
          </cell>
          <cell r="C854" t="str">
            <v>ADVAN</v>
          </cell>
          <cell r="D854">
            <v>1500</v>
          </cell>
          <cell r="E854">
            <v>1500</v>
          </cell>
          <cell r="F854">
            <v>0</v>
          </cell>
        </row>
        <row r="855">
          <cell r="A855" t="str">
            <v>GSAIA</v>
          </cell>
          <cell r="B855" t="str">
            <v>SAI AIRCON</v>
          </cell>
          <cell r="C855" t="str">
            <v>ADVAN</v>
          </cell>
          <cell r="D855">
            <v>291867</v>
          </cell>
          <cell r="E855">
            <v>291867</v>
          </cell>
          <cell r="F855">
            <v>0</v>
          </cell>
        </row>
        <row r="856">
          <cell r="A856" t="str">
            <v>GSAEN</v>
          </cell>
          <cell r="B856" t="str">
            <v>SAI ENTERPRISES</v>
          </cell>
          <cell r="C856" t="str">
            <v>ADVAN</v>
          </cell>
          <cell r="D856">
            <v>100</v>
          </cell>
          <cell r="E856">
            <v>100</v>
          </cell>
          <cell r="F856">
            <v>0</v>
          </cell>
        </row>
        <row r="857">
          <cell r="A857" t="str">
            <v>GSAIS</v>
          </cell>
          <cell r="B857" t="str">
            <v>SAICON SALES</v>
          </cell>
          <cell r="C857" t="str">
            <v>ADVAN</v>
          </cell>
          <cell r="D857">
            <v>14824</v>
          </cell>
          <cell r="E857">
            <v>14824</v>
          </cell>
          <cell r="F857">
            <v>0</v>
          </cell>
        </row>
        <row r="858">
          <cell r="A858" t="str">
            <v>GSAIG</v>
          </cell>
          <cell r="B858" t="str">
            <v>SAIGANESH COMPUTERS</v>
          </cell>
          <cell r="C858" t="str">
            <v>ADVAN</v>
          </cell>
          <cell r="D858">
            <v>20413</v>
          </cell>
          <cell r="E858">
            <v>20413</v>
          </cell>
          <cell r="F858">
            <v>0</v>
          </cell>
        </row>
        <row r="859">
          <cell r="A859" t="str">
            <v>GSALR</v>
          </cell>
          <cell r="B859" t="str">
            <v>SALIG RAM JIWAN LAL &amp; CO.</v>
          </cell>
          <cell r="C859" t="str">
            <v>ADVAN</v>
          </cell>
          <cell r="D859">
            <v>5500</v>
          </cell>
          <cell r="E859">
            <v>5500</v>
          </cell>
          <cell r="F859">
            <v>0</v>
          </cell>
        </row>
        <row r="860">
          <cell r="A860" t="str">
            <v>GSABH</v>
          </cell>
          <cell r="B860" t="str">
            <v>SAMATBHAI MAKWANA</v>
          </cell>
          <cell r="C860" t="str">
            <v>ADVAN</v>
          </cell>
          <cell r="D860">
            <v>13104</v>
          </cell>
          <cell r="E860">
            <v>13104</v>
          </cell>
          <cell r="F860">
            <v>0</v>
          </cell>
        </row>
        <row r="861">
          <cell r="A861" t="str">
            <v>GSAMB</v>
          </cell>
          <cell r="B861" t="str">
            <v>SAMBHAV ENTERPRISES</v>
          </cell>
          <cell r="C861" t="str">
            <v>ADVAN</v>
          </cell>
          <cell r="D861">
            <v>15400</v>
          </cell>
          <cell r="E861">
            <v>15400</v>
          </cell>
          <cell r="F861">
            <v>0</v>
          </cell>
        </row>
        <row r="862">
          <cell r="A862" t="str">
            <v>GISAME</v>
          </cell>
          <cell r="B862" t="str">
            <v>SAMEER GEHLAUT IMPREST A/C</v>
          </cell>
          <cell r="C862" t="str">
            <v>ADVAN</v>
          </cell>
          <cell r="D862">
            <v>91100</v>
          </cell>
          <cell r="E862">
            <v>91100</v>
          </cell>
          <cell r="F862">
            <v>0</v>
          </cell>
        </row>
        <row r="863">
          <cell r="A863" t="str">
            <v>GSTIW</v>
          </cell>
          <cell r="B863" t="str">
            <v>SAMIT TIWARI</v>
          </cell>
          <cell r="C863" t="str">
            <v>ADVAN</v>
          </cell>
          <cell r="D863">
            <v>2651</v>
          </cell>
          <cell r="E863">
            <v>2651</v>
          </cell>
          <cell r="F863">
            <v>0</v>
          </cell>
        </row>
        <row r="864">
          <cell r="A864" t="str">
            <v>GSAME</v>
          </cell>
          <cell r="B864" t="str">
            <v>SAMRAT ELECTRONICS &amp; TECHNOLOGY</v>
          </cell>
          <cell r="C864" t="str">
            <v>ADVAN</v>
          </cell>
          <cell r="D864">
            <v>9450</v>
          </cell>
          <cell r="E864">
            <v>9450</v>
          </cell>
          <cell r="F864">
            <v>0</v>
          </cell>
        </row>
        <row r="865">
          <cell r="A865" t="str">
            <v>GSACO</v>
          </cell>
          <cell r="B865" t="str">
            <v>SAN COMPUTEK</v>
          </cell>
          <cell r="C865" t="str">
            <v>ADVAN</v>
          </cell>
          <cell r="D865">
            <v>128475</v>
          </cell>
          <cell r="E865">
            <v>128475</v>
          </cell>
          <cell r="F865">
            <v>0</v>
          </cell>
        </row>
        <row r="866">
          <cell r="A866" t="str">
            <v>GSANCH</v>
          </cell>
          <cell r="B866" t="str">
            <v>SANDEEP CHAUGULE</v>
          </cell>
          <cell r="C866" t="str">
            <v>ADVAN</v>
          </cell>
          <cell r="D866">
            <v>1262</v>
          </cell>
          <cell r="E866">
            <v>1262</v>
          </cell>
          <cell r="F866">
            <v>0</v>
          </cell>
        </row>
        <row r="867">
          <cell r="A867" t="str">
            <v>GSMAN</v>
          </cell>
          <cell r="B867" t="str">
            <v>SANGAM MACHINERY STORE</v>
          </cell>
          <cell r="C867" t="str">
            <v>ADVAN</v>
          </cell>
          <cell r="D867">
            <v>39100</v>
          </cell>
          <cell r="E867">
            <v>39100</v>
          </cell>
          <cell r="F867">
            <v>0</v>
          </cell>
        </row>
        <row r="868">
          <cell r="A868" t="str">
            <v>GLSAN</v>
          </cell>
          <cell r="B868" t="str">
            <v>SANJAY KUMAR TALREJA LOAN A/C</v>
          </cell>
          <cell r="C868" t="str">
            <v>ADVAN</v>
          </cell>
          <cell r="D868">
            <v>11000</v>
          </cell>
          <cell r="E868">
            <v>11000</v>
          </cell>
          <cell r="F868">
            <v>0</v>
          </cell>
        </row>
        <row r="869">
          <cell r="A869" t="str">
            <v>GSANJE</v>
          </cell>
          <cell r="B869" t="str">
            <v>SANJEEV KUMAR</v>
          </cell>
          <cell r="C869" t="str">
            <v>ADVAN</v>
          </cell>
          <cell r="D869">
            <v>3672</v>
          </cell>
          <cell r="E869">
            <v>3672</v>
          </cell>
          <cell r="F869">
            <v>0</v>
          </cell>
        </row>
        <row r="870">
          <cell r="A870" t="str">
            <v>GLSAJ</v>
          </cell>
          <cell r="B870" t="str">
            <v>SANJEEV RANJAN - LOAN A/C</v>
          </cell>
          <cell r="C870" t="str">
            <v>ADVAN</v>
          </cell>
          <cell r="D870">
            <v>92000</v>
          </cell>
          <cell r="E870">
            <v>92000</v>
          </cell>
          <cell r="F870">
            <v>0</v>
          </cell>
        </row>
        <row r="871">
          <cell r="A871" t="str">
            <v>GSANTO</v>
          </cell>
          <cell r="B871" t="str">
            <v>SANTOSH ELECTRIC WORKS</v>
          </cell>
          <cell r="C871" t="str">
            <v>ADVAN</v>
          </cell>
          <cell r="D871">
            <v>24388</v>
          </cell>
          <cell r="E871">
            <v>24388</v>
          </cell>
          <cell r="F871">
            <v>0</v>
          </cell>
        </row>
        <row r="872">
          <cell r="A872" t="str">
            <v>GSAPP</v>
          </cell>
          <cell r="B872" t="str">
            <v>SAPPHIRE INFOMATIQUE</v>
          </cell>
          <cell r="C872" t="str">
            <v>ADVAN</v>
          </cell>
          <cell r="D872">
            <v>25140</v>
          </cell>
          <cell r="E872">
            <v>25140</v>
          </cell>
          <cell r="F872">
            <v>0</v>
          </cell>
        </row>
        <row r="873">
          <cell r="A873" t="str">
            <v>GSARA</v>
          </cell>
          <cell r="B873" t="str">
            <v>SARASWATI COMPUTER'S</v>
          </cell>
          <cell r="C873" t="str">
            <v>ADVAN</v>
          </cell>
          <cell r="D873">
            <v>1242</v>
          </cell>
          <cell r="E873">
            <v>1242</v>
          </cell>
          <cell r="F873">
            <v>0</v>
          </cell>
        </row>
        <row r="874">
          <cell r="A874" t="str">
            <v>GSCAD</v>
          </cell>
          <cell r="B874" t="str">
            <v>SAROSH CONSTRUCTION &amp; DEVELOPERS</v>
          </cell>
          <cell r="C874" t="str">
            <v>ADVAN</v>
          </cell>
          <cell r="D874">
            <v>80049</v>
          </cell>
          <cell r="E874">
            <v>80049</v>
          </cell>
          <cell r="F874">
            <v>0</v>
          </cell>
        </row>
        <row r="875">
          <cell r="A875" t="str">
            <v>GSTEJ</v>
          </cell>
          <cell r="B875" t="str">
            <v>SATEJ ADVERTISING</v>
          </cell>
          <cell r="C875" t="str">
            <v>ADVAN</v>
          </cell>
          <cell r="D875">
            <v>16821</v>
          </cell>
          <cell r="E875">
            <v>16821</v>
          </cell>
          <cell r="F875">
            <v>0</v>
          </cell>
        </row>
        <row r="876">
          <cell r="A876" t="str">
            <v>GSAKM</v>
          </cell>
          <cell r="B876" t="str">
            <v>SATISH KUMAR MISHRA</v>
          </cell>
          <cell r="C876" t="str">
            <v>ADVAN</v>
          </cell>
          <cell r="D876">
            <v>1032</v>
          </cell>
          <cell r="E876">
            <v>1032</v>
          </cell>
          <cell r="F876">
            <v>0</v>
          </cell>
        </row>
        <row r="877">
          <cell r="A877" t="str">
            <v>GSATA</v>
          </cell>
          <cell r="B877" t="str">
            <v>SATPAL SINGH SETHI &amp; ASSOCIATES</v>
          </cell>
          <cell r="C877" t="str">
            <v>ADVAN</v>
          </cell>
          <cell r="D877">
            <v>263970</v>
          </cell>
          <cell r="E877">
            <v>263970</v>
          </cell>
          <cell r="F877">
            <v>0</v>
          </cell>
        </row>
        <row r="878">
          <cell r="A878" t="str">
            <v>GSAVT</v>
          </cell>
          <cell r="B878" t="str">
            <v>SAVI TECHNOLOGY</v>
          </cell>
          <cell r="C878" t="str">
            <v>ADVAN</v>
          </cell>
          <cell r="D878">
            <v>50562.5</v>
          </cell>
          <cell r="E878">
            <v>50562.5</v>
          </cell>
          <cell r="F878">
            <v>0</v>
          </cell>
        </row>
        <row r="879">
          <cell r="A879" t="str">
            <v>GSAVI</v>
          </cell>
          <cell r="B879" t="str">
            <v>SAVITA AGARWAL</v>
          </cell>
          <cell r="C879" t="str">
            <v>ADVAN</v>
          </cell>
          <cell r="D879">
            <v>28380</v>
          </cell>
          <cell r="E879">
            <v>28380</v>
          </cell>
          <cell r="F879">
            <v>0</v>
          </cell>
        </row>
        <row r="880">
          <cell r="A880" t="str">
            <v>GSAWA</v>
          </cell>
          <cell r="B880" t="str">
            <v>SAWAN AIRCON</v>
          </cell>
          <cell r="C880" t="str">
            <v>ADVAN</v>
          </cell>
          <cell r="D880">
            <v>63000</v>
          </cell>
          <cell r="E880">
            <v>63000</v>
          </cell>
          <cell r="F880">
            <v>0</v>
          </cell>
        </row>
        <row r="881">
          <cell r="A881" t="str">
            <v>GSDSS</v>
          </cell>
          <cell r="B881" t="str">
            <v>SDS SALES PRIVATE LIMITED</v>
          </cell>
          <cell r="C881" t="str">
            <v>ADVAN</v>
          </cell>
          <cell r="D881">
            <v>495</v>
          </cell>
          <cell r="E881">
            <v>495</v>
          </cell>
          <cell r="F881">
            <v>0</v>
          </cell>
        </row>
        <row r="882">
          <cell r="A882" t="str">
            <v>GSEEM</v>
          </cell>
          <cell r="B882" t="str">
            <v>SEEMA PRAKASH JAIN</v>
          </cell>
          <cell r="C882" t="str">
            <v>ADVAN</v>
          </cell>
          <cell r="D882">
            <v>117595</v>
          </cell>
          <cell r="E882">
            <v>117595</v>
          </cell>
          <cell r="F882">
            <v>0</v>
          </cell>
        </row>
        <row r="883">
          <cell r="A883" t="str">
            <v>GSELV</v>
          </cell>
          <cell r="B883" t="str">
            <v>SELVEL ADVERTISING PRIVATE LIMITED</v>
          </cell>
          <cell r="C883" t="str">
            <v>ADVAN</v>
          </cell>
          <cell r="D883">
            <v>9505</v>
          </cell>
          <cell r="E883">
            <v>9505</v>
          </cell>
          <cell r="F883">
            <v>0</v>
          </cell>
        </row>
        <row r="884">
          <cell r="A884" t="str">
            <v>GSERVI</v>
          </cell>
          <cell r="B884" t="str">
            <v>SERVICOS DE RADIO MUNDIAL</v>
          </cell>
          <cell r="C884" t="str">
            <v>ADVAN</v>
          </cell>
          <cell r="D884">
            <v>6490</v>
          </cell>
          <cell r="E884">
            <v>6490</v>
          </cell>
          <cell r="F884">
            <v>0</v>
          </cell>
        </row>
        <row r="885">
          <cell r="A885" t="str">
            <v>GSETH</v>
          </cell>
          <cell r="B885" t="str">
            <v>SETH SERVICES</v>
          </cell>
          <cell r="C885" t="str">
            <v>ADVAN</v>
          </cell>
          <cell r="D885">
            <v>5506.25</v>
          </cell>
          <cell r="E885">
            <v>5506.25</v>
          </cell>
          <cell r="F885">
            <v>0</v>
          </cell>
        </row>
        <row r="886">
          <cell r="A886" t="str">
            <v>GSETE</v>
          </cell>
          <cell r="B886" t="str">
            <v>SETHI ELECTROSTAT</v>
          </cell>
          <cell r="C886" t="str">
            <v>ADVAN</v>
          </cell>
          <cell r="D886">
            <v>5323</v>
          </cell>
          <cell r="E886">
            <v>5323</v>
          </cell>
          <cell r="F886">
            <v>0</v>
          </cell>
        </row>
        <row r="887">
          <cell r="A887" t="str">
            <v>GSEVE</v>
          </cell>
          <cell r="B887" t="str">
            <v>SEVEN HILLS AGENCIES</v>
          </cell>
          <cell r="C887" t="str">
            <v>ADVAN</v>
          </cell>
          <cell r="D887">
            <v>7293</v>
          </cell>
          <cell r="E887">
            <v>7293</v>
          </cell>
          <cell r="F887">
            <v>0</v>
          </cell>
        </row>
        <row r="888">
          <cell r="A888" t="str">
            <v>GSEVN</v>
          </cell>
          <cell r="B888" t="str">
            <v>SEVEN SEAS EXPRESS</v>
          </cell>
          <cell r="C888" t="str">
            <v>ADVAN</v>
          </cell>
          <cell r="D888">
            <v>13449</v>
          </cell>
          <cell r="E888">
            <v>13449</v>
          </cell>
          <cell r="F888">
            <v>0</v>
          </cell>
        </row>
        <row r="889">
          <cell r="A889" t="str">
            <v>GSHAI</v>
          </cell>
          <cell r="B889" t="str">
            <v>SHAIL AGARWAL</v>
          </cell>
          <cell r="C889" t="str">
            <v>ADVAN</v>
          </cell>
          <cell r="D889">
            <v>14000</v>
          </cell>
          <cell r="E889">
            <v>14000</v>
          </cell>
          <cell r="F889">
            <v>0</v>
          </cell>
        </row>
        <row r="890">
          <cell r="A890" t="str">
            <v>GASA</v>
          </cell>
          <cell r="B890" t="str">
            <v>SHAKTI APPLIANCES</v>
          </cell>
          <cell r="C890" t="str">
            <v>ADVAN</v>
          </cell>
          <cell r="D890">
            <v>8150</v>
          </cell>
          <cell r="E890">
            <v>8150</v>
          </cell>
          <cell r="F890">
            <v>0</v>
          </cell>
        </row>
        <row r="891">
          <cell r="A891" t="str">
            <v>GSHAC</v>
          </cell>
          <cell r="B891" t="str">
            <v>SHAKTI COPY CENTRE</v>
          </cell>
          <cell r="C891" t="str">
            <v>ADVAN</v>
          </cell>
          <cell r="D891">
            <v>55</v>
          </cell>
          <cell r="E891">
            <v>55</v>
          </cell>
          <cell r="F891">
            <v>0</v>
          </cell>
        </row>
        <row r="892">
          <cell r="A892" t="str">
            <v>GSHBS</v>
          </cell>
          <cell r="B892" t="str">
            <v>SHALINI BAJIRAO SAWANT</v>
          </cell>
          <cell r="C892" t="str">
            <v>ADVAN</v>
          </cell>
          <cell r="D892">
            <v>81408</v>
          </cell>
          <cell r="E892">
            <v>81408</v>
          </cell>
          <cell r="F892">
            <v>0</v>
          </cell>
        </row>
        <row r="893">
          <cell r="A893" t="str">
            <v>GSHAO</v>
          </cell>
          <cell r="B893" t="str">
            <v>SHALOM SEATING SYSTEM</v>
          </cell>
          <cell r="C893" t="str">
            <v>ADVAN</v>
          </cell>
          <cell r="D893">
            <v>61594</v>
          </cell>
          <cell r="E893">
            <v>61594</v>
          </cell>
          <cell r="F893">
            <v>0</v>
          </cell>
        </row>
        <row r="894">
          <cell r="A894" t="str">
            <v>GSHCB</v>
          </cell>
          <cell r="B894" t="str">
            <v>SHANKAR C BHOIR</v>
          </cell>
          <cell r="C894" t="str">
            <v>ADVAN</v>
          </cell>
          <cell r="D894">
            <v>785</v>
          </cell>
          <cell r="E894">
            <v>785</v>
          </cell>
          <cell r="F894">
            <v>0</v>
          </cell>
        </row>
        <row r="895">
          <cell r="A895" t="str">
            <v>GSNCI</v>
          </cell>
          <cell r="B895" t="str">
            <v>SHANTI CARPET INDUSTRIES</v>
          </cell>
          <cell r="C895" t="str">
            <v>ADVAN</v>
          </cell>
          <cell r="D895">
            <v>91257</v>
          </cell>
          <cell r="E895">
            <v>91257</v>
          </cell>
          <cell r="F895">
            <v>0</v>
          </cell>
        </row>
        <row r="896">
          <cell r="A896" t="str">
            <v>GSTEA</v>
          </cell>
          <cell r="B896" t="str">
            <v>SHANTI TEA STALL</v>
          </cell>
          <cell r="C896" t="str">
            <v>ADVAN</v>
          </cell>
          <cell r="D896">
            <v>4100</v>
          </cell>
          <cell r="E896">
            <v>4100</v>
          </cell>
          <cell r="F896">
            <v>0</v>
          </cell>
        </row>
        <row r="897">
          <cell r="A897" t="str">
            <v>GSHAN</v>
          </cell>
          <cell r="B897" t="str">
            <v>SHANTILAL BABUBHAI SURATWALA</v>
          </cell>
          <cell r="C897" t="str">
            <v>ADVAN</v>
          </cell>
          <cell r="D897">
            <v>95217</v>
          </cell>
          <cell r="E897">
            <v>95217</v>
          </cell>
          <cell r="F897">
            <v>0</v>
          </cell>
        </row>
        <row r="898">
          <cell r="A898" t="str">
            <v>GSHEY</v>
          </cell>
          <cell r="B898" t="str">
            <v>SHARDA ELECTRICITY</v>
          </cell>
          <cell r="C898" t="str">
            <v>ADVAN</v>
          </cell>
          <cell r="D898">
            <v>3701</v>
          </cell>
          <cell r="E898">
            <v>3701</v>
          </cell>
          <cell r="F898">
            <v>0</v>
          </cell>
        </row>
        <row r="899">
          <cell r="A899" t="str">
            <v>GONGC</v>
          </cell>
          <cell r="B899" t="str">
            <v>SHARE APPLICATION MONEY (ONGC)</v>
          </cell>
          <cell r="C899" t="str">
            <v>ADVAN</v>
          </cell>
          <cell r="D899">
            <v>61220250</v>
          </cell>
          <cell r="E899">
            <v>61220250</v>
          </cell>
          <cell r="F899">
            <v>0</v>
          </cell>
        </row>
        <row r="900">
          <cell r="A900" t="str">
            <v>GPNB</v>
          </cell>
          <cell r="B900" t="str">
            <v>SHARE APPLICATION MONEY - PNB</v>
          </cell>
          <cell r="C900" t="str">
            <v>ADVAN</v>
          </cell>
          <cell r="D900">
            <v>20</v>
          </cell>
          <cell r="E900">
            <v>20</v>
          </cell>
          <cell r="F900">
            <v>0</v>
          </cell>
        </row>
        <row r="901">
          <cell r="A901" t="str">
            <v>GSWOO</v>
          </cell>
          <cell r="B901" t="str">
            <v>SHARMA WOOD WORK</v>
          </cell>
          <cell r="C901" t="str">
            <v>ADVAN</v>
          </cell>
          <cell r="D901">
            <v>3000</v>
          </cell>
          <cell r="E901">
            <v>3000</v>
          </cell>
          <cell r="F901">
            <v>0</v>
          </cell>
        </row>
        <row r="902">
          <cell r="A902" t="str">
            <v>GSHAS</v>
          </cell>
          <cell r="B902" t="str">
            <v>SHASHI ADVERTISING</v>
          </cell>
          <cell r="C902" t="str">
            <v>ADVAN</v>
          </cell>
          <cell r="D902">
            <v>9750</v>
          </cell>
          <cell r="E902">
            <v>9750</v>
          </cell>
          <cell r="F902">
            <v>0</v>
          </cell>
        </row>
        <row r="903">
          <cell r="A903" t="str">
            <v>GSHSH</v>
          </cell>
          <cell r="B903" t="str">
            <v>SHASHIRA FOODS AND FARMS</v>
          </cell>
          <cell r="C903" t="str">
            <v>ADVAN</v>
          </cell>
          <cell r="D903">
            <v>3840</v>
          </cell>
          <cell r="E903">
            <v>3840</v>
          </cell>
          <cell r="F903">
            <v>0</v>
          </cell>
        </row>
        <row r="904">
          <cell r="A904" t="str">
            <v>GSHAU</v>
          </cell>
          <cell r="B904" t="str">
            <v>SHAUKAT RADIUM ADVERTISING MEDIA</v>
          </cell>
          <cell r="C904" t="str">
            <v>ADVAN</v>
          </cell>
          <cell r="D904">
            <v>9690</v>
          </cell>
          <cell r="E904">
            <v>9690</v>
          </cell>
          <cell r="F904">
            <v>0</v>
          </cell>
        </row>
        <row r="905">
          <cell r="A905" t="str">
            <v>GSHEI</v>
          </cell>
          <cell r="B905" t="str">
            <v>SHEEL INFOTECH</v>
          </cell>
          <cell r="C905" t="str">
            <v>ADVAN</v>
          </cell>
          <cell r="D905">
            <v>20700</v>
          </cell>
          <cell r="E905">
            <v>20700</v>
          </cell>
          <cell r="F905">
            <v>0</v>
          </cell>
        </row>
        <row r="906">
          <cell r="A906" t="str">
            <v>GSHEL</v>
          </cell>
          <cell r="B906" t="str">
            <v>SHELIN INDUSTRIES</v>
          </cell>
          <cell r="C906" t="str">
            <v>ADVAN</v>
          </cell>
          <cell r="D906">
            <v>140000</v>
          </cell>
          <cell r="E906">
            <v>140000</v>
          </cell>
          <cell r="F906">
            <v>0</v>
          </cell>
        </row>
        <row r="907">
          <cell r="A907" t="str">
            <v>GSHIN</v>
          </cell>
          <cell r="B907" t="str">
            <v>SHILP INTERIOR</v>
          </cell>
          <cell r="C907" t="str">
            <v>ADVAN</v>
          </cell>
          <cell r="D907">
            <v>4775</v>
          </cell>
          <cell r="E907">
            <v>4775</v>
          </cell>
          <cell r="F907">
            <v>0</v>
          </cell>
        </row>
        <row r="908">
          <cell r="A908" t="str">
            <v>GSSTA</v>
          </cell>
          <cell r="B908" t="str">
            <v>SHIV  STATIONERY ITEM</v>
          </cell>
          <cell r="C908" t="str">
            <v>ADVAN</v>
          </cell>
          <cell r="D908">
            <v>9406</v>
          </cell>
          <cell r="E908">
            <v>9406</v>
          </cell>
          <cell r="F908">
            <v>0</v>
          </cell>
        </row>
        <row r="909">
          <cell r="A909" t="str">
            <v>GSHSE</v>
          </cell>
          <cell r="B909" t="str">
            <v>SHIV SHAKTI  INTERNATIONAL COURIER</v>
          </cell>
          <cell r="C909" t="str">
            <v>ADVAN</v>
          </cell>
          <cell r="D909">
            <v>770</v>
          </cell>
          <cell r="E909">
            <v>770</v>
          </cell>
          <cell r="F909">
            <v>0</v>
          </cell>
        </row>
        <row r="910">
          <cell r="A910" t="str">
            <v>GSHIT</v>
          </cell>
          <cell r="B910" t="str">
            <v>SHIVA TIWARI</v>
          </cell>
          <cell r="C910" t="str">
            <v>ADVAN</v>
          </cell>
          <cell r="D910">
            <v>6323</v>
          </cell>
          <cell r="E910">
            <v>6323</v>
          </cell>
          <cell r="F910">
            <v>0</v>
          </cell>
        </row>
        <row r="911">
          <cell r="A911" t="str">
            <v>GSHPA</v>
          </cell>
          <cell r="B911" t="str">
            <v>SHIVAM PANELS</v>
          </cell>
          <cell r="C911" t="str">
            <v>ADVAN</v>
          </cell>
          <cell r="D911">
            <v>51808</v>
          </cell>
          <cell r="E911">
            <v>51808</v>
          </cell>
          <cell r="F911">
            <v>0</v>
          </cell>
        </row>
        <row r="912">
          <cell r="A912" t="str">
            <v>GSHOB</v>
          </cell>
          <cell r="B912" t="str">
            <v>SHOBHIT AGENCIES</v>
          </cell>
          <cell r="C912" t="str">
            <v>ADVAN</v>
          </cell>
          <cell r="D912">
            <v>2150</v>
          </cell>
          <cell r="E912">
            <v>2150</v>
          </cell>
          <cell r="F912">
            <v>0</v>
          </cell>
        </row>
        <row r="913">
          <cell r="A913" t="str">
            <v>GSAMM</v>
          </cell>
          <cell r="B913" t="str">
            <v>SHREE AMMANNA ESTATES</v>
          </cell>
          <cell r="C913" t="str">
            <v>ADVAN</v>
          </cell>
          <cell r="D913">
            <v>20062</v>
          </cell>
          <cell r="E913">
            <v>20062</v>
          </cell>
          <cell r="F913">
            <v>0</v>
          </cell>
        </row>
        <row r="914">
          <cell r="A914" t="str">
            <v>GSHBA</v>
          </cell>
          <cell r="B914" t="str">
            <v>SHREE BALAJI</v>
          </cell>
          <cell r="C914" t="str">
            <v>ADVAN</v>
          </cell>
          <cell r="D914">
            <v>108</v>
          </cell>
          <cell r="E914">
            <v>108</v>
          </cell>
          <cell r="F914">
            <v>0</v>
          </cell>
        </row>
        <row r="915">
          <cell r="A915" t="str">
            <v>GSHRD</v>
          </cell>
          <cell r="B915" t="str">
            <v>SHREE DHARMACHAKRA EXPRESS</v>
          </cell>
          <cell r="C915" t="str">
            <v>ADVAN</v>
          </cell>
          <cell r="D915">
            <v>562</v>
          </cell>
          <cell r="E915">
            <v>562</v>
          </cell>
          <cell r="F915">
            <v>0</v>
          </cell>
        </row>
        <row r="916">
          <cell r="A916" t="str">
            <v>GSHDU</v>
          </cell>
          <cell r="B916" t="str">
            <v>SHREE DURGA ENTERPRISES</v>
          </cell>
          <cell r="C916" t="str">
            <v>ADVAN</v>
          </cell>
          <cell r="D916">
            <v>5450</v>
          </cell>
          <cell r="E916">
            <v>5450</v>
          </cell>
          <cell r="F916">
            <v>0</v>
          </cell>
        </row>
        <row r="917">
          <cell r="A917" t="str">
            <v>GSHGA</v>
          </cell>
          <cell r="B917" t="str">
            <v>SHREE GANESH KNITTING &amp; MANUFACTURING MILLS</v>
          </cell>
          <cell r="C917" t="str">
            <v>ADVAN</v>
          </cell>
          <cell r="D917">
            <v>388939</v>
          </cell>
          <cell r="E917">
            <v>388939</v>
          </cell>
          <cell r="F917">
            <v>0</v>
          </cell>
        </row>
        <row r="918">
          <cell r="A918" t="str">
            <v>GSHRO</v>
          </cell>
          <cell r="B918" t="str">
            <v>SHREE GANESHA ON LINE SERVICES</v>
          </cell>
          <cell r="C918" t="str">
            <v>ADVAN</v>
          </cell>
          <cell r="D918">
            <v>1246</v>
          </cell>
          <cell r="E918">
            <v>1246</v>
          </cell>
          <cell r="F918">
            <v>0</v>
          </cell>
        </row>
        <row r="919">
          <cell r="A919" t="str">
            <v>GSLAC</v>
          </cell>
          <cell r="B919" t="str">
            <v>SHREE LAKSHMI COMMUNICATIONS</v>
          </cell>
          <cell r="C919" t="str">
            <v>ADVAN</v>
          </cell>
          <cell r="D919">
            <v>84</v>
          </cell>
          <cell r="E919">
            <v>84</v>
          </cell>
          <cell r="F919">
            <v>0</v>
          </cell>
        </row>
        <row r="920">
          <cell r="A920" t="str">
            <v>GSPJA</v>
          </cell>
          <cell r="B920" t="str">
            <v>SHREE POOJA  AIRWAYS</v>
          </cell>
          <cell r="C920" t="str">
            <v>ADVAN</v>
          </cell>
          <cell r="D920">
            <v>2530</v>
          </cell>
          <cell r="E920">
            <v>2530</v>
          </cell>
          <cell r="F920">
            <v>0</v>
          </cell>
        </row>
        <row r="921">
          <cell r="A921" t="str">
            <v>GSBAL</v>
          </cell>
          <cell r="B921" t="str">
            <v>SHRI BALAJI CONTRACTOR'S &amp; SUPPLIERS</v>
          </cell>
          <cell r="C921" t="str">
            <v>ADVAN</v>
          </cell>
          <cell r="D921">
            <v>116250</v>
          </cell>
          <cell r="E921">
            <v>116250</v>
          </cell>
          <cell r="F921">
            <v>0</v>
          </cell>
        </row>
        <row r="922">
          <cell r="A922" t="str">
            <v>GDETR</v>
          </cell>
          <cell r="B922" t="str">
            <v>SHRI DEEPAK TRIVEDI</v>
          </cell>
          <cell r="C922" t="str">
            <v>ADVAN</v>
          </cell>
          <cell r="D922">
            <v>1823</v>
          </cell>
          <cell r="E922">
            <v>1823</v>
          </cell>
          <cell r="F922">
            <v>0</v>
          </cell>
        </row>
        <row r="923">
          <cell r="A923" t="str">
            <v>GSIEN</v>
          </cell>
          <cell r="B923" t="str">
            <v>SHRI ENTERPRISES</v>
          </cell>
          <cell r="C923" t="str">
            <v>ADVAN</v>
          </cell>
          <cell r="D923">
            <v>2650</v>
          </cell>
          <cell r="E923">
            <v>2650</v>
          </cell>
          <cell r="F923">
            <v>0</v>
          </cell>
        </row>
        <row r="924">
          <cell r="A924" t="str">
            <v>GSLEC</v>
          </cell>
          <cell r="B924" t="str">
            <v>SHRI LAKSHMI TRADERS &amp; ENGG. CORPORATION</v>
          </cell>
          <cell r="C924" t="str">
            <v>ADVAN</v>
          </cell>
          <cell r="D924">
            <v>2420</v>
          </cell>
          <cell r="E924">
            <v>2420</v>
          </cell>
          <cell r="F924">
            <v>0</v>
          </cell>
        </row>
        <row r="925">
          <cell r="A925" t="str">
            <v>GSHTI</v>
          </cell>
          <cell r="B925" t="str">
            <v>SHRI TIRUPATI COURIER SERVICES</v>
          </cell>
          <cell r="C925" t="str">
            <v>ADVAN</v>
          </cell>
          <cell r="D925">
            <v>2590</v>
          </cell>
          <cell r="E925">
            <v>2590</v>
          </cell>
          <cell r="F925">
            <v>0</v>
          </cell>
        </row>
        <row r="926">
          <cell r="A926" t="str">
            <v>GSVEN</v>
          </cell>
          <cell r="B926" t="str">
            <v>SHRI VENKTESH EMPORIUM</v>
          </cell>
          <cell r="C926" t="str">
            <v>ADVAN</v>
          </cell>
          <cell r="D926">
            <v>8000</v>
          </cell>
          <cell r="E926">
            <v>8000</v>
          </cell>
          <cell r="F926">
            <v>0</v>
          </cell>
        </row>
        <row r="927">
          <cell r="A927" t="str">
            <v>GSRAM</v>
          </cell>
          <cell r="B927" t="str">
            <v>SHRIRAM ELECTRONICS</v>
          </cell>
          <cell r="C927" t="str">
            <v>ADVAN</v>
          </cell>
          <cell r="D927">
            <v>6400</v>
          </cell>
          <cell r="E927">
            <v>6400</v>
          </cell>
          <cell r="F927">
            <v>0</v>
          </cell>
        </row>
        <row r="928">
          <cell r="A928" t="str">
            <v>GSCOP</v>
          </cell>
          <cell r="B928" t="str">
            <v>SHUBAM COMPUTERS</v>
          </cell>
          <cell r="C928" t="str">
            <v>ADVAN</v>
          </cell>
          <cell r="D928">
            <v>2475</v>
          </cell>
          <cell r="E928">
            <v>2475</v>
          </cell>
          <cell r="F928">
            <v>0</v>
          </cell>
        </row>
        <row r="929">
          <cell r="A929" t="str">
            <v>GSHUS</v>
          </cell>
          <cell r="B929" t="str">
            <v>SHUSBINDU MANUFACTURING PVT LTD</v>
          </cell>
          <cell r="C929" t="str">
            <v>ADVAN</v>
          </cell>
          <cell r="D929">
            <v>405278</v>
          </cell>
          <cell r="E929">
            <v>405278</v>
          </cell>
          <cell r="F929">
            <v>0</v>
          </cell>
        </row>
        <row r="930">
          <cell r="A930" t="str">
            <v>GSIDR</v>
          </cell>
          <cell r="B930" t="str">
            <v>SIDDARAM</v>
          </cell>
          <cell r="C930" t="str">
            <v>ADVAN</v>
          </cell>
          <cell r="D930">
            <v>558</v>
          </cell>
          <cell r="E930">
            <v>558</v>
          </cell>
          <cell r="F930">
            <v>0</v>
          </cell>
        </row>
        <row r="931">
          <cell r="A931" t="str">
            <v>GSIGT</v>
          </cell>
          <cell r="B931" t="str">
            <v>SIGN TIME</v>
          </cell>
          <cell r="C931" t="str">
            <v>ADVAN</v>
          </cell>
          <cell r="D931">
            <v>20500</v>
          </cell>
          <cell r="E931">
            <v>20500</v>
          </cell>
          <cell r="F931">
            <v>0</v>
          </cell>
        </row>
        <row r="932">
          <cell r="A932" t="str">
            <v>GSIGN</v>
          </cell>
          <cell r="B932" t="str">
            <v>SIGN WORLD</v>
          </cell>
          <cell r="C932" t="str">
            <v>ADVAN</v>
          </cell>
          <cell r="D932">
            <v>1800</v>
          </cell>
          <cell r="E932">
            <v>1800</v>
          </cell>
          <cell r="F932">
            <v>0</v>
          </cell>
        </row>
        <row r="933">
          <cell r="A933" t="str">
            <v>GSILV</v>
          </cell>
          <cell r="B933" t="str">
            <v>SILVER POINT</v>
          </cell>
          <cell r="C933" t="str">
            <v>ADVAN</v>
          </cell>
          <cell r="D933">
            <v>36556</v>
          </cell>
          <cell r="E933">
            <v>36556</v>
          </cell>
          <cell r="F933">
            <v>0</v>
          </cell>
        </row>
        <row r="934">
          <cell r="A934" t="str">
            <v>GSIMP</v>
          </cell>
          <cell r="B934" t="str">
            <v>SIMPLE TECHNOLOGIES</v>
          </cell>
          <cell r="C934" t="str">
            <v>ADVAN</v>
          </cell>
          <cell r="D934">
            <v>1100</v>
          </cell>
          <cell r="E934">
            <v>1100</v>
          </cell>
          <cell r="F934">
            <v>0</v>
          </cell>
        </row>
        <row r="935">
          <cell r="A935" t="str">
            <v>GSIMR</v>
          </cell>
          <cell r="B935" t="str">
            <v>SIMRAN COMPUTER HOUSE</v>
          </cell>
          <cell r="C935" t="str">
            <v>ADVAN</v>
          </cell>
          <cell r="D935">
            <v>4975</v>
          </cell>
          <cell r="E935">
            <v>4975</v>
          </cell>
          <cell r="F935">
            <v>0</v>
          </cell>
        </row>
        <row r="936">
          <cell r="A936" t="str">
            <v>GSINGL</v>
          </cell>
          <cell r="B936" t="str">
            <v>SINGHAL ENTERPRISES</v>
          </cell>
          <cell r="C936" t="str">
            <v>ADVAN</v>
          </cell>
          <cell r="D936">
            <v>5200</v>
          </cell>
          <cell r="E936">
            <v>5200</v>
          </cell>
          <cell r="F936">
            <v>0</v>
          </cell>
        </row>
        <row r="937">
          <cell r="A937" t="str">
            <v>GSISI</v>
          </cell>
          <cell r="B937" t="str">
            <v>SISIR MOHAPATRA</v>
          </cell>
          <cell r="C937" t="str">
            <v>ADVAN</v>
          </cell>
          <cell r="D937">
            <v>100000</v>
          </cell>
          <cell r="E937">
            <v>100000</v>
          </cell>
          <cell r="F937">
            <v>0</v>
          </cell>
        </row>
        <row r="938">
          <cell r="A938" t="str">
            <v>GSLVP</v>
          </cell>
          <cell r="B938" t="str">
            <v>SLV PROPERTIES PVT. LTD.</v>
          </cell>
          <cell r="C938" t="str">
            <v>ADVAN</v>
          </cell>
          <cell r="D938">
            <v>4284</v>
          </cell>
          <cell r="E938">
            <v>4284</v>
          </cell>
          <cell r="F938">
            <v>0</v>
          </cell>
        </row>
        <row r="939">
          <cell r="A939" t="str">
            <v>GSMAR</v>
          </cell>
          <cell r="B939" t="str">
            <v>SMART BRAINZ</v>
          </cell>
          <cell r="C939" t="str">
            <v>ADVAN</v>
          </cell>
          <cell r="D939">
            <v>18603</v>
          </cell>
          <cell r="E939">
            <v>18603</v>
          </cell>
          <cell r="F939">
            <v>0</v>
          </cell>
        </row>
        <row r="940">
          <cell r="A940" t="str">
            <v>GMART</v>
          </cell>
          <cell r="B940" t="str">
            <v>SMART COURIER SERVICES</v>
          </cell>
          <cell r="C940" t="str">
            <v>ADVAN</v>
          </cell>
          <cell r="D940">
            <v>11530</v>
          </cell>
          <cell r="E940">
            <v>11530</v>
          </cell>
          <cell r="F940">
            <v>0</v>
          </cell>
        </row>
        <row r="941">
          <cell r="A941" t="str">
            <v>GSCRI</v>
          </cell>
          <cell r="B941" t="str">
            <v>SMS COURIER</v>
          </cell>
          <cell r="C941" t="str">
            <v>ADVAN</v>
          </cell>
          <cell r="D941">
            <v>519</v>
          </cell>
          <cell r="E941">
            <v>519</v>
          </cell>
          <cell r="F941">
            <v>0</v>
          </cell>
        </row>
        <row r="942">
          <cell r="A942" t="str">
            <v>GSOLU</v>
          </cell>
          <cell r="B942" t="str">
            <v>SOLUTIONS</v>
          </cell>
          <cell r="C942" t="str">
            <v>ADVAN</v>
          </cell>
          <cell r="D942">
            <v>26160</v>
          </cell>
          <cell r="E942">
            <v>26160</v>
          </cell>
          <cell r="F942">
            <v>0</v>
          </cell>
        </row>
        <row r="943">
          <cell r="A943" t="str">
            <v>GSOND</v>
          </cell>
          <cell r="B943" t="str">
            <v>SONDHI &amp; ASSOCIATES</v>
          </cell>
          <cell r="C943" t="str">
            <v>ADVAN</v>
          </cell>
          <cell r="D943">
            <v>1599</v>
          </cell>
          <cell r="E943">
            <v>1599</v>
          </cell>
          <cell r="F943">
            <v>0</v>
          </cell>
        </row>
        <row r="944">
          <cell r="A944" t="str">
            <v>GSONS</v>
          </cell>
          <cell r="B944" t="str">
            <v>SONI S. RAWLANI</v>
          </cell>
          <cell r="C944" t="str">
            <v>ADVAN</v>
          </cell>
          <cell r="D944">
            <v>109699</v>
          </cell>
          <cell r="E944">
            <v>109699</v>
          </cell>
          <cell r="F944">
            <v>0</v>
          </cell>
        </row>
        <row r="945">
          <cell r="A945" t="str">
            <v>GSOWR</v>
          </cell>
          <cell r="B945" t="str">
            <v>SOWRYA COMPUTERS &amp; COMMUNICATIONS</v>
          </cell>
          <cell r="C945" t="str">
            <v>ADVAN</v>
          </cell>
          <cell r="D945">
            <v>72250</v>
          </cell>
          <cell r="E945">
            <v>72250</v>
          </cell>
          <cell r="F945">
            <v>0</v>
          </cell>
        </row>
        <row r="946">
          <cell r="A946" t="str">
            <v>GSPCT</v>
          </cell>
          <cell r="B946" t="str">
            <v>SPECTRUM COMPUTERS</v>
          </cell>
          <cell r="C946" t="str">
            <v>ADVAN</v>
          </cell>
          <cell r="D946">
            <v>21800</v>
          </cell>
          <cell r="E946">
            <v>21800</v>
          </cell>
          <cell r="F946">
            <v>0</v>
          </cell>
        </row>
        <row r="947">
          <cell r="A947" t="str">
            <v>GSPEO</v>
          </cell>
          <cell r="B947" t="str">
            <v>SPEED ONLINE PVT. LTD</v>
          </cell>
          <cell r="C947" t="str">
            <v>ADVAN</v>
          </cell>
          <cell r="D947">
            <v>530</v>
          </cell>
          <cell r="E947">
            <v>530</v>
          </cell>
          <cell r="F947">
            <v>0</v>
          </cell>
        </row>
        <row r="948">
          <cell r="A948" t="str">
            <v>GSPEN</v>
          </cell>
          <cell r="B948" t="str">
            <v>SPENGINEERS</v>
          </cell>
          <cell r="C948" t="str">
            <v>ADVAN</v>
          </cell>
          <cell r="D948">
            <v>2390</v>
          </cell>
          <cell r="E948">
            <v>2390</v>
          </cell>
          <cell r="F948">
            <v>0</v>
          </cell>
        </row>
        <row r="949">
          <cell r="A949" t="str">
            <v>GSPID</v>
          </cell>
          <cell r="B949" t="str">
            <v>SPIDER SOFTWARE PVT. LTD</v>
          </cell>
          <cell r="C949" t="str">
            <v>ADVAN</v>
          </cell>
          <cell r="D949">
            <v>4073</v>
          </cell>
          <cell r="E949">
            <v>4073</v>
          </cell>
          <cell r="F949">
            <v>0</v>
          </cell>
        </row>
        <row r="950">
          <cell r="A950" t="str">
            <v>GSREE</v>
          </cell>
          <cell r="B950" t="str">
            <v>SREE RAMASWAMY MEIYAMMAI CHARITABLE TRUST</v>
          </cell>
          <cell r="C950" t="str">
            <v>ADVAN</v>
          </cell>
          <cell r="D950">
            <v>17118</v>
          </cell>
          <cell r="E950">
            <v>17118</v>
          </cell>
          <cell r="F950">
            <v>0</v>
          </cell>
        </row>
        <row r="951">
          <cell r="A951" t="str">
            <v>GSRRA</v>
          </cell>
          <cell r="B951" t="str">
            <v>SREE SARAVANA PAPERS</v>
          </cell>
          <cell r="C951" t="str">
            <v>ADVAN</v>
          </cell>
          <cell r="D951">
            <v>15569</v>
          </cell>
          <cell r="E951">
            <v>15569</v>
          </cell>
          <cell r="F951">
            <v>0</v>
          </cell>
        </row>
        <row r="952">
          <cell r="A952" t="str">
            <v>GANUD</v>
          </cell>
          <cell r="B952" t="str">
            <v>SRI ANURADHA ENTERPRISES</v>
          </cell>
          <cell r="C952" t="str">
            <v>ADVAN</v>
          </cell>
          <cell r="D952">
            <v>3100</v>
          </cell>
          <cell r="E952">
            <v>3100</v>
          </cell>
          <cell r="F952">
            <v>0</v>
          </cell>
        </row>
        <row r="953">
          <cell r="A953" t="str">
            <v>GSRIAE</v>
          </cell>
          <cell r="B953" t="str">
            <v>SRI AUROMIRA ENTERPRISES</v>
          </cell>
          <cell r="C953" t="str">
            <v>ADVAN</v>
          </cell>
          <cell r="D953">
            <v>13375</v>
          </cell>
          <cell r="E953">
            <v>13375</v>
          </cell>
          <cell r="F953">
            <v>0</v>
          </cell>
        </row>
        <row r="954">
          <cell r="A954" t="str">
            <v>GASBE</v>
          </cell>
          <cell r="B954" t="str">
            <v>SRI BALAJI ENTERPRISES</v>
          </cell>
          <cell r="C954" t="str">
            <v>ADVAN</v>
          </cell>
          <cell r="D954">
            <v>46</v>
          </cell>
          <cell r="E954">
            <v>46</v>
          </cell>
          <cell r="F954">
            <v>0</v>
          </cell>
        </row>
        <row r="955">
          <cell r="A955" t="str">
            <v>GSAIB</v>
          </cell>
          <cell r="B955" t="str">
            <v>SRI BALAJI TELECOM SERVICES</v>
          </cell>
          <cell r="C955" t="str">
            <v>ADVAN</v>
          </cell>
          <cell r="D955">
            <v>8366</v>
          </cell>
          <cell r="E955">
            <v>8366</v>
          </cell>
          <cell r="F955">
            <v>0</v>
          </cell>
        </row>
        <row r="956">
          <cell r="A956" t="str">
            <v>GSOSR</v>
          </cell>
          <cell r="B956" t="str">
            <v>SRI OM SAI RAM ENTERPRISES</v>
          </cell>
          <cell r="C956" t="str">
            <v>ADVAN</v>
          </cell>
          <cell r="D956">
            <v>845</v>
          </cell>
          <cell r="E956">
            <v>845</v>
          </cell>
          <cell r="F956">
            <v>0</v>
          </cell>
        </row>
        <row r="957">
          <cell r="A957" t="str">
            <v>GSRPA</v>
          </cell>
          <cell r="B957" t="str">
            <v>SRI PAVAN COMPUTER</v>
          </cell>
          <cell r="C957" t="str">
            <v>ADVAN</v>
          </cell>
          <cell r="D957">
            <v>21000</v>
          </cell>
          <cell r="E957">
            <v>21000</v>
          </cell>
          <cell r="F957">
            <v>0</v>
          </cell>
        </row>
        <row r="958">
          <cell r="A958" t="str">
            <v>GSRIR</v>
          </cell>
          <cell r="B958" t="str">
            <v>SRI RADHA KRISHNA VIHAR</v>
          </cell>
          <cell r="C958" t="str">
            <v>ADVAN</v>
          </cell>
          <cell r="D958">
            <v>81258</v>
          </cell>
          <cell r="E958">
            <v>81258</v>
          </cell>
          <cell r="F958">
            <v>0</v>
          </cell>
        </row>
        <row r="959">
          <cell r="A959" t="str">
            <v>GSRAA</v>
          </cell>
          <cell r="B959" t="str">
            <v>SRI RAM AGENCIES</v>
          </cell>
          <cell r="C959" t="str">
            <v>ADVAN</v>
          </cell>
          <cell r="D959">
            <v>31087</v>
          </cell>
          <cell r="E959">
            <v>31087</v>
          </cell>
          <cell r="F959">
            <v>0</v>
          </cell>
        </row>
        <row r="960">
          <cell r="A960" t="str">
            <v>GSRSG</v>
          </cell>
          <cell r="B960" t="str">
            <v>SRI SAI GRAHPHICS</v>
          </cell>
          <cell r="C960" t="str">
            <v>ADVAN</v>
          </cell>
          <cell r="D960">
            <v>72</v>
          </cell>
          <cell r="E960">
            <v>72</v>
          </cell>
          <cell r="F960">
            <v>0</v>
          </cell>
        </row>
        <row r="961">
          <cell r="A961" t="str">
            <v>GSRIN</v>
          </cell>
          <cell r="B961" t="str">
            <v>SRINIVAS SALES CORPORATION</v>
          </cell>
          <cell r="C961" t="str">
            <v>ADVAN</v>
          </cell>
          <cell r="D961">
            <v>5200</v>
          </cell>
          <cell r="E961">
            <v>5200</v>
          </cell>
          <cell r="F961">
            <v>0</v>
          </cell>
        </row>
        <row r="962">
          <cell r="A962" t="str">
            <v>GSRIM</v>
          </cell>
          <cell r="B962" t="str">
            <v>SRINIVASA MURTHY T. V</v>
          </cell>
          <cell r="C962" t="str">
            <v>ADVAN</v>
          </cell>
          <cell r="D962">
            <v>34120</v>
          </cell>
          <cell r="E962">
            <v>34120</v>
          </cell>
          <cell r="F962">
            <v>0</v>
          </cell>
        </row>
        <row r="963">
          <cell r="A963" t="str">
            <v>GSTAN</v>
          </cell>
          <cell r="B963" t="str">
            <v>ST.ANTONY WOOD WORKS</v>
          </cell>
          <cell r="C963" t="str">
            <v>ADVAN</v>
          </cell>
          <cell r="D963">
            <v>3838</v>
          </cell>
          <cell r="E963">
            <v>3838</v>
          </cell>
          <cell r="F963">
            <v>0</v>
          </cell>
        </row>
        <row r="964">
          <cell r="A964" t="str">
            <v>GSTAE</v>
          </cell>
          <cell r="B964" t="str">
            <v>STAR ENGINEERING WORKS</v>
          </cell>
          <cell r="C964" t="str">
            <v>ADVAN</v>
          </cell>
          <cell r="D964">
            <v>12004</v>
          </cell>
          <cell r="E964">
            <v>12004</v>
          </cell>
          <cell r="F964">
            <v>0</v>
          </cell>
        </row>
        <row r="965">
          <cell r="A965" t="str">
            <v>GSTAR</v>
          </cell>
          <cell r="B965" t="str">
            <v>STAR INDIA  LIMITED</v>
          </cell>
          <cell r="C965" t="str">
            <v>ADVAN</v>
          </cell>
          <cell r="D965">
            <v>3608.8</v>
          </cell>
          <cell r="E965">
            <v>3608.8</v>
          </cell>
          <cell r="F965">
            <v>0</v>
          </cell>
        </row>
        <row r="966">
          <cell r="A966" t="str">
            <v>GSTEE</v>
          </cell>
          <cell r="B966" t="str">
            <v>STEEL WOOD FURNITURE</v>
          </cell>
          <cell r="C966" t="str">
            <v>ADVAN</v>
          </cell>
          <cell r="D966">
            <v>395000</v>
          </cell>
          <cell r="E966">
            <v>395000</v>
          </cell>
          <cell r="F966">
            <v>0</v>
          </cell>
        </row>
        <row r="967">
          <cell r="A967" t="str">
            <v>GSTHA</v>
          </cell>
          <cell r="B967" t="str">
            <v>STHAPATYA ARCHITECTS</v>
          </cell>
          <cell r="C967" t="str">
            <v>ADVAN</v>
          </cell>
          <cell r="D967">
            <v>178125</v>
          </cell>
          <cell r="E967">
            <v>178125</v>
          </cell>
          <cell r="F967">
            <v>0</v>
          </cell>
        </row>
        <row r="968">
          <cell r="A968" t="str">
            <v>GA1001</v>
          </cell>
          <cell r="B968" t="str">
            <v>STOCK HOLDING CORPORATION OF INDIA LTD</v>
          </cell>
          <cell r="C968" t="str">
            <v>ADVAN</v>
          </cell>
          <cell r="D968">
            <v>39717.19</v>
          </cell>
          <cell r="E968">
            <v>39717.19</v>
          </cell>
          <cell r="F968">
            <v>0</v>
          </cell>
        </row>
        <row r="969">
          <cell r="A969" t="str">
            <v>GSUBB</v>
          </cell>
          <cell r="B969" t="str">
            <v>SUBH SHREE STATIONERY</v>
          </cell>
          <cell r="C969" t="str">
            <v>ADVAN</v>
          </cell>
          <cell r="D969">
            <v>29223.35</v>
          </cell>
          <cell r="E969">
            <v>29223.35</v>
          </cell>
          <cell r="F969">
            <v>0</v>
          </cell>
        </row>
        <row r="970">
          <cell r="A970" t="str">
            <v>GSUBHEL</v>
          </cell>
          <cell r="B970" t="str">
            <v>SUBHASH ELECTRICALS</v>
          </cell>
          <cell r="C970" t="str">
            <v>ADVAN</v>
          </cell>
          <cell r="D970">
            <v>6825</v>
          </cell>
          <cell r="E970">
            <v>6825</v>
          </cell>
          <cell r="F970">
            <v>0</v>
          </cell>
        </row>
        <row r="971">
          <cell r="A971" t="str">
            <v>GSUBM</v>
          </cell>
          <cell r="B971" t="str">
            <v>SUBHASH MORE KEVIN</v>
          </cell>
          <cell r="C971" t="str">
            <v>ADVAN</v>
          </cell>
          <cell r="D971">
            <v>10000</v>
          </cell>
          <cell r="E971">
            <v>10000</v>
          </cell>
          <cell r="F971">
            <v>0</v>
          </cell>
        </row>
        <row r="972">
          <cell r="A972" t="str">
            <v>GSUBY</v>
          </cell>
          <cell r="B972" t="str">
            <v>SUBRAMANYA</v>
          </cell>
          <cell r="C972" t="str">
            <v>ADVAN</v>
          </cell>
          <cell r="D972">
            <v>9277.15</v>
          </cell>
          <cell r="E972">
            <v>9277.15</v>
          </cell>
          <cell r="F972">
            <v>0</v>
          </cell>
        </row>
        <row r="973">
          <cell r="A973" t="str">
            <v>GSUDP</v>
          </cell>
          <cell r="B973" t="str">
            <v>SUDHA PROPERTY</v>
          </cell>
          <cell r="C973" t="str">
            <v>ADVAN</v>
          </cell>
          <cell r="D973">
            <v>12346</v>
          </cell>
          <cell r="E973">
            <v>12346</v>
          </cell>
          <cell r="F973">
            <v>0</v>
          </cell>
        </row>
        <row r="974">
          <cell r="A974" t="str">
            <v>GSUDB</v>
          </cell>
          <cell r="B974" t="str">
            <v>SUDHIR KUMAR BARDIA</v>
          </cell>
          <cell r="C974" t="str">
            <v>ADVAN</v>
          </cell>
          <cell r="D974">
            <v>55735</v>
          </cell>
          <cell r="E974">
            <v>55735</v>
          </cell>
          <cell r="F974">
            <v>0</v>
          </cell>
        </row>
        <row r="975">
          <cell r="A975" t="str">
            <v>GSUGA</v>
          </cell>
          <cell r="B975" t="str">
            <v>SUGANDHA GEN POWER WORKS</v>
          </cell>
          <cell r="C975" t="str">
            <v>ADVAN</v>
          </cell>
          <cell r="D975">
            <v>10750</v>
          </cell>
          <cell r="E975">
            <v>10750</v>
          </cell>
          <cell r="F975">
            <v>0</v>
          </cell>
        </row>
        <row r="976">
          <cell r="A976" t="str">
            <v>GSUKB</v>
          </cell>
          <cell r="B976" t="str">
            <v>SUKHBIR SINGH RATHI</v>
          </cell>
          <cell r="C976" t="str">
            <v>ADVAN</v>
          </cell>
          <cell r="D976">
            <v>65660</v>
          </cell>
          <cell r="E976">
            <v>65660</v>
          </cell>
          <cell r="F976">
            <v>0</v>
          </cell>
        </row>
        <row r="977">
          <cell r="A977" t="str">
            <v>GSUKH</v>
          </cell>
          <cell r="B977" t="str">
            <v>SUKHJINDER &amp; ASSOCIATES</v>
          </cell>
          <cell r="C977" t="str">
            <v>ADVAN</v>
          </cell>
          <cell r="D977">
            <v>38750</v>
          </cell>
          <cell r="E977">
            <v>38750</v>
          </cell>
          <cell r="F977">
            <v>0</v>
          </cell>
        </row>
        <row r="978">
          <cell r="A978" t="str">
            <v>GSUKHA</v>
          </cell>
          <cell r="B978" t="str">
            <v>SUKHMANI ASSOCIATES</v>
          </cell>
          <cell r="C978" t="str">
            <v>ADVAN</v>
          </cell>
          <cell r="D978">
            <v>113516</v>
          </cell>
          <cell r="E978">
            <v>113516</v>
          </cell>
          <cell r="F978">
            <v>0</v>
          </cell>
        </row>
        <row r="979">
          <cell r="A979" t="str">
            <v>GSULT</v>
          </cell>
          <cell r="B979" t="str">
            <v>SULTAN SAFE INDUSTRIES</v>
          </cell>
          <cell r="C979" t="str">
            <v>ADVAN</v>
          </cell>
          <cell r="D979">
            <v>3000</v>
          </cell>
          <cell r="E979">
            <v>3000</v>
          </cell>
          <cell r="F979">
            <v>0</v>
          </cell>
        </row>
        <row r="980">
          <cell r="A980" t="str">
            <v>GSUTE</v>
          </cell>
          <cell r="B980" t="str">
            <v>SUMAN TABECK</v>
          </cell>
          <cell r="C980" t="str">
            <v>ADVAN</v>
          </cell>
          <cell r="D980">
            <v>2240</v>
          </cell>
          <cell r="E980">
            <v>2240</v>
          </cell>
          <cell r="F980">
            <v>0</v>
          </cell>
        </row>
        <row r="981">
          <cell r="A981" t="str">
            <v>GSUMI</v>
          </cell>
          <cell r="B981" t="str">
            <v>SUMIT B GUPTA</v>
          </cell>
          <cell r="C981" t="str">
            <v>ADVAN</v>
          </cell>
          <cell r="D981">
            <v>880154</v>
          </cell>
          <cell r="E981">
            <v>880154</v>
          </cell>
          <cell r="F981">
            <v>0</v>
          </cell>
        </row>
        <row r="982">
          <cell r="A982" t="str">
            <v>GSUNG</v>
          </cell>
          <cell r="B982" t="str">
            <v>SUN GLOW SIGNS</v>
          </cell>
          <cell r="C982" t="str">
            <v>ADVAN</v>
          </cell>
          <cell r="D982">
            <v>7500</v>
          </cell>
          <cell r="E982">
            <v>7500</v>
          </cell>
          <cell r="F982">
            <v>0</v>
          </cell>
        </row>
        <row r="983">
          <cell r="A983" t="str">
            <v>GSUND</v>
          </cell>
          <cell r="B983" t="str">
            <v>SUNDARAM TRADERS</v>
          </cell>
          <cell r="C983" t="str">
            <v>ADVAN</v>
          </cell>
          <cell r="D983">
            <v>9510</v>
          </cell>
          <cell r="E983">
            <v>9510</v>
          </cell>
          <cell r="F983">
            <v>0</v>
          </cell>
        </row>
        <row r="984">
          <cell r="A984" t="str">
            <v>GSUNT</v>
          </cell>
          <cell r="B984" t="str">
            <v>SUNDER T. SHETTY</v>
          </cell>
          <cell r="C984" t="str">
            <v>ADVAN</v>
          </cell>
          <cell r="D984">
            <v>30294</v>
          </cell>
          <cell r="E984">
            <v>30294</v>
          </cell>
          <cell r="F984">
            <v>0</v>
          </cell>
        </row>
        <row r="985">
          <cell r="A985" t="str">
            <v>GSUNK</v>
          </cell>
          <cell r="B985" t="str">
            <v>SUNDERDAS KALYANJI KANKAL HUF</v>
          </cell>
          <cell r="C985" t="str">
            <v>ADVAN</v>
          </cell>
          <cell r="D985">
            <v>20655</v>
          </cell>
          <cell r="E985">
            <v>20655</v>
          </cell>
          <cell r="F985">
            <v>0</v>
          </cell>
        </row>
        <row r="986">
          <cell r="A986" t="str">
            <v>GSUNA</v>
          </cell>
          <cell r="B986" t="str">
            <v>SUNIL ARJANDAS LALWANI</v>
          </cell>
          <cell r="C986" t="str">
            <v>ADVAN</v>
          </cell>
          <cell r="D986">
            <v>53031</v>
          </cell>
          <cell r="E986">
            <v>53031</v>
          </cell>
          <cell r="F986">
            <v>0</v>
          </cell>
        </row>
        <row r="987">
          <cell r="A987" t="str">
            <v>GSUNJ</v>
          </cell>
          <cell r="B987" t="str">
            <v>SUNIL JAIN</v>
          </cell>
          <cell r="C987" t="str">
            <v>ADVAN</v>
          </cell>
          <cell r="D987">
            <v>221618</v>
          </cell>
          <cell r="E987">
            <v>221618</v>
          </cell>
          <cell r="F987">
            <v>0</v>
          </cell>
        </row>
        <row r="988">
          <cell r="A988" t="str">
            <v>GSUNS</v>
          </cell>
          <cell r="B988" t="str">
            <v>SUNIL S. RAWLANI</v>
          </cell>
          <cell r="C988" t="str">
            <v>ADVAN</v>
          </cell>
          <cell r="D988">
            <v>109699</v>
          </cell>
          <cell r="E988">
            <v>109699</v>
          </cell>
          <cell r="F988">
            <v>0</v>
          </cell>
        </row>
        <row r="989">
          <cell r="A989" t="str">
            <v>GSUNI</v>
          </cell>
          <cell r="B989" t="str">
            <v>SUNILBHAI RANJITBHAI GORAGANDHI</v>
          </cell>
          <cell r="C989" t="str">
            <v>ADVAN</v>
          </cell>
          <cell r="D989">
            <v>94490</v>
          </cell>
          <cell r="E989">
            <v>94490</v>
          </cell>
          <cell r="F989">
            <v>0</v>
          </cell>
        </row>
        <row r="990">
          <cell r="A990" t="str">
            <v>GSUNY</v>
          </cell>
          <cell r="B990" t="str">
            <v>SUNNY ENTERPRISES</v>
          </cell>
          <cell r="C990" t="str">
            <v>ADVAN</v>
          </cell>
          <cell r="D990">
            <v>8459</v>
          </cell>
          <cell r="E990">
            <v>8459</v>
          </cell>
          <cell r="F990">
            <v>0</v>
          </cell>
        </row>
        <row r="991">
          <cell r="A991" t="str">
            <v>GASP</v>
          </cell>
          <cell r="B991" t="str">
            <v>SUPER ELECTRONICS</v>
          </cell>
          <cell r="C991" t="str">
            <v>ADVAN</v>
          </cell>
          <cell r="D991">
            <v>11581</v>
          </cell>
          <cell r="E991">
            <v>11581</v>
          </cell>
          <cell r="F991">
            <v>0</v>
          </cell>
        </row>
        <row r="992">
          <cell r="A992" t="str">
            <v>GSCOM</v>
          </cell>
          <cell r="B992" t="str">
            <v>SUPREME COMPUTERS</v>
          </cell>
          <cell r="C992" t="str">
            <v>ADVAN</v>
          </cell>
          <cell r="D992">
            <v>81650</v>
          </cell>
          <cell r="E992">
            <v>81650</v>
          </cell>
          <cell r="F992">
            <v>0</v>
          </cell>
        </row>
        <row r="993">
          <cell r="A993" t="str">
            <v>GSUPC</v>
          </cell>
          <cell r="B993" t="str">
            <v>SUPREME COMPUTERS INDIA PVT. LTD.</v>
          </cell>
          <cell r="C993" t="str">
            <v>ADVAN</v>
          </cell>
          <cell r="D993">
            <v>88325</v>
          </cell>
          <cell r="E993">
            <v>88325</v>
          </cell>
          <cell r="F993">
            <v>0</v>
          </cell>
        </row>
        <row r="994">
          <cell r="A994" t="str">
            <v>GSUPR</v>
          </cell>
          <cell r="B994" t="str">
            <v>SUPRIYA KUMAR GOOPTU</v>
          </cell>
          <cell r="C994" t="str">
            <v>ADVAN</v>
          </cell>
          <cell r="D994">
            <v>18730</v>
          </cell>
          <cell r="E994">
            <v>18730</v>
          </cell>
          <cell r="F994">
            <v>0</v>
          </cell>
        </row>
        <row r="995">
          <cell r="A995" t="str">
            <v>GSURA</v>
          </cell>
          <cell r="B995" t="str">
            <v>SURAJ KHANDELWAL</v>
          </cell>
          <cell r="C995" t="str">
            <v>ADVAN</v>
          </cell>
          <cell r="D995">
            <v>108020</v>
          </cell>
          <cell r="E995">
            <v>108020</v>
          </cell>
          <cell r="F995">
            <v>0</v>
          </cell>
        </row>
        <row r="996">
          <cell r="A996" t="str">
            <v>GSURAN</v>
          </cell>
          <cell r="B996" t="str">
            <v>SURANA BROTHERS</v>
          </cell>
          <cell r="C996" t="str">
            <v>ADVAN</v>
          </cell>
          <cell r="D996">
            <v>30480</v>
          </cell>
          <cell r="E996">
            <v>30480</v>
          </cell>
          <cell r="F996">
            <v>0</v>
          </cell>
        </row>
        <row r="997">
          <cell r="A997" t="str">
            <v>GSURC</v>
          </cell>
          <cell r="B997" t="str">
            <v>SURENDRA COMMERCIAL &amp; EXIM PRIVATE LIMITED</v>
          </cell>
          <cell r="C997" t="str">
            <v>ADVAN</v>
          </cell>
          <cell r="D997">
            <v>947760</v>
          </cell>
          <cell r="E997">
            <v>947760</v>
          </cell>
          <cell r="F997">
            <v>0</v>
          </cell>
        </row>
        <row r="998">
          <cell r="A998" t="str">
            <v>GSURN</v>
          </cell>
          <cell r="B998" t="str">
            <v>SURENDRA LUDHANI</v>
          </cell>
          <cell r="C998" t="str">
            <v>ADVAN</v>
          </cell>
          <cell r="D998">
            <v>48000</v>
          </cell>
          <cell r="E998">
            <v>48000</v>
          </cell>
          <cell r="F998">
            <v>0</v>
          </cell>
        </row>
        <row r="999">
          <cell r="A999" t="str">
            <v>GSURG</v>
          </cell>
          <cell r="B999" t="str">
            <v>SURGE  ELECTRICALS</v>
          </cell>
          <cell r="C999" t="str">
            <v>ADVAN</v>
          </cell>
          <cell r="D999">
            <v>23200</v>
          </cell>
          <cell r="E999">
            <v>23200</v>
          </cell>
          <cell r="F999">
            <v>0</v>
          </cell>
        </row>
        <row r="1000">
          <cell r="A1000" t="str">
            <v>GSURJ</v>
          </cell>
          <cell r="B1000" t="str">
            <v>SURJEET SINGH ARORA</v>
          </cell>
          <cell r="C1000" t="str">
            <v>ADVAN</v>
          </cell>
          <cell r="D1000">
            <v>81747</v>
          </cell>
          <cell r="E1000">
            <v>81747</v>
          </cell>
          <cell r="F1000">
            <v>0</v>
          </cell>
        </row>
        <row r="1001">
          <cell r="A1001" t="str">
            <v>GSURK</v>
          </cell>
          <cell r="B1001" t="str">
            <v>SURKSHA STEEL WORKS</v>
          </cell>
          <cell r="C1001" t="str">
            <v>ADVAN</v>
          </cell>
          <cell r="D1001">
            <v>2450</v>
          </cell>
          <cell r="E1001">
            <v>2450</v>
          </cell>
          <cell r="F1001">
            <v>0</v>
          </cell>
        </row>
        <row r="1002">
          <cell r="A1002" t="str">
            <v>GSAGE</v>
          </cell>
          <cell r="B1002" t="str">
            <v>SUVIDHA AGENCY</v>
          </cell>
          <cell r="C1002" t="str">
            <v>ADVAN</v>
          </cell>
          <cell r="D1002">
            <v>2936</v>
          </cell>
          <cell r="E1002">
            <v>2936</v>
          </cell>
          <cell r="F1002">
            <v>0</v>
          </cell>
        </row>
        <row r="1003">
          <cell r="A1003" t="str">
            <v>GSUYO</v>
          </cell>
          <cell r="B1003" t="str">
            <v>SUYOG CONSTRUCTIONS</v>
          </cell>
          <cell r="C1003" t="str">
            <v>ADVAN</v>
          </cell>
          <cell r="D1003">
            <v>73323</v>
          </cell>
          <cell r="E1003">
            <v>73323</v>
          </cell>
          <cell r="F1003">
            <v>0</v>
          </cell>
        </row>
        <row r="1004">
          <cell r="A1004" t="str">
            <v>GSWRE</v>
          </cell>
          <cell r="B1004" t="str">
            <v>SWASTIK REAL ESTATES (INDIA) PVT. LTD.</v>
          </cell>
          <cell r="C1004" t="str">
            <v>ADVAN</v>
          </cell>
          <cell r="D1004">
            <v>3219</v>
          </cell>
          <cell r="E1004">
            <v>3219</v>
          </cell>
          <cell r="F1004">
            <v>0</v>
          </cell>
        </row>
        <row r="1005">
          <cell r="A1005" t="str">
            <v>GTTMO</v>
          </cell>
          <cell r="B1005" t="str">
            <v>T &amp; T MOTORS LIMITED</v>
          </cell>
          <cell r="C1005" t="str">
            <v>ADVAN</v>
          </cell>
          <cell r="D1005">
            <v>4239376</v>
          </cell>
          <cell r="E1005">
            <v>4239376</v>
          </cell>
          <cell r="F1005">
            <v>0</v>
          </cell>
        </row>
        <row r="1006">
          <cell r="A1006" t="str">
            <v>GTVCO</v>
          </cell>
          <cell r="B1006" t="str">
            <v>T. V. COMPLEX</v>
          </cell>
          <cell r="C1006" t="str">
            <v>ADVAN</v>
          </cell>
          <cell r="D1006">
            <v>6600</v>
          </cell>
          <cell r="E1006">
            <v>6600</v>
          </cell>
          <cell r="F1006">
            <v>0</v>
          </cell>
        </row>
        <row r="1007">
          <cell r="A1007" t="str">
            <v>GATPF</v>
          </cell>
          <cell r="B1007" t="str">
            <v>T.P FURNITURES</v>
          </cell>
          <cell r="C1007" t="str">
            <v>ADVAN</v>
          </cell>
          <cell r="D1007">
            <v>1200</v>
          </cell>
          <cell r="E1007">
            <v>1200</v>
          </cell>
          <cell r="F1007">
            <v>0</v>
          </cell>
        </row>
        <row r="1008">
          <cell r="A1008" t="str">
            <v>GTAGO</v>
          </cell>
          <cell r="B1008" t="str">
            <v>TAGORE GRACIAS</v>
          </cell>
          <cell r="C1008" t="str">
            <v>ADVAN</v>
          </cell>
          <cell r="D1008">
            <v>66650</v>
          </cell>
          <cell r="E1008">
            <v>66650</v>
          </cell>
          <cell r="F1008">
            <v>0</v>
          </cell>
        </row>
        <row r="1009">
          <cell r="A1009" t="str">
            <v>GTAJP</v>
          </cell>
          <cell r="B1009" t="str">
            <v>TAJ PRESIDENT</v>
          </cell>
          <cell r="C1009" t="str">
            <v>ADVAN</v>
          </cell>
          <cell r="D1009">
            <v>47703</v>
          </cell>
          <cell r="E1009">
            <v>47703</v>
          </cell>
          <cell r="F1009">
            <v>0</v>
          </cell>
        </row>
        <row r="1010">
          <cell r="A1010" t="str">
            <v>GTAKS</v>
          </cell>
          <cell r="B1010" t="str">
            <v>TAKSHEELA ENTERPRISE</v>
          </cell>
          <cell r="C1010" t="str">
            <v>ADVAN</v>
          </cell>
          <cell r="D1010">
            <v>7800</v>
          </cell>
          <cell r="E1010">
            <v>7800</v>
          </cell>
          <cell r="F1010">
            <v>0</v>
          </cell>
        </row>
        <row r="1011">
          <cell r="A1011" t="str">
            <v>GTAPO</v>
          </cell>
          <cell r="B1011" t="str">
            <v>TAPOVAN (MANINAGAR) OWNERS ASSOCIATION</v>
          </cell>
          <cell r="C1011" t="str">
            <v>ADVAN</v>
          </cell>
          <cell r="D1011">
            <v>24354</v>
          </cell>
          <cell r="E1011">
            <v>24354</v>
          </cell>
          <cell r="F1011">
            <v>0</v>
          </cell>
        </row>
        <row r="1012">
          <cell r="A1012" t="str">
            <v>GTPTL</v>
          </cell>
          <cell r="B1012" t="str">
            <v>TASC PHARMACEUTICALS LTD</v>
          </cell>
          <cell r="C1012" t="str">
            <v>ADVAN</v>
          </cell>
          <cell r="D1012">
            <v>217224</v>
          </cell>
          <cell r="E1012">
            <v>217224</v>
          </cell>
          <cell r="F1012">
            <v>0</v>
          </cell>
        </row>
        <row r="1013">
          <cell r="A1013" t="str">
            <v>GTASH</v>
          </cell>
          <cell r="B1013" t="str">
            <v>TASHKENT XEROX &amp; STATIONARY MART</v>
          </cell>
          <cell r="C1013" t="str">
            <v>ADVAN</v>
          </cell>
          <cell r="D1013">
            <v>931</v>
          </cell>
          <cell r="E1013">
            <v>931</v>
          </cell>
          <cell r="F1013">
            <v>0</v>
          </cell>
        </row>
        <row r="1014">
          <cell r="A1014" t="str">
            <v>GTAIG</v>
          </cell>
          <cell r="B1014" t="str">
            <v>TATA AIG GENERAL INSURANCE CO. LTD.</v>
          </cell>
          <cell r="C1014" t="str">
            <v>ADVAN</v>
          </cell>
          <cell r="D1014">
            <v>219130</v>
          </cell>
          <cell r="E1014">
            <v>219130</v>
          </cell>
          <cell r="F1014">
            <v>0</v>
          </cell>
        </row>
        <row r="1015">
          <cell r="A1015" t="str">
            <v>GTIPT</v>
          </cell>
          <cell r="B1015" t="str">
            <v>TELECOMMUNICATORS (INDIA) PVT. LTD.</v>
          </cell>
          <cell r="C1015" t="str">
            <v>ADVAN</v>
          </cell>
          <cell r="D1015">
            <v>52500</v>
          </cell>
          <cell r="E1015">
            <v>52500</v>
          </cell>
          <cell r="F1015">
            <v>0</v>
          </cell>
        </row>
        <row r="1016">
          <cell r="A1016" t="str">
            <v>GTHEA</v>
          </cell>
          <cell r="B1016" t="str">
            <v>THE ATELIER</v>
          </cell>
          <cell r="C1016" t="str">
            <v>ADVAN</v>
          </cell>
          <cell r="D1016">
            <v>409500</v>
          </cell>
          <cell r="E1016">
            <v>409500</v>
          </cell>
          <cell r="F1016">
            <v>0</v>
          </cell>
        </row>
        <row r="1017">
          <cell r="A1017" t="str">
            <v>GBEST</v>
          </cell>
          <cell r="B1017" t="str">
            <v>THE B.E.S. &amp; T. UNDERTAKING</v>
          </cell>
          <cell r="C1017" t="str">
            <v>ADVAN</v>
          </cell>
          <cell r="D1017">
            <v>105523</v>
          </cell>
          <cell r="E1017">
            <v>105523</v>
          </cell>
          <cell r="F1017">
            <v>0</v>
          </cell>
        </row>
        <row r="1018">
          <cell r="A1018" t="str">
            <v>GCOAS</v>
          </cell>
          <cell r="B1018" t="str">
            <v>THE COASTAL TRADERS</v>
          </cell>
          <cell r="C1018" t="str">
            <v>ADVAN</v>
          </cell>
          <cell r="D1018">
            <v>45650</v>
          </cell>
          <cell r="E1018">
            <v>45650</v>
          </cell>
          <cell r="F1018">
            <v>0</v>
          </cell>
        </row>
        <row r="1019">
          <cell r="A1019" t="str">
            <v>GDESI</v>
          </cell>
          <cell r="B1019" t="str">
            <v>THE DESIGN CELL</v>
          </cell>
          <cell r="C1019" t="str">
            <v>ADVAN</v>
          </cell>
          <cell r="D1019">
            <v>625000</v>
          </cell>
          <cell r="E1019">
            <v>625000</v>
          </cell>
          <cell r="F1019">
            <v>0</v>
          </cell>
        </row>
        <row r="1020">
          <cell r="A1020" t="str">
            <v>GIHCL</v>
          </cell>
          <cell r="B1020" t="str">
            <v>THE INDIAN HOTELS COMPANY LTD.</v>
          </cell>
          <cell r="C1020" t="str">
            <v>ADVAN</v>
          </cell>
          <cell r="D1020">
            <v>60674</v>
          </cell>
          <cell r="E1020">
            <v>60674</v>
          </cell>
          <cell r="F1020">
            <v>0</v>
          </cell>
        </row>
        <row r="1021">
          <cell r="A1021" t="str">
            <v>GTINP</v>
          </cell>
          <cell r="B1021" t="str">
            <v>THE INDIAN NATIONAL PRESS (P) LTD.</v>
          </cell>
          <cell r="C1021" t="str">
            <v>ADVAN</v>
          </cell>
          <cell r="D1021">
            <v>4794800</v>
          </cell>
          <cell r="E1021">
            <v>4794800</v>
          </cell>
          <cell r="F1021">
            <v>0</v>
          </cell>
        </row>
        <row r="1022">
          <cell r="A1022" t="str">
            <v>GINNO</v>
          </cell>
          <cell r="B1022" t="str">
            <v>THE INNOVATORS</v>
          </cell>
          <cell r="C1022" t="str">
            <v>ADVAN</v>
          </cell>
          <cell r="D1022">
            <v>6000</v>
          </cell>
          <cell r="E1022">
            <v>6000</v>
          </cell>
          <cell r="F1022">
            <v>0</v>
          </cell>
        </row>
        <row r="1023">
          <cell r="A1023" t="str">
            <v>GTOPL</v>
          </cell>
          <cell r="B1023" t="str">
            <v>TOPLINE</v>
          </cell>
          <cell r="C1023" t="str">
            <v>ADVAN</v>
          </cell>
          <cell r="D1023">
            <v>99375</v>
          </cell>
          <cell r="E1023">
            <v>99375</v>
          </cell>
          <cell r="F1023">
            <v>0</v>
          </cell>
        </row>
        <row r="1024">
          <cell r="A1024" t="str">
            <v>GTRIN</v>
          </cell>
          <cell r="B1024" t="str">
            <v>TREND INTERNATIONAL</v>
          </cell>
          <cell r="C1024" t="str">
            <v>ADVAN</v>
          </cell>
          <cell r="D1024">
            <v>2577</v>
          </cell>
          <cell r="E1024">
            <v>2577</v>
          </cell>
          <cell r="F1024">
            <v>0</v>
          </cell>
        </row>
        <row r="1025">
          <cell r="A1025" t="str">
            <v>GTRIS</v>
          </cell>
          <cell r="B1025" t="str">
            <v>TRIBHUVAN SINGH</v>
          </cell>
          <cell r="C1025" t="str">
            <v>ADVAN</v>
          </cell>
          <cell r="D1025">
            <v>10338</v>
          </cell>
          <cell r="E1025">
            <v>10338</v>
          </cell>
          <cell r="F1025">
            <v>0</v>
          </cell>
        </row>
        <row r="1026">
          <cell r="A1026" t="str">
            <v>GTRAG</v>
          </cell>
          <cell r="B1026" t="str">
            <v>TRIPTA AGGARWAL</v>
          </cell>
          <cell r="C1026" t="str">
            <v>ADVAN</v>
          </cell>
          <cell r="D1026">
            <v>505</v>
          </cell>
          <cell r="E1026">
            <v>505</v>
          </cell>
          <cell r="F1026">
            <v>0</v>
          </cell>
        </row>
        <row r="1027">
          <cell r="A1027" t="str">
            <v>GTUKA</v>
          </cell>
          <cell r="B1027" t="str">
            <v>TUKARAM ELECTRICALS</v>
          </cell>
          <cell r="C1027" t="str">
            <v>ADVAN</v>
          </cell>
          <cell r="D1027">
            <v>1000</v>
          </cell>
          <cell r="E1027">
            <v>1000</v>
          </cell>
          <cell r="F1027">
            <v>0</v>
          </cell>
        </row>
        <row r="1028">
          <cell r="A1028" t="str">
            <v>GTVTO</v>
          </cell>
          <cell r="B1028" t="str">
            <v>TV TODAY NETWORK LTD.</v>
          </cell>
          <cell r="C1028" t="str">
            <v>ADVAN</v>
          </cell>
          <cell r="D1028">
            <v>4435623</v>
          </cell>
          <cell r="E1028">
            <v>4435623</v>
          </cell>
          <cell r="F1028">
            <v>0</v>
          </cell>
        </row>
        <row r="1029">
          <cell r="A1029" t="str">
            <v>GTVSE</v>
          </cell>
          <cell r="B1029" t="str">
            <v>TVS ELECTRONICS</v>
          </cell>
          <cell r="C1029" t="str">
            <v>ADVAN</v>
          </cell>
          <cell r="D1029">
            <v>4176</v>
          </cell>
          <cell r="E1029">
            <v>4176</v>
          </cell>
          <cell r="F1029">
            <v>0</v>
          </cell>
        </row>
        <row r="1030">
          <cell r="A1030" t="str">
            <v>GUKAY</v>
          </cell>
          <cell r="B1030" t="str">
            <v>U &amp; KAY POWER SYSTEMS (P) LTD.</v>
          </cell>
          <cell r="C1030" t="str">
            <v>ADVAN</v>
          </cell>
          <cell r="D1030">
            <v>201572</v>
          </cell>
          <cell r="E1030">
            <v>201572</v>
          </cell>
          <cell r="F1030">
            <v>0</v>
          </cell>
        </row>
        <row r="1031">
          <cell r="A1031" t="str">
            <v>GUPWE</v>
          </cell>
          <cell r="B1031" t="str">
            <v>U.P WELDING WORKS</v>
          </cell>
          <cell r="C1031" t="str">
            <v>ADVAN</v>
          </cell>
          <cell r="D1031">
            <v>5000</v>
          </cell>
          <cell r="E1031">
            <v>5000</v>
          </cell>
          <cell r="F1031">
            <v>0</v>
          </cell>
        </row>
        <row r="1032">
          <cell r="A1032" t="str">
            <v>GUDGA</v>
          </cell>
          <cell r="B1032" t="str">
            <v>UDAY S GANDHI</v>
          </cell>
          <cell r="C1032" t="str">
            <v>ADVAN</v>
          </cell>
          <cell r="D1032">
            <v>412717</v>
          </cell>
          <cell r="E1032">
            <v>412717</v>
          </cell>
          <cell r="F1032">
            <v>0</v>
          </cell>
        </row>
        <row r="1033">
          <cell r="A1033" t="str">
            <v>GULTN</v>
          </cell>
          <cell r="B1033" t="str">
            <v>ULTIMATE INTERNATIONAL P. LTD.</v>
          </cell>
          <cell r="C1033" t="str">
            <v>ADVAN</v>
          </cell>
          <cell r="D1033">
            <v>50000</v>
          </cell>
          <cell r="E1033">
            <v>50000</v>
          </cell>
          <cell r="F1033">
            <v>0</v>
          </cell>
        </row>
        <row r="1034">
          <cell r="A1034" t="str">
            <v>GUMAI</v>
          </cell>
          <cell r="B1034" t="str">
            <v>UMA INTERNATIONAL</v>
          </cell>
          <cell r="C1034" t="str">
            <v>ADVAN</v>
          </cell>
          <cell r="D1034">
            <v>1247</v>
          </cell>
          <cell r="E1034">
            <v>1247</v>
          </cell>
          <cell r="F1034">
            <v>0</v>
          </cell>
        </row>
        <row r="1035">
          <cell r="A1035" t="str">
            <v>GUMAK</v>
          </cell>
          <cell r="B1035" t="str">
            <v>UMAKANT GIRIJASHANKAR JANI</v>
          </cell>
          <cell r="C1035" t="str">
            <v>ADVAN</v>
          </cell>
          <cell r="D1035">
            <v>448160</v>
          </cell>
          <cell r="E1035">
            <v>448160</v>
          </cell>
          <cell r="F1035">
            <v>0</v>
          </cell>
        </row>
        <row r="1036">
          <cell r="A1036" t="str">
            <v>GUNIC</v>
          </cell>
          <cell r="B1036" t="str">
            <v>UNICOOL ENGINEERS</v>
          </cell>
          <cell r="C1036" t="str">
            <v>ADVAN</v>
          </cell>
          <cell r="D1036">
            <v>56700</v>
          </cell>
          <cell r="E1036">
            <v>56700</v>
          </cell>
          <cell r="F1036">
            <v>0</v>
          </cell>
        </row>
        <row r="1037">
          <cell r="A1037" t="str">
            <v>GUNCO</v>
          </cell>
          <cell r="B1037" t="str">
            <v>UNICORN TECHNOLOGIES</v>
          </cell>
          <cell r="C1037" t="str">
            <v>ADVAN</v>
          </cell>
          <cell r="D1037">
            <v>69079</v>
          </cell>
          <cell r="E1037">
            <v>69079</v>
          </cell>
          <cell r="F1037">
            <v>0</v>
          </cell>
        </row>
        <row r="1038">
          <cell r="A1038" t="str">
            <v>GUNIQ</v>
          </cell>
          <cell r="B1038" t="str">
            <v>UNIQUE AIR CONDITIONERS</v>
          </cell>
          <cell r="C1038" t="str">
            <v>ADVAN</v>
          </cell>
          <cell r="D1038">
            <v>4298</v>
          </cell>
          <cell r="E1038">
            <v>4298</v>
          </cell>
          <cell r="F1038">
            <v>0</v>
          </cell>
        </row>
        <row r="1039">
          <cell r="A1039" t="str">
            <v>GUNIE</v>
          </cell>
          <cell r="B1039" t="str">
            <v>UNIQUE ELECTROGURAD SYSTEM (P) LTD.</v>
          </cell>
          <cell r="C1039" t="str">
            <v>ADVAN</v>
          </cell>
          <cell r="D1039">
            <v>31720</v>
          </cell>
          <cell r="E1039">
            <v>31720</v>
          </cell>
          <cell r="F1039">
            <v>0</v>
          </cell>
        </row>
        <row r="1040">
          <cell r="A1040" t="str">
            <v>GUAIR</v>
          </cell>
          <cell r="B1040" t="str">
            <v>UNITED AIR  EXPRESS</v>
          </cell>
          <cell r="C1040" t="str">
            <v>ADVAN</v>
          </cell>
          <cell r="D1040">
            <v>72</v>
          </cell>
          <cell r="E1040">
            <v>72</v>
          </cell>
          <cell r="F1040">
            <v>0</v>
          </cell>
        </row>
        <row r="1041">
          <cell r="A1041" t="str">
            <v>GUNMC</v>
          </cell>
          <cell r="B1041" t="str">
            <v>UNIVERSAL MEDIA CO.</v>
          </cell>
          <cell r="C1041" t="str">
            <v>ADVAN</v>
          </cell>
          <cell r="D1041">
            <v>30000</v>
          </cell>
          <cell r="E1041">
            <v>30000</v>
          </cell>
          <cell r="F1041">
            <v>0</v>
          </cell>
        </row>
        <row r="1042">
          <cell r="A1042" t="str">
            <v>GUNSO</v>
          </cell>
          <cell r="B1042" t="str">
            <v>UNIVERSAL SOLUTIONS</v>
          </cell>
          <cell r="C1042" t="str">
            <v>ADVAN</v>
          </cell>
          <cell r="D1042">
            <v>22700</v>
          </cell>
          <cell r="E1042">
            <v>22700</v>
          </cell>
          <cell r="F1042">
            <v>0</v>
          </cell>
        </row>
        <row r="1043">
          <cell r="A1043" t="str">
            <v>GUPPA</v>
          </cell>
          <cell r="B1043" t="str">
            <v>UPPALAPATI BUCHI VENKATAPATHI</v>
          </cell>
          <cell r="C1043" t="str">
            <v>ADVAN</v>
          </cell>
          <cell r="D1043">
            <v>6000</v>
          </cell>
          <cell r="E1043">
            <v>6000</v>
          </cell>
          <cell r="F1043">
            <v>0</v>
          </cell>
        </row>
        <row r="1044">
          <cell r="A1044" t="str">
            <v>GUSHD</v>
          </cell>
          <cell r="B1044" t="str">
            <v>USHA DINANATH DHURI &amp; RAJESH DINANATH DHURI</v>
          </cell>
          <cell r="C1044" t="str">
            <v>ADVAN</v>
          </cell>
          <cell r="D1044">
            <v>320384</v>
          </cell>
          <cell r="E1044">
            <v>320384</v>
          </cell>
          <cell r="F1044">
            <v>0</v>
          </cell>
        </row>
        <row r="1045">
          <cell r="A1045" t="str">
            <v>GUSHR</v>
          </cell>
          <cell r="B1045" t="str">
            <v>USHA REFRIGERATION &amp; AIR CONDITIONERS</v>
          </cell>
          <cell r="C1045" t="str">
            <v>ADVAN</v>
          </cell>
          <cell r="D1045">
            <v>25100</v>
          </cell>
          <cell r="E1045">
            <v>25100</v>
          </cell>
          <cell r="F1045">
            <v>0</v>
          </cell>
        </row>
        <row r="1046">
          <cell r="A1046" t="str">
            <v>GVVBA</v>
          </cell>
          <cell r="B1046" t="str">
            <v>V V BASAVAIAH</v>
          </cell>
          <cell r="C1046" t="str">
            <v>ADVAN</v>
          </cell>
          <cell r="D1046">
            <v>63608</v>
          </cell>
          <cell r="E1046">
            <v>63608</v>
          </cell>
          <cell r="F1046">
            <v>0</v>
          </cell>
        </row>
        <row r="1047">
          <cell r="A1047" t="str">
            <v>GVSFI</v>
          </cell>
          <cell r="B1047" t="str">
            <v>V.S.FINANCE LTD.</v>
          </cell>
          <cell r="C1047" t="str">
            <v>ADVAN</v>
          </cell>
          <cell r="D1047">
            <v>95022</v>
          </cell>
          <cell r="E1047">
            <v>95022</v>
          </cell>
          <cell r="F1047">
            <v>0</v>
          </cell>
        </row>
        <row r="1048">
          <cell r="A1048" t="str">
            <v>GVVPR</v>
          </cell>
          <cell r="B1048" t="str">
            <v>V.V. PRABHU</v>
          </cell>
          <cell r="C1048" t="str">
            <v>ADVAN</v>
          </cell>
          <cell r="D1048">
            <v>144401</v>
          </cell>
          <cell r="E1048">
            <v>144401</v>
          </cell>
          <cell r="F1048">
            <v>0</v>
          </cell>
        </row>
        <row r="1049">
          <cell r="A1049" t="str">
            <v>GVAIM</v>
          </cell>
          <cell r="B1049" t="str">
            <v>VAISHALL VIKAS MANDLECHA</v>
          </cell>
          <cell r="C1049" t="str">
            <v>ADVAN</v>
          </cell>
          <cell r="D1049">
            <v>11268</v>
          </cell>
          <cell r="E1049">
            <v>11268</v>
          </cell>
          <cell r="F1049">
            <v>0</v>
          </cell>
        </row>
        <row r="1050">
          <cell r="A1050" t="str">
            <v>GVAIS</v>
          </cell>
          <cell r="B1050" t="str">
            <v>VAISHNAVI FURNITURE</v>
          </cell>
          <cell r="C1050" t="str">
            <v>ADVAN</v>
          </cell>
          <cell r="D1050">
            <v>13860</v>
          </cell>
          <cell r="E1050">
            <v>13860</v>
          </cell>
          <cell r="F1050">
            <v>0</v>
          </cell>
        </row>
        <row r="1051">
          <cell r="A1051" t="str">
            <v>GVANI</v>
          </cell>
          <cell r="B1051" t="str">
            <v>VANITHA INFO SYSTEMS</v>
          </cell>
          <cell r="C1051" t="str">
            <v>ADVAN</v>
          </cell>
          <cell r="D1051">
            <v>6298</v>
          </cell>
          <cell r="E1051">
            <v>6298</v>
          </cell>
          <cell r="F1051">
            <v>0</v>
          </cell>
        </row>
        <row r="1052">
          <cell r="A1052" t="str">
            <v>GVARN</v>
          </cell>
          <cell r="B1052" t="str">
            <v>VARUN CAR AGENCY PVT LTD</v>
          </cell>
          <cell r="C1052" t="str">
            <v>ADVAN</v>
          </cell>
          <cell r="D1052">
            <v>72285</v>
          </cell>
          <cell r="E1052">
            <v>72285</v>
          </cell>
          <cell r="F1052">
            <v>0</v>
          </cell>
        </row>
        <row r="1053">
          <cell r="A1053" t="str">
            <v>GVACO</v>
          </cell>
          <cell r="B1053" t="str">
            <v>VASTU CONSTRUCTION</v>
          </cell>
          <cell r="C1053" t="str">
            <v>ADVAN</v>
          </cell>
          <cell r="D1053">
            <v>300000</v>
          </cell>
          <cell r="E1053">
            <v>300000</v>
          </cell>
          <cell r="F1053">
            <v>0</v>
          </cell>
        </row>
        <row r="1054">
          <cell r="A1054" t="str">
            <v>GVSHI</v>
          </cell>
          <cell r="B1054" t="str">
            <v>VASTU SHILPA (D.SRI RAMA MURTHY</v>
          </cell>
          <cell r="C1054" t="str">
            <v>ADVAN</v>
          </cell>
          <cell r="D1054">
            <v>525000</v>
          </cell>
          <cell r="E1054">
            <v>525000</v>
          </cell>
          <cell r="F1054">
            <v>0</v>
          </cell>
        </row>
        <row r="1055">
          <cell r="A1055" t="str">
            <v>GVATA</v>
          </cell>
          <cell r="B1055" t="str">
            <v>VATS ADVERTISING</v>
          </cell>
          <cell r="C1055" t="str">
            <v>ADVAN</v>
          </cell>
          <cell r="D1055">
            <v>1161</v>
          </cell>
          <cell r="E1055">
            <v>1161</v>
          </cell>
          <cell r="F1055">
            <v>0</v>
          </cell>
        </row>
        <row r="1056">
          <cell r="A1056" t="str">
            <v>GVCARE</v>
          </cell>
          <cell r="B1056" t="str">
            <v>VCARE COMPUTER PROFESSIONAL</v>
          </cell>
          <cell r="C1056" t="str">
            <v>ADVAN</v>
          </cell>
          <cell r="D1056">
            <v>6225</v>
          </cell>
          <cell r="E1056">
            <v>6225</v>
          </cell>
          <cell r="F1056">
            <v>0</v>
          </cell>
        </row>
        <row r="1057">
          <cell r="A1057" t="str">
            <v>GVELA</v>
          </cell>
          <cell r="B1057" t="str">
            <v>VELANKANNI ENTERPRISES</v>
          </cell>
          <cell r="C1057" t="str">
            <v>ADVAN</v>
          </cell>
          <cell r="D1057">
            <v>55197</v>
          </cell>
          <cell r="E1057">
            <v>55197</v>
          </cell>
          <cell r="F1057">
            <v>0</v>
          </cell>
        </row>
        <row r="1058">
          <cell r="A1058" t="str">
            <v>GVELY</v>
          </cell>
          <cell r="B1058" t="str">
            <v>VELAYUTHAM</v>
          </cell>
          <cell r="C1058" t="str">
            <v>ADVAN</v>
          </cell>
          <cell r="D1058">
            <v>6557.5</v>
          </cell>
          <cell r="E1058">
            <v>6557.5</v>
          </cell>
          <cell r="F1058">
            <v>0</v>
          </cell>
        </row>
        <row r="1059">
          <cell r="A1059" t="str">
            <v>GVENS</v>
          </cell>
          <cell r="B1059" t="str">
            <v>VENKATESAN</v>
          </cell>
          <cell r="C1059" t="str">
            <v>ADVAN</v>
          </cell>
          <cell r="D1059">
            <v>3534.9</v>
          </cell>
          <cell r="E1059">
            <v>3534.9</v>
          </cell>
          <cell r="F1059">
            <v>0</v>
          </cell>
        </row>
        <row r="1060">
          <cell r="A1060" t="str">
            <v>GVENF</v>
          </cell>
          <cell r="B1060" t="str">
            <v>VENKATESWARA FIRNITURE</v>
          </cell>
          <cell r="C1060" t="str">
            <v>ADVAN</v>
          </cell>
          <cell r="D1060">
            <v>1000</v>
          </cell>
          <cell r="E1060">
            <v>1000</v>
          </cell>
          <cell r="F1060">
            <v>0</v>
          </cell>
        </row>
        <row r="1061">
          <cell r="A1061" t="str">
            <v>GVNCM</v>
          </cell>
          <cell r="B1061" t="str">
            <v>VENUS COMPUTECH</v>
          </cell>
          <cell r="C1061" t="str">
            <v>ADVAN</v>
          </cell>
          <cell r="D1061">
            <v>6125</v>
          </cell>
          <cell r="E1061">
            <v>6125</v>
          </cell>
          <cell r="F1061">
            <v>0</v>
          </cell>
        </row>
        <row r="1062">
          <cell r="A1062" t="str">
            <v>GVICR</v>
          </cell>
          <cell r="B1062" t="str">
            <v>VICTORIA RESORTS &amp; CONSTRUCTIONS</v>
          </cell>
          <cell r="C1062" t="str">
            <v>ADVAN</v>
          </cell>
          <cell r="D1062">
            <v>292340</v>
          </cell>
          <cell r="E1062">
            <v>292340</v>
          </cell>
          <cell r="F1062">
            <v>0</v>
          </cell>
        </row>
        <row r="1063">
          <cell r="A1063" t="str">
            <v>GVIAGR</v>
          </cell>
          <cell r="B1063" t="str">
            <v>VIJAY AGRAWAL</v>
          </cell>
          <cell r="C1063" t="str">
            <v>ADVAN</v>
          </cell>
          <cell r="D1063">
            <v>729</v>
          </cell>
          <cell r="E1063">
            <v>729</v>
          </cell>
          <cell r="F1063">
            <v>0</v>
          </cell>
        </row>
        <row r="1064">
          <cell r="A1064" t="str">
            <v>GVIJG</v>
          </cell>
          <cell r="B1064" t="str">
            <v>VIJAY GABA</v>
          </cell>
          <cell r="C1064" t="str">
            <v>ADVAN</v>
          </cell>
          <cell r="D1064">
            <v>15000</v>
          </cell>
          <cell r="E1064">
            <v>15000</v>
          </cell>
          <cell r="F1064">
            <v>0</v>
          </cell>
        </row>
        <row r="1065">
          <cell r="A1065" t="str">
            <v>GVNTE</v>
          </cell>
          <cell r="B1065" t="str">
            <v>VINEET ENTERPRISES</v>
          </cell>
          <cell r="C1065" t="str">
            <v>ADVAN</v>
          </cell>
          <cell r="D1065">
            <v>615</v>
          </cell>
          <cell r="E1065">
            <v>615</v>
          </cell>
          <cell r="F1065">
            <v>0</v>
          </cell>
        </row>
        <row r="1066">
          <cell r="A1066" t="str">
            <v>GVINK</v>
          </cell>
          <cell r="B1066" t="str">
            <v>VINEET KUMAR</v>
          </cell>
          <cell r="C1066" t="str">
            <v>ADVAN</v>
          </cell>
          <cell r="D1066">
            <v>3492</v>
          </cell>
          <cell r="E1066">
            <v>3492</v>
          </cell>
          <cell r="F1066">
            <v>0</v>
          </cell>
        </row>
        <row r="1067">
          <cell r="A1067" t="str">
            <v>GVNIT</v>
          </cell>
          <cell r="B1067" t="str">
            <v>VINEET WADHAWA</v>
          </cell>
          <cell r="C1067" t="str">
            <v>ADVAN</v>
          </cell>
          <cell r="D1067">
            <v>14197</v>
          </cell>
          <cell r="E1067">
            <v>14197</v>
          </cell>
          <cell r="F1067">
            <v>0</v>
          </cell>
        </row>
        <row r="1068">
          <cell r="A1068" t="str">
            <v>GVINOE</v>
          </cell>
          <cell r="B1068" t="str">
            <v>VINOD ENTERPRISES</v>
          </cell>
          <cell r="C1068" t="str">
            <v>ADVAN</v>
          </cell>
          <cell r="D1068">
            <v>4694</v>
          </cell>
          <cell r="E1068">
            <v>4694</v>
          </cell>
          <cell r="F1068">
            <v>0</v>
          </cell>
        </row>
        <row r="1069">
          <cell r="A1069" t="str">
            <v>GVINP</v>
          </cell>
          <cell r="B1069" t="str">
            <v>VINOD N. PUNJABI</v>
          </cell>
          <cell r="C1069" t="str">
            <v>ADVAN</v>
          </cell>
          <cell r="D1069">
            <v>109699</v>
          </cell>
          <cell r="E1069">
            <v>109699</v>
          </cell>
          <cell r="F1069">
            <v>0</v>
          </cell>
        </row>
        <row r="1070">
          <cell r="A1070" t="str">
            <v>GVICO</v>
          </cell>
          <cell r="B1070" t="str">
            <v>VIRATECH SOFTWARE  &amp; COMMUNICATION LTD</v>
          </cell>
          <cell r="C1070" t="str">
            <v>ADVAN</v>
          </cell>
          <cell r="D1070">
            <v>1101</v>
          </cell>
          <cell r="E1070">
            <v>1101</v>
          </cell>
          <cell r="F1070">
            <v>0</v>
          </cell>
        </row>
        <row r="1071">
          <cell r="A1071" t="str">
            <v>GVIRE</v>
          </cell>
          <cell r="B1071" t="str">
            <v>VIRESH DAYALAL VYAS</v>
          </cell>
          <cell r="C1071" t="str">
            <v>ADVAN</v>
          </cell>
          <cell r="D1071">
            <v>0.02</v>
          </cell>
          <cell r="E1071">
            <v>0.02</v>
          </cell>
          <cell r="F1071">
            <v>0</v>
          </cell>
        </row>
        <row r="1072">
          <cell r="A1072" t="str">
            <v>GVENT</v>
          </cell>
          <cell r="B1072" t="str">
            <v>VISHAL ENTERPRISES</v>
          </cell>
          <cell r="C1072" t="str">
            <v>ADVAN</v>
          </cell>
          <cell r="D1072">
            <v>1</v>
          </cell>
          <cell r="E1072">
            <v>1</v>
          </cell>
          <cell r="F1072">
            <v>0</v>
          </cell>
        </row>
        <row r="1073">
          <cell r="A1073" t="str">
            <v>GVIEN</v>
          </cell>
          <cell r="B1073" t="str">
            <v>VISHWASI 2000 ENTERPRISES</v>
          </cell>
          <cell r="C1073" t="str">
            <v>ADVAN</v>
          </cell>
          <cell r="D1073">
            <v>1600</v>
          </cell>
          <cell r="E1073">
            <v>1600</v>
          </cell>
          <cell r="F1073">
            <v>0</v>
          </cell>
        </row>
        <row r="1074">
          <cell r="A1074" t="str">
            <v>GVSAI</v>
          </cell>
          <cell r="B1074" t="str">
            <v>VSAT INSURANCE RECOVERABLE</v>
          </cell>
          <cell r="C1074" t="str">
            <v>ADVAN</v>
          </cell>
          <cell r="D1074">
            <v>75960.429999999993</v>
          </cell>
          <cell r="E1074">
            <v>75960.429999999993</v>
          </cell>
          <cell r="F1074">
            <v>0</v>
          </cell>
        </row>
        <row r="1075">
          <cell r="A1075" t="str">
            <v>GVSRT</v>
          </cell>
          <cell r="B1075" t="str">
            <v>VSR TRUST</v>
          </cell>
          <cell r="C1075" t="str">
            <v>ADVAN</v>
          </cell>
          <cell r="D1075">
            <v>68064</v>
          </cell>
          <cell r="E1075">
            <v>68064</v>
          </cell>
          <cell r="F1075">
            <v>0</v>
          </cell>
        </row>
        <row r="1076">
          <cell r="A1076" t="str">
            <v>GWINF</v>
          </cell>
          <cell r="B1076" t="str">
            <v>WADHWA INFOCOM</v>
          </cell>
          <cell r="C1076" t="str">
            <v>ADVAN</v>
          </cell>
          <cell r="D1076">
            <v>2800</v>
          </cell>
          <cell r="E1076">
            <v>2800</v>
          </cell>
          <cell r="F1076">
            <v>0</v>
          </cell>
        </row>
        <row r="1077">
          <cell r="A1077" t="str">
            <v>GWALM</v>
          </cell>
          <cell r="B1077" t="str">
            <v>WAL-MART STORES (P) LTD.</v>
          </cell>
          <cell r="C1077" t="str">
            <v>ADVAN</v>
          </cell>
          <cell r="D1077">
            <v>17500</v>
          </cell>
          <cell r="E1077">
            <v>17500</v>
          </cell>
          <cell r="F1077">
            <v>0</v>
          </cell>
        </row>
        <row r="1078">
          <cell r="A1078" t="str">
            <v>GWASS</v>
          </cell>
          <cell r="B1078" t="str">
            <v>WASIM SHEIKH</v>
          </cell>
          <cell r="C1078" t="str">
            <v>ADVAN</v>
          </cell>
          <cell r="D1078">
            <v>6162</v>
          </cell>
          <cell r="E1078">
            <v>6162</v>
          </cell>
          <cell r="F1078">
            <v>0</v>
          </cell>
        </row>
        <row r="1079">
          <cell r="A1079" t="str">
            <v>GWEAR</v>
          </cell>
          <cell r="B1079" t="str">
            <v>WEARTECH ENGINEERS</v>
          </cell>
          <cell r="C1079" t="str">
            <v>ADVAN</v>
          </cell>
          <cell r="D1079">
            <v>35750</v>
          </cell>
          <cell r="E1079">
            <v>35750</v>
          </cell>
          <cell r="F1079">
            <v>0</v>
          </cell>
        </row>
        <row r="1080">
          <cell r="A1080" t="str">
            <v>GWELC</v>
          </cell>
          <cell r="B1080" t="str">
            <v>WELCOME TRAVELS</v>
          </cell>
          <cell r="C1080" t="str">
            <v>ADVAN</v>
          </cell>
          <cell r="D1080">
            <v>71011</v>
          </cell>
          <cell r="E1080">
            <v>71011</v>
          </cell>
          <cell r="F1080">
            <v>0</v>
          </cell>
        </row>
        <row r="1081">
          <cell r="A1081" t="str">
            <v>GWOOD</v>
          </cell>
          <cell r="B1081" t="str">
            <v>WOOD PECKER</v>
          </cell>
          <cell r="C1081" t="str">
            <v>ADVAN</v>
          </cell>
          <cell r="D1081">
            <v>339638</v>
          </cell>
          <cell r="E1081">
            <v>339638</v>
          </cell>
          <cell r="F1081">
            <v>0</v>
          </cell>
        </row>
        <row r="1082">
          <cell r="A1082" t="str">
            <v>GWODFR</v>
          </cell>
          <cell r="B1082" t="str">
            <v>WOODCORE FURNITURE &amp; FURNISHERS</v>
          </cell>
          <cell r="C1082" t="str">
            <v>ADVAN</v>
          </cell>
          <cell r="D1082">
            <v>3262</v>
          </cell>
          <cell r="E1082">
            <v>3262</v>
          </cell>
          <cell r="F1082">
            <v>0</v>
          </cell>
        </row>
        <row r="1083">
          <cell r="A1083" t="str">
            <v>GWODIN</v>
          </cell>
          <cell r="B1083" t="str">
            <v>WOODEK INTERIORS</v>
          </cell>
          <cell r="C1083" t="str">
            <v>ADVAN</v>
          </cell>
          <cell r="D1083">
            <v>3307</v>
          </cell>
          <cell r="E1083">
            <v>3307</v>
          </cell>
          <cell r="F1083">
            <v>0</v>
          </cell>
        </row>
        <row r="1084">
          <cell r="A1084" t="str">
            <v>GWOOM</v>
          </cell>
          <cell r="B1084" t="str">
            <v>WOODS &amp; METAL</v>
          </cell>
          <cell r="C1084" t="str">
            <v>ADVAN</v>
          </cell>
          <cell r="D1084">
            <v>100000</v>
          </cell>
          <cell r="E1084">
            <v>100000</v>
          </cell>
          <cell r="F1084">
            <v>0</v>
          </cell>
        </row>
        <row r="1085">
          <cell r="A1085" t="str">
            <v>GWORK</v>
          </cell>
          <cell r="B1085" t="str">
            <v>WORKRITE</v>
          </cell>
          <cell r="C1085" t="str">
            <v>ADVAN</v>
          </cell>
          <cell r="D1085">
            <v>63438</v>
          </cell>
          <cell r="E1085">
            <v>63438</v>
          </cell>
          <cell r="F1085">
            <v>0</v>
          </cell>
        </row>
        <row r="1086">
          <cell r="A1086" t="str">
            <v>GWORL</v>
          </cell>
          <cell r="B1086" t="str">
            <v>WORLD LINKS</v>
          </cell>
          <cell r="C1086" t="str">
            <v>ADVAN</v>
          </cell>
          <cell r="D1086">
            <v>6655</v>
          </cell>
          <cell r="E1086">
            <v>6655</v>
          </cell>
          <cell r="F1086">
            <v>0</v>
          </cell>
        </row>
        <row r="1087">
          <cell r="A1087" t="str">
            <v>GYMST</v>
          </cell>
          <cell r="B1087" t="str">
            <v>YASH MOTOR STORE</v>
          </cell>
          <cell r="C1087" t="str">
            <v>ADVAN</v>
          </cell>
          <cell r="D1087">
            <v>26000</v>
          </cell>
          <cell r="E1087">
            <v>26000</v>
          </cell>
          <cell r="F1087">
            <v>0</v>
          </cell>
        </row>
        <row r="1088">
          <cell r="A1088" t="str">
            <v>GYESI</v>
          </cell>
          <cell r="B1088" t="str">
            <v>YES INFOSYS</v>
          </cell>
          <cell r="C1088" t="str">
            <v>ADVAN</v>
          </cell>
          <cell r="D1088">
            <v>3675</v>
          </cell>
          <cell r="E1088">
            <v>3675</v>
          </cell>
          <cell r="F1088">
            <v>0</v>
          </cell>
        </row>
        <row r="1089">
          <cell r="A1089" t="str">
            <v>GYGES</v>
          </cell>
          <cell r="B1089" t="str">
            <v>YOGESH KUMAR BABULAL BHATT</v>
          </cell>
          <cell r="C1089" t="str">
            <v>ADVAN</v>
          </cell>
          <cell r="D1089">
            <v>29604</v>
          </cell>
          <cell r="E1089">
            <v>29604</v>
          </cell>
          <cell r="F1089">
            <v>0</v>
          </cell>
        </row>
        <row r="1090">
          <cell r="A1090" t="str">
            <v>GYUVR</v>
          </cell>
          <cell r="B1090" t="str">
            <v>YUVRAJ SINGH CHOUDHRY LOAN A/C</v>
          </cell>
          <cell r="C1090" t="str">
            <v>ADVAN</v>
          </cell>
          <cell r="D1090">
            <v>75000</v>
          </cell>
          <cell r="E1090">
            <v>75000</v>
          </cell>
          <cell r="F1090">
            <v>0</v>
          </cell>
        </row>
        <row r="1091">
          <cell r="A1091" t="str">
            <v>GLZEA</v>
          </cell>
          <cell r="B1091" t="str">
            <v>ZEAUL ARFIN KHAN LOAN A/C</v>
          </cell>
          <cell r="C1091" t="str">
            <v>ADVAN</v>
          </cell>
          <cell r="D1091">
            <v>1000</v>
          </cell>
          <cell r="E1091">
            <v>1000</v>
          </cell>
          <cell r="F1091">
            <v>0</v>
          </cell>
        </row>
        <row r="1092">
          <cell r="A1092" t="str">
            <v>GZEDF</v>
          </cell>
          <cell r="B1092" t="str">
            <v>ZED FURNITURE INDUSTRIES</v>
          </cell>
          <cell r="C1092" t="str">
            <v>ADVAN</v>
          </cell>
          <cell r="D1092">
            <v>8467</v>
          </cell>
          <cell r="E1092">
            <v>8467</v>
          </cell>
          <cell r="F1092">
            <v>0</v>
          </cell>
        </row>
        <row r="1093">
          <cell r="A1093" t="str">
            <v>GZENE</v>
          </cell>
          <cell r="B1093" t="str">
            <v>ZENITH ELECTRIC STORES</v>
          </cell>
          <cell r="C1093" t="str">
            <v>ADVAN</v>
          </cell>
          <cell r="D1093">
            <v>25500</v>
          </cell>
          <cell r="E1093">
            <v>25500</v>
          </cell>
          <cell r="F1093">
            <v>0</v>
          </cell>
        </row>
        <row r="1094">
          <cell r="A1094" t="str">
            <v>GZODI</v>
          </cell>
          <cell r="B1094" t="str">
            <v>ZODIAC EXPRESS PVT. LTD.</v>
          </cell>
          <cell r="C1094" t="str">
            <v>ADVAN</v>
          </cell>
          <cell r="D1094">
            <v>153</v>
          </cell>
          <cell r="E1094">
            <v>153</v>
          </cell>
          <cell r="F1094">
            <v>0</v>
          </cell>
        </row>
        <row r="1095">
          <cell r="A1095" t="str">
            <v>GA0OABC</v>
          </cell>
          <cell r="B1095" t="str">
            <v>FDR FOR ABC - BSE</v>
          </cell>
          <cell r="C1095" t="str">
            <v>AFDR</v>
          </cell>
          <cell r="D1095">
            <v>10000000</v>
          </cell>
          <cell r="E1095">
            <v>10000000</v>
          </cell>
          <cell r="F1095">
            <v>0</v>
          </cell>
        </row>
        <row r="1096">
          <cell r="A1096" t="str">
            <v>GA0OMAB</v>
          </cell>
          <cell r="B1096" t="str">
            <v>FDR FOR MABC</v>
          </cell>
          <cell r="C1096" t="str">
            <v>AFDR</v>
          </cell>
          <cell r="D1096">
            <v>4950000006</v>
          </cell>
          <cell r="E1096">
            <v>4950000006</v>
          </cell>
          <cell r="F1096">
            <v>0</v>
          </cell>
        </row>
        <row r="1097">
          <cell r="A1097" t="str">
            <v>GFDR</v>
          </cell>
          <cell r="B1097" t="str">
            <v>FDR GENERAL</v>
          </cell>
          <cell r="C1097" t="str">
            <v>AFDR</v>
          </cell>
          <cell r="D1097">
            <v>0</v>
          </cell>
          <cell r="E1097">
            <v>595012350.88999999</v>
          </cell>
          <cell r="F1097">
            <v>-595012350.88999999</v>
          </cell>
        </row>
        <row r="1098">
          <cell r="A1098" t="str">
            <v>GAIBG</v>
          </cell>
          <cell r="B1098" t="str">
            <v>DEPOSIT FOR CORPORATE GUARANTEE</v>
          </cell>
          <cell r="C1098" t="str">
            <v>ASECO</v>
          </cell>
          <cell r="D1098">
            <v>580000000</v>
          </cell>
          <cell r="E1098">
            <v>580000000</v>
          </cell>
          <cell r="F1098">
            <v>0</v>
          </cell>
        </row>
        <row r="1099">
          <cell r="A1099" t="str">
            <v>GQFLYS</v>
          </cell>
          <cell r="B1099" t="str">
            <v>QUICK N FLY EXPRESS (SECURIY DEPOSIT)</v>
          </cell>
          <cell r="C1099" t="str">
            <v>ASECO</v>
          </cell>
          <cell r="D1099">
            <v>100000</v>
          </cell>
          <cell r="E1099">
            <v>100000</v>
          </cell>
          <cell r="F1099">
            <v>0</v>
          </cell>
        </row>
        <row r="1100">
          <cell r="A1100" t="str">
            <v>GSEC26</v>
          </cell>
          <cell r="B1100" t="str">
            <v>SECURITY DEPOSIT FROM BALARAMAN</v>
          </cell>
          <cell r="C1100" t="str">
            <v>ASECO</v>
          </cell>
          <cell r="D1100">
            <v>69315</v>
          </cell>
          <cell r="E1100">
            <v>69315</v>
          </cell>
          <cell r="F1100">
            <v>0</v>
          </cell>
        </row>
        <row r="1101">
          <cell r="A1101" t="str">
            <v>GNSED</v>
          </cell>
          <cell r="B1101" t="str">
            <v>SECURITY DEPOSIT(ARBITRATION)-NSE</v>
          </cell>
          <cell r="C1101" t="str">
            <v>ASECO</v>
          </cell>
          <cell r="D1101">
            <v>3257600</v>
          </cell>
          <cell r="E1101">
            <v>3257600</v>
          </cell>
          <cell r="F1101">
            <v>0</v>
          </cell>
        </row>
        <row r="1102">
          <cell r="A1102" t="str">
            <v>GSECC</v>
          </cell>
          <cell r="B1102" t="str">
            <v>SECURITY FOR GENERATOR (COCHIN)</v>
          </cell>
          <cell r="C1102" t="str">
            <v>ASECO</v>
          </cell>
          <cell r="D1102">
            <v>30000</v>
          </cell>
          <cell r="E1102">
            <v>30000</v>
          </cell>
          <cell r="F1102">
            <v>0</v>
          </cell>
        </row>
        <row r="1103">
          <cell r="A1103" t="str">
            <v>GATDEL</v>
          </cell>
          <cell r="B1103" t="str">
            <v>SECURITY TELEPHONE DELHI</v>
          </cell>
          <cell r="C1103" t="str">
            <v>ASECO</v>
          </cell>
          <cell r="D1103">
            <v>100000</v>
          </cell>
          <cell r="E1103">
            <v>100000</v>
          </cell>
          <cell r="F1103">
            <v>0</v>
          </cell>
        </row>
        <row r="1104">
          <cell r="A1104" t="str">
            <v>GSCBTR</v>
          </cell>
          <cell r="B1104" t="str">
            <v>SECRUTY COIMBTOOR</v>
          </cell>
          <cell r="C1104" t="str">
            <v>ASECU</v>
          </cell>
          <cell r="D1104">
            <v>160000</v>
          </cell>
          <cell r="E1104">
            <v>160000</v>
          </cell>
          <cell r="F1104">
            <v>0</v>
          </cell>
        </row>
        <row r="1105">
          <cell r="A1105" t="str">
            <v>GA0022</v>
          </cell>
          <cell r="B1105" t="str">
            <v>SECURITY  DEPOSIT SJUNG (SGOCH)</v>
          </cell>
          <cell r="C1105" t="str">
            <v>ASECU</v>
          </cell>
          <cell r="D1105">
            <v>100000</v>
          </cell>
          <cell r="E1105">
            <v>100000</v>
          </cell>
          <cell r="F1105">
            <v>0</v>
          </cell>
        </row>
        <row r="1106">
          <cell r="A1106" t="str">
            <v>GKOLK</v>
          </cell>
          <cell r="B1106" t="str">
            <v>SECURITY DEPOSIT (DALHOUSIE)</v>
          </cell>
          <cell r="C1106" t="str">
            <v>ASECU</v>
          </cell>
          <cell r="D1106">
            <v>1183333.3400000001</v>
          </cell>
          <cell r="E1106">
            <v>1183333.3400000001</v>
          </cell>
          <cell r="F1106">
            <v>0</v>
          </cell>
        </row>
        <row r="1107">
          <cell r="A1107" t="str">
            <v>GSECOC</v>
          </cell>
          <cell r="B1107" t="str">
            <v>SECURITY DEPOSIT COCHIN</v>
          </cell>
          <cell r="C1107" t="str">
            <v>ASECU</v>
          </cell>
          <cell r="D1107">
            <v>3675</v>
          </cell>
          <cell r="E1107">
            <v>3675</v>
          </cell>
          <cell r="F1107">
            <v>0</v>
          </cell>
        </row>
        <row r="1108">
          <cell r="A1108" t="str">
            <v>GSEMAH</v>
          </cell>
          <cell r="B1108" t="str">
            <v>SECURITY DEPOSIT FOR MAHIM BRANCH</v>
          </cell>
          <cell r="C1108" t="str">
            <v>ASECU</v>
          </cell>
          <cell r="D1108">
            <v>500000</v>
          </cell>
          <cell r="E1108">
            <v>500000</v>
          </cell>
          <cell r="F1108">
            <v>0</v>
          </cell>
        </row>
        <row r="1109">
          <cell r="A1109" t="str">
            <v>GSCGHATW</v>
          </cell>
          <cell r="B1109" t="str">
            <v>SECURITY DEPOSIT GHATKOPAR - (W) -MAHARASHTRA</v>
          </cell>
          <cell r="C1109" t="str">
            <v>ASECU</v>
          </cell>
          <cell r="D1109">
            <v>962500</v>
          </cell>
          <cell r="E1109">
            <v>962500</v>
          </cell>
          <cell r="F1109">
            <v>0</v>
          </cell>
        </row>
        <row r="1110">
          <cell r="A1110" t="str">
            <v>GA0319</v>
          </cell>
          <cell r="B1110" t="str">
            <v>SECURITY DEPOSIT HO (SANTOSH)</v>
          </cell>
          <cell r="C1110" t="str">
            <v>ASECU</v>
          </cell>
          <cell r="D1110">
            <v>100000</v>
          </cell>
          <cell r="E1110">
            <v>100000</v>
          </cell>
          <cell r="F1110">
            <v>0</v>
          </cell>
        </row>
        <row r="1111">
          <cell r="A1111" t="str">
            <v>GSEKB</v>
          </cell>
          <cell r="B1111" t="str">
            <v>SECURITY DEPOSIT KAROL BAGH</v>
          </cell>
          <cell r="C1111" t="str">
            <v>ASECU</v>
          </cell>
          <cell r="D1111">
            <v>228000</v>
          </cell>
          <cell r="E1111">
            <v>228000</v>
          </cell>
          <cell r="F1111">
            <v>0</v>
          </cell>
        </row>
        <row r="1112">
          <cell r="A1112" t="str">
            <v>GSEKU</v>
          </cell>
          <cell r="B1112" t="str">
            <v>SECURITY DEPOSIT KURNOOL</v>
          </cell>
          <cell r="C1112" t="str">
            <v>ASECU</v>
          </cell>
          <cell r="D1112">
            <v>50000</v>
          </cell>
          <cell r="E1112">
            <v>50000</v>
          </cell>
          <cell r="F1112">
            <v>0</v>
          </cell>
        </row>
        <row r="1113">
          <cell r="A1113" t="str">
            <v>GSEMOH</v>
          </cell>
          <cell r="B1113" t="str">
            <v>SECURITY DEPOSIT MOHALI</v>
          </cell>
          <cell r="C1113" t="str">
            <v>ASECU</v>
          </cell>
          <cell r="D1113">
            <v>49500</v>
          </cell>
          <cell r="E1113">
            <v>49500</v>
          </cell>
          <cell r="F1113">
            <v>0</v>
          </cell>
        </row>
        <row r="1114">
          <cell r="A1114" t="str">
            <v>GSEABO</v>
          </cell>
          <cell r="B1114" t="str">
            <v>SECURITY DEPOSIT OF ABOHAR PIRTHVI PLACE (PUNJAB)</v>
          </cell>
          <cell r="C1114" t="str">
            <v>ASECU</v>
          </cell>
          <cell r="D1114">
            <v>12600</v>
          </cell>
          <cell r="E1114">
            <v>12600</v>
          </cell>
          <cell r="F1114">
            <v>0</v>
          </cell>
        </row>
        <row r="1115">
          <cell r="A1115" t="str">
            <v>GSEBATA</v>
          </cell>
          <cell r="B1115" t="str">
            <v>SECURITY DEPOSIT OF BATALA (PUNJAB)</v>
          </cell>
          <cell r="C1115" t="str">
            <v>ASECU</v>
          </cell>
          <cell r="D1115">
            <v>33000</v>
          </cell>
          <cell r="E1115">
            <v>33000</v>
          </cell>
          <cell r="F1115">
            <v>0</v>
          </cell>
        </row>
        <row r="1116">
          <cell r="A1116" t="str">
            <v>GSEBEG</v>
          </cell>
          <cell r="B1116" t="str">
            <v>SECURITY DEPOSIT OF BELLARY GANDHI NAGAR BRANCH</v>
          </cell>
          <cell r="C1116" t="str">
            <v>ASECU</v>
          </cell>
          <cell r="D1116">
            <v>15000</v>
          </cell>
          <cell r="E1116">
            <v>15000</v>
          </cell>
          <cell r="F1116">
            <v>0</v>
          </cell>
        </row>
        <row r="1117">
          <cell r="A1117" t="str">
            <v>GSEMOG</v>
          </cell>
          <cell r="B1117" t="str">
            <v>SECURITY DEPOSIT OF MOGA GITA THEATER GT ROAD</v>
          </cell>
          <cell r="C1117" t="str">
            <v>ASECU</v>
          </cell>
          <cell r="D1117">
            <v>60000</v>
          </cell>
          <cell r="E1117">
            <v>60000</v>
          </cell>
          <cell r="F1117">
            <v>0</v>
          </cell>
        </row>
        <row r="1118">
          <cell r="A1118" t="str">
            <v>GSENAS</v>
          </cell>
          <cell r="B1118" t="str">
            <v>SECURITY DEPOSIT OF NASHIK  SUYOJIT SANKUL BRANCH</v>
          </cell>
          <cell r="C1118" t="str">
            <v>ASECU</v>
          </cell>
          <cell r="D1118">
            <v>216000</v>
          </cell>
          <cell r="E1118">
            <v>216000</v>
          </cell>
          <cell r="F1118">
            <v>0</v>
          </cell>
        </row>
        <row r="1119">
          <cell r="A1119" t="str">
            <v>GSESUL</v>
          </cell>
          <cell r="B1119" t="str">
            <v>SECURITY DEPOSIT OF SULTANPUR UP OFFLINE</v>
          </cell>
          <cell r="C1119" t="str">
            <v>ASECU</v>
          </cell>
          <cell r="D1119">
            <v>22500</v>
          </cell>
          <cell r="E1119">
            <v>22500</v>
          </cell>
          <cell r="F1119">
            <v>0</v>
          </cell>
        </row>
        <row r="1120">
          <cell r="A1120" t="str">
            <v>GSESO</v>
          </cell>
          <cell r="B1120" t="str">
            <v>SECURITY DEPOSIT SOUTH  EXTENSION (DELHI)</v>
          </cell>
          <cell r="C1120" t="str">
            <v>ASECU</v>
          </cell>
          <cell r="D1120">
            <v>950000</v>
          </cell>
          <cell r="E1120">
            <v>950000</v>
          </cell>
          <cell r="F1120">
            <v>0</v>
          </cell>
        </row>
        <row r="1121">
          <cell r="A1121" t="str">
            <v>GSEDEL</v>
          </cell>
          <cell r="B1121" t="str">
            <v>SECURITY DEPOSIT SRINIVASPURI</v>
          </cell>
          <cell r="C1121" t="str">
            <v>ASECU</v>
          </cell>
          <cell r="D1121">
            <v>2730000</v>
          </cell>
          <cell r="E1121">
            <v>2730000</v>
          </cell>
          <cell r="F1121">
            <v>0</v>
          </cell>
        </row>
        <row r="1122">
          <cell r="A1122" t="str">
            <v>GSETRI</v>
          </cell>
          <cell r="B1122" t="str">
            <v>SECURITY DEPOSIT TRICHUR (COCHIN)</v>
          </cell>
          <cell r="C1122" t="str">
            <v>ASECU</v>
          </cell>
          <cell r="D1122">
            <v>84000</v>
          </cell>
          <cell r="E1122">
            <v>84000</v>
          </cell>
          <cell r="F1122">
            <v>0</v>
          </cell>
        </row>
        <row r="1123">
          <cell r="A1123" t="str">
            <v>GSEPO</v>
          </cell>
          <cell r="B1123" t="str">
            <v>SECURITY DEPOSITS MUMBAI (POWAI)</v>
          </cell>
          <cell r="C1123" t="str">
            <v>ASECU</v>
          </cell>
          <cell r="D1123">
            <v>909000</v>
          </cell>
          <cell r="E1123">
            <v>909000</v>
          </cell>
          <cell r="F1123">
            <v>0</v>
          </cell>
        </row>
        <row r="1124">
          <cell r="A1124" t="str">
            <v>GANHO</v>
          </cell>
          <cell r="B1124" t="str">
            <v>SECURITY FOR A N HOUSE</v>
          </cell>
          <cell r="C1124" t="str">
            <v>ASECU</v>
          </cell>
          <cell r="D1124">
            <v>67500</v>
          </cell>
          <cell r="E1124">
            <v>67500</v>
          </cell>
          <cell r="F1124">
            <v>0</v>
          </cell>
        </row>
        <row r="1125">
          <cell r="A1125" t="str">
            <v>GA0375</v>
          </cell>
          <cell r="B1125" t="str">
            <v>SECURITY FOR ALLAHABAD PR</v>
          </cell>
          <cell r="C1125" t="str">
            <v>ASECU</v>
          </cell>
          <cell r="D1125">
            <v>36600</v>
          </cell>
          <cell r="E1125">
            <v>36600</v>
          </cell>
          <cell r="F1125">
            <v>0</v>
          </cell>
        </row>
        <row r="1126">
          <cell r="A1126" t="str">
            <v>GSECB</v>
          </cell>
          <cell r="B1126" t="str">
            <v>SECURITY FOR BHOPAL PREMISES</v>
          </cell>
          <cell r="C1126" t="str">
            <v>ASECU</v>
          </cell>
          <cell r="D1126">
            <v>81000</v>
          </cell>
          <cell r="E1126">
            <v>81000</v>
          </cell>
          <cell r="F1126">
            <v>0</v>
          </cell>
        </row>
        <row r="1127">
          <cell r="A1127" t="str">
            <v>GA0393</v>
          </cell>
          <cell r="B1127" t="str">
            <v>SECURITY FOR COCHIN PREMI</v>
          </cell>
          <cell r="C1127" t="str">
            <v>ASECU</v>
          </cell>
          <cell r="D1127">
            <v>72000</v>
          </cell>
          <cell r="E1127">
            <v>72000</v>
          </cell>
          <cell r="F1127">
            <v>0</v>
          </cell>
        </row>
        <row r="1128">
          <cell r="A1128" t="str">
            <v>GSCDR</v>
          </cell>
          <cell r="B1128" t="str">
            <v>SECURITY FOR DARYAGANJ PREMISES</v>
          </cell>
          <cell r="C1128" t="str">
            <v>ASECU</v>
          </cell>
          <cell r="D1128">
            <v>66000</v>
          </cell>
          <cell r="E1128">
            <v>66000</v>
          </cell>
          <cell r="F1128">
            <v>0</v>
          </cell>
        </row>
        <row r="1129">
          <cell r="A1129" t="str">
            <v>GASECG</v>
          </cell>
          <cell r="B1129" t="str">
            <v>SECURITY FOR GUEST HOUSE</v>
          </cell>
          <cell r="C1129" t="str">
            <v>ASECU</v>
          </cell>
          <cell r="D1129">
            <v>37600</v>
          </cell>
          <cell r="E1129">
            <v>37600</v>
          </cell>
          <cell r="F1129">
            <v>0</v>
          </cell>
        </row>
        <row r="1130">
          <cell r="A1130" t="str">
            <v>GSFGP</v>
          </cell>
          <cell r="B1130" t="str">
            <v>SECURITY FOR GWALIOR PREMISES</v>
          </cell>
          <cell r="C1130" t="str">
            <v>ASECU</v>
          </cell>
          <cell r="D1130">
            <v>48000</v>
          </cell>
          <cell r="E1130">
            <v>48000</v>
          </cell>
          <cell r="F1130">
            <v>0</v>
          </cell>
        </row>
        <row r="1131">
          <cell r="A1131" t="str">
            <v>GSEKM</v>
          </cell>
          <cell r="B1131" t="str">
            <v>SECURITY FOR KADIMI HOUSE(MONTHLY)</v>
          </cell>
          <cell r="C1131" t="str">
            <v>ASECU</v>
          </cell>
          <cell r="D1131">
            <v>1026000</v>
          </cell>
          <cell r="E1131">
            <v>1026000</v>
          </cell>
          <cell r="F1131">
            <v>0</v>
          </cell>
        </row>
        <row r="1132">
          <cell r="A1132" t="str">
            <v>GSECK</v>
          </cell>
          <cell r="B1132" t="str">
            <v>SECURITY FOR KANPUR PREMISES (NEW)</v>
          </cell>
          <cell r="C1132" t="str">
            <v>ASECU</v>
          </cell>
          <cell r="D1132">
            <v>36000</v>
          </cell>
          <cell r="E1132">
            <v>36000</v>
          </cell>
          <cell r="F1132">
            <v>0</v>
          </cell>
        </row>
        <row r="1133">
          <cell r="A1133" t="str">
            <v>GA0409</v>
          </cell>
          <cell r="B1133" t="str">
            <v>SECURITY FOR MARINE DRIVE</v>
          </cell>
          <cell r="C1133" t="str">
            <v>ASECU</v>
          </cell>
          <cell r="D1133">
            <v>1000000</v>
          </cell>
          <cell r="E1133">
            <v>1000000</v>
          </cell>
          <cell r="F1133">
            <v>0</v>
          </cell>
        </row>
        <row r="1134">
          <cell r="A1134" t="str">
            <v>GA0391</v>
          </cell>
          <cell r="B1134" t="str">
            <v>SECURITY FOR MEERUT PREMI</v>
          </cell>
          <cell r="C1134" t="str">
            <v>ASECU</v>
          </cell>
          <cell r="D1134">
            <v>48000</v>
          </cell>
          <cell r="E1134">
            <v>48000</v>
          </cell>
          <cell r="F1134">
            <v>0</v>
          </cell>
        </row>
        <row r="1135">
          <cell r="A1135" t="str">
            <v>GSFMH</v>
          </cell>
          <cell r="B1135" t="str">
            <v>SECURITY FOR MUMBAI PREMISES</v>
          </cell>
          <cell r="C1135" t="str">
            <v>ASECU</v>
          </cell>
          <cell r="D1135">
            <v>2400000</v>
          </cell>
          <cell r="E1135">
            <v>2400000</v>
          </cell>
          <cell r="F1135">
            <v>0</v>
          </cell>
        </row>
        <row r="1136">
          <cell r="A1136" t="str">
            <v>GSECT</v>
          </cell>
          <cell r="B1136" t="str">
            <v>SECURITY FOR PREMISES (A)</v>
          </cell>
          <cell r="C1136" t="str">
            <v>ASECU</v>
          </cell>
          <cell r="D1136">
            <v>58000</v>
          </cell>
          <cell r="E1136">
            <v>58000</v>
          </cell>
          <cell r="F1136">
            <v>0</v>
          </cell>
        </row>
        <row r="1137">
          <cell r="A1137" t="str">
            <v>GA0521</v>
          </cell>
          <cell r="B1137" t="str">
            <v>SECURITY RENT AHMDABAD</v>
          </cell>
          <cell r="C1137" t="str">
            <v>ASECU</v>
          </cell>
          <cell r="D1137">
            <v>200000</v>
          </cell>
          <cell r="E1137">
            <v>200000</v>
          </cell>
          <cell r="F1137">
            <v>0</v>
          </cell>
        </row>
        <row r="1138">
          <cell r="A1138" t="str">
            <v>GACHAN</v>
          </cell>
          <cell r="B1138" t="str">
            <v>SECURITY RENT CHANDIGARH</v>
          </cell>
          <cell r="C1138" t="str">
            <v>ASECU</v>
          </cell>
          <cell r="D1138">
            <v>52500</v>
          </cell>
          <cell r="E1138">
            <v>52500</v>
          </cell>
          <cell r="F1138">
            <v>0</v>
          </cell>
        </row>
        <row r="1139">
          <cell r="A1139" t="str">
            <v>GVARA</v>
          </cell>
          <cell r="B1139" t="str">
            <v>SECURITY RENT- VARANSI</v>
          </cell>
          <cell r="C1139" t="str">
            <v>ASECU</v>
          </cell>
          <cell r="D1139">
            <v>21188</v>
          </cell>
          <cell r="E1139">
            <v>21188</v>
          </cell>
          <cell r="F1139">
            <v>0</v>
          </cell>
        </row>
        <row r="1140">
          <cell r="A1140" t="str">
            <v>GSE02</v>
          </cell>
          <cell r="B1140" t="str">
            <v>SECUTITY DEPOSIT KANPUR EXTENSION (UNNAO)</v>
          </cell>
          <cell r="C1140" t="str">
            <v>ASECU</v>
          </cell>
          <cell r="D1140">
            <v>12000</v>
          </cell>
          <cell r="E1140">
            <v>12000</v>
          </cell>
          <cell r="F1140">
            <v>0</v>
          </cell>
        </row>
        <row r="1141">
          <cell r="A1141" t="str">
            <v>GSTOCK</v>
          </cell>
          <cell r="B1141" t="str">
            <v>STOCK OF SECURITIES</v>
          </cell>
          <cell r="C1141" t="str">
            <v>ASTOC</v>
          </cell>
          <cell r="D1141">
            <v>50139557.789999999</v>
          </cell>
          <cell r="E1141">
            <v>50139557.789999999</v>
          </cell>
          <cell r="F1141">
            <v>0</v>
          </cell>
        </row>
        <row r="1142">
          <cell r="A1142" t="str">
            <v>GA0343</v>
          </cell>
          <cell r="B1142" t="str">
            <v>ADVANCE TAX FY2002-03</v>
          </cell>
          <cell r="C1142" t="str">
            <v>ATDSA</v>
          </cell>
          <cell r="D1142">
            <v>15495551</v>
          </cell>
          <cell r="E1142">
            <v>15495551</v>
          </cell>
          <cell r="F1142">
            <v>0</v>
          </cell>
        </row>
        <row r="1143">
          <cell r="A1143" t="str">
            <v>GA0342</v>
          </cell>
          <cell r="B1143" t="str">
            <v>ADVANCE TAX FY2003-04</v>
          </cell>
          <cell r="C1143" t="str">
            <v>ATDSA</v>
          </cell>
          <cell r="D1143">
            <v>36233750</v>
          </cell>
          <cell r="E1143">
            <v>36233750</v>
          </cell>
          <cell r="F1143">
            <v>0</v>
          </cell>
        </row>
        <row r="1144">
          <cell r="A1144" t="str">
            <v>GEIT</v>
          </cell>
          <cell r="B1144" t="str">
            <v>INCOME TAX 2003-04</v>
          </cell>
          <cell r="C1144" t="str">
            <v>ATDSA</v>
          </cell>
          <cell r="D1144">
            <v>67780838</v>
          </cell>
          <cell r="E1144">
            <v>67780838</v>
          </cell>
          <cell r="F1144">
            <v>0</v>
          </cell>
        </row>
        <row r="1145">
          <cell r="A1145" t="str">
            <v>GA101</v>
          </cell>
          <cell r="B1145" t="str">
            <v>TDS DEDUCTED - CLIENTS FY 2011-12</v>
          </cell>
          <cell r="C1145" t="str">
            <v>ATDSA</v>
          </cell>
          <cell r="D1145">
            <v>2567559</v>
          </cell>
          <cell r="E1145">
            <v>0</v>
          </cell>
          <cell r="F1145">
            <v>2567559</v>
          </cell>
        </row>
        <row r="1146">
          <cell r="A1146" t="str">
            <v>GA103</v>
          </cell>
          <cell r="B1146" t="str">
            <v>TDS DEDUCTED - CLIENTS FY 2012-13</v>
          </cell>
          <cell r="C1146" t="str">
            <v>ATDSA</v>
          </cell>
          <cell r="D1146">
            <v>870195</v>
          </cell>
          <cell r="E1146">
            <v>0</v>
          </cell>
          <cell r="F1146">
            <v>870195</v>
          </cell>
        </row>
        <row r="1147">
          <cell r="A1147" t="str">
            <v>GA104</v>
          </cell>
          <cell r="B1147" t="str">
            <v>TDS DEDUCTED - CLIENTS FY 2013-14</v>
          </cell>
          <cell r="C1147" t="str">
            <v>ATDSA</v>
          </cell>
          <cell r="D1147">
            <v>100841</v>
          </cell>
          <cell r="E1147">
            <v>0</v>
          </cell>
          <cell r="F1147">
            <v>100841</v>
          </cell>
        </row>
        <row r="1148">
          <cell r="A1148" t="str">
            <v>GA105</v>
          </cell>
          <cell r="B1148" t="str">
            <v>TDS DEDUCTED - CLIENTS FY 2014-15</v>
          </cell>
          <cell r="C1148" t="str">
            <v>ATDSA</v>
          </cell>
          <cell r="D1148">
            <v>139848</v>
          </cell>
          <cell r="E1148">
            <v>0</v>
          </cell>
          <cell r="F1148">
            <v>139848</v>
          </cell>
        </row>
        <row r="1149">
          <cell r="A1149" t="str">
            <v>GA082</v>
          </cell>
          <cell r="B1149" t="str">
            <v>TDS DEDUCTED DIVIDEND - 2002-03</v>
          </cell>
          <cell r="C1149" t="str">
            <v>ATDSA</v>
          </cell>
          <cell r="D1149">
            <v>1839517.32</v>
          </cell>
          <cell r="E1149">
            <v>1839517.32</v>
          </cell>
          <cell r="F1149">
            <v>0</v>
          </cell>
        </row>
        <row r="1150">
          <cell r="A1150" t="str">
            <v>GA084</v>
          </cell>
          <cell r="B1150" t="str">
            <v>TDS DEDUCTED DIVIDEND - 2003-04</v>
          </cell>
          <cell r="C1150" t="str">
            <v>ATDSA</v>
          </cell>
          <cell r="D1150">
            <v>12277</v>
          </cell>
          <cell r="E1150">
            <v>12277</v>
          </cell>
          <cell r="F1150">
            <v>0</v>
          </cell>
        </row>
        <row r="1151">
          <cell r="A1151" t="str">
            <v>GA081</v>
          </cell>
          <cell r="B1151" t="str">
            <v>TDS DEDUCTED OTHER - 2002-03</v>
          </cell>
          <cell r="C1151" t="str">
            <v>ATDSA</v>
          </cell>
          <cell r="D1151">
            <v>4086825.93</v>
          </cell>
          <cell r="E1151">
            <v>4086825.93</v>
          </cell>
          <cell r="F1151">
            <v>0</v>
          </cell>
        </row>
        <row r="1152">
          <cell r="A1152" t="str">
            <v>GA079</v>
          </cell>
          <cell r="B1152" t="str">
            <v>TDS DEDUCTED OTHERS - 2001-02</v>
          </cell>
          <cell r="C1152" t="str">
            <v>ATDSA</v>
          </cell>
          <cell r="D1152">
            <v>882105.39</v>
          </cell>
          <cell r="E1152">
            <v>882105.39</v>
          </cell>
          <cell r="F1152">
            <v>0</v>
          </cell>
        </row>
        <row r="1153">
          <cell r="A1153" t="str">
            <v>GA083</v>
          </cell>
          <cell r="B1153" t="str">
            <v>TDS DEDUCTED OTHERS - 2003-04</v>
          </cell>
          <cell r="C1153" t="str">
            <v>ATDSA</v>
          </cell>
          <cell r="D1153">
            <v>6322275.5</v>
          </cell>
          <cell r="E1153">
            <v>6322275.5</v>
          </cell>
          <cell r="F1153">
            <v>0</v>
          </cell>
        </row>
        <row r="1154">
          <cell r="A1154" t="str">
            <v>GA092</v>
          </cell>
          <cell r="B1154" t="str">
            <v>TDS DEDUCTED OTHERS 2007-08</v>
          </cell>
          <cell r="C1154" t="str">
            <v>ATDSA</v>
          </cell>
          <cell r="D1154">
            <v>16088886.99</v>
          </cell>
          <cell r="E1154">
            <v>0</v>
          </cell>
          <cell r="F1154">
            <v>16088886.99</v>
          </cell>
        </row>
        <row r="1155">
          <cell r="A1155" t="str">
            <v>GA097</v>
          </cell>
          <cell r="B1155" t="str">
            <v>TDS DEDUCTED OTHERS 2009-10</v>
          </cell>
          <cell r="C1155" t="str">
            <v>ATDSA</v>
          </cell>
          <cell r="D1155">
            <v>6568867</v>
          </cell>
          <cell r="E1155">
            <v>0</v>
          </cell>
          <cell r="F1155">
            <v>6568867</v>
          </cell>
        </row>
        <row r="1156">
          <cell r="A1156" t="str">
            <v>GA100</v>
          </cell>
          <cell r="B1156" t="str">
            <v>TDS DEDUCTED OTHERS 2010-11</v>
          </cell>
          <cell r="C1156" t="str">
            <v>ATDSA</v>
          </cell>
          <cell r="D1156">
            <v>10021843</v>
          </cell>
          <cell r="E1156">
            <v>0</v>
          </cell>
          <cell r="F1156">
            <v>10021843</v>
          </cell>
        </row>
        <row r="1157">
          <cell r="A1157" t="str">
            <v>GFDTD0708</v>
          </cell>
          <cell r="B1157" t="str">
            <v>TDS ON FD 2007-08</v>
          </cell>
          <cell r="C1157" t="str">
            <v>ATDSA</v>
          </cell>
          <cell r="D1157">
            <v>2712712.87</v>
          </cell>
          <cell r="E1157">
            <v>0</v>
          </cell>
          <cell r="F1157">
            <v>2712712.87</v>
          </cell>
        </row>
        <row r="1158">
          <cell r="A1158" t="str">
            <v>GL0042</v>
          </cell>
          <cell r="B1158" t="str">
            <v>12% CUMM REDEEMABLE PREFERNCE SHARE CAPITAL</v>
          </cell>
          <cell r="C1158" t="str">
            <v>CAPIT</v>
          </cell>
          <cell r="D1158">
            <v>452700000</v>
          </cell>
          <cell r="E1158">
            <v>452700000</v>
          </cell>
          <cell r="F1158">
            <v>0</v>
          </cell>
        </row>
        <row r="1159">
          <cell r="A1159" t="str">
            <v>GCON</v>
          </cell>
          <cell r="B1159" t="str">
            <v>CONTROL ACCOUNT</v>
          </cell>
          <cell r="C1159" t="str">
            <v>CAPIT</v>
          </cell>
          <cell r="D1159">
            <v>1222464111.3800001</v>
          </cell>
          <cell r="E1159">
            <v>0</v>
          </cell>
          <cell r="F1159">
            <v>1222464111.3800001</v>
          </cell>
        </row>
        <row r="1160">
          <cell r="A1160" t="str">
            <v>GLCDP</v>
          </cell>
          <cell r="B1160" t="str">
            <v>CORPORATE DIVIDEND TAX PAYABLE</v>
          </cell>
          <cell r="C1160" t="str">
            <v>CDT</v>
          </cell>
          <cell r="D1160">
            <v>1556517</v>
          </cell>
          <cell r="E1160">
            <v>1556517</v>
          </cell>
          <cell r="F1160">
            <v>0</v>
          </cell>
        </row>
        <row r="1161">
          <cell r="A1161" t="str">
            <v>GE0056</v>
          </cell>
          <cell r="B1161" t="str">
            <v>BAD DEBTS WRITTEN OFF</v>
          </cell>
          <cell r="C1161" t="str">
            <v>E03</v>
          </cell>
          <cell r="D1161">
            <v>0</v>
          </cell>
          <cell r="E1161">
            <v>342526.91</v>
          </cell>
          <cell r="F1161">
            <v>-342526.91</v>
          </cell>
        </row>
        <row r="1162">
          <cell r="A1162" t="str">
            <v>GBSEP</v>
          </cell>
          <cell r="B1162" t="str">
            <v>BSE PENALTY CHARGES</v>
          </cell>
          <cell r="C1162" t="str">
            <v>EAME</v>
          </cell>
          <cell r="D1162">
            <v>5618</v>
          </cell>
          <cell r="E1162">
            <v>5618</v>
          </cell>
          <cell r="F1162">
            <v>0</v>
          </cell>
        </row>
        <row r="1163">
          <cell r="A1163" t="str">
            <v>GNSEP</v>
          </cell>
          <cell r="B1163" t="str">
            <v>NSE PENALTY CHARGES</v>
          </cell>
          <cell r="C1163" t="str">
            <v>EAME</v>
          </cell>
          <cell r="D1163">
            <v>57819.22</v>
          </cell>
          <cell r="E1163">
            <v>65214.16</v>
          </cell>
          <cell r="F1163">
            <v>-7394.9400000000023</v>
          </cell>
        </row>
        <row r="1164">
          <cell r="A1164" t="str">
            <v>GASE</v>
          </cell>
          <cell r="B1164" t="str">
            <v>SHORT &amp; EXCESS</v>
          </cell>
          <cell r="C1164" t="str">
            <v>EAME</v>
          </cell>
          <cell r="D1164">
            <v>67.13</v>
          </cell>
          <cell r="E1164">
            <v>23.79</v>
          </cell>
          <cell r="F1164">
            <v>43.339999999999996</v>
          </cell>
        </row>
        <row r="1165">
          <cell r="A1165" t="str">
            <v>GOFFI</v>
          </cell>
          <cell r="B1165" t="str">
            <v>OFFICE MAINTENANCE</v>
          </cell>
          <cell r="C1165" t="str">
            <v>EAOM</v>
          </cell>
          <cell r="D1165">
            <v>4</v>
          </cell>
          <cell r="E1165">
            <v>4</v>
          </cell>
          <cell r="F1165">
            <v>0</v>
          </cell>
        </row>
        <row r="1166">
          <cell r="A1166" t="str">
            <v>GRATE</v>
          </cell>
          <cell r="B1166" t="str">
            <v>RATES &amp; TAXES</v>
          </cell>
          <cell r="C1166" t="str">
            <v>EART</v>
          </cell>
          <cell r="D1166">
            <v>35672</v>
          </cell>
          <cell r="E1166">
            <v>0</v>
          </cell>
          <cell r="F1166">
            <v>35672</v>
          </cell>
        </row>
        <row r="1167">
          <cell r="A1167" t="str">
            <v>GBANK</v>
          </cell>
          <cell r="B1167" t="str">
            <v>BANK CHARGES</v>
          </cell>
          <cell r="C1167" t="str">
            <v>EIBC</v>
          </cell>
          <cell r="D1167">
            <v>45004.49</v>
          </cell>
          <cell r="E1167">
            <v>15612.36</v>
          </cell>
          <cell r="F1167">
            <v>29392.129999999997</v>
          </cell>
        </row>
        <row r="1168">
          <cell r="A1168" t="str">
            <v>GL00118</v>
          </cell>
          <cell r="B1168" t="str">
            <v>BSE TRANSACTION CHARGES (EXP)</v>
          </cell>
          <cell r="C1168" t="str">
            <v>EOTC</v>
          </cell>
          <cell r="D1168">
            <v>81636</v>
          </cell>
          <cell r="E1168">
            <v>0</v>
          </cell>
          <cell r="F1168">
            <v>81636</v>
          </cell>
        </row>
        <row r="1169">
          <cell r="A1169" t="str">
            <v>GICAR</v>
          </cell>
          <cell r="B1169" t="str">
            <v>CAR HONDA ACCORD</v>
          </cell>
          <cell r="C1169" t="str">
            <v>FASSET</v>
          </cell>
          <cell r="D1169">
            <v>1533566</v>
          </cell>
          <cell r="E1169">
            <v>1533566</v>
          </cell>
          <cell r="F1169">
            <v>0</v>
          </cell>
        </row>
        <row r="1170">
          <cell r="A1170" t="str">
            <v>GAF18</v>
          </cell>
          <cell r="B1170" t="str">
            <v>FAN KANPUR</v>
          </cell>
          <cell r="C1170" t="str">
            <v>FASSET</v>
          </cell>
          <cell r="D1170">
            <v>2534</v>
          </cell>
          <cell r="E1170">
            <v>2534</v>
          </cell>
          <cell r="F1170">
            <v>0</v>
          </cell>
        </row>
        <row r="1171">
          <cell r="A1171" t="str">
            <v>GAAPM01</v>
          </cell>
          <cell r="B1171" t="str">
            <v>FURNITURE &amp; FITTINGS - AMALAPURAM</v>
          </cell>
          <cell r="C1171" t="str">
            <v>FASSET</v>
          </cell>
          <cell r="D1171">
            <v>34686</v>
          </cell>
          <cell r="E1171">
            <v>34686</v>
          </cell>
          <cell r="F1171">
            <v>0</v>
          </cell>
        </row>
        <row r="1172">
          <cell r="A1172" t="str">
            <v>GAFBD12</v>
          </cell>
          <cell r="B1172" t="str">
            <v>FURNITURE &amp; FIXTURE-FARIDABAD</v>
          </cell>
          <cell r="C1172" t="str">
            <v>FASSET</v>
          </cell>
          <cell r="D1172">
            <v>65565</v>
          </cell>
          <cell r="E1172">
            <v>65565</v>
          </cell>
          <cell r="F1172">
            <v>0</v>
          </cell>
        </row>
        <row r="1173">
          <cell r="A1173" t="str">
            <v>GGRAJ</v>
          </cell>
          <cell r="B1173" t="str">
            <v>GLOW SIGN BOARD</v>
          </cell>
          <cell r="C1173" t="str">
            <v>FASSET</v>
          </cell>
          <cell r="D1173">
            <v>1500</v>
          </cell>
          <cell r="E1173">
            <v>1500</v>
          </cell>
          <cell r="F1173">
            <v>0</v>
          </cell>
        </row>
        <row r="1174">
          <cell r="A1174" t="str">
            <v>GGTAN</v>
          </cell>
          <cell r="B1174" t="str">
            <v>GLOW SIGN BOARD TANAKU</v>
          </cell>
          <cell r="C1174" t="str">
            <v>FASSET</v>
          </cell>
          <cell r="D1174">
            <v>10275</v>
          </cell>
          <cell r="E1174">
            <v>10275</v>
          </cell>
          <cell r="F1174">
            <v>0</v>
          </cell>
        </row>
        <row r="1175">
          <cell r="A1175" t="str">
            <v>GAF17</v>
          </cell>
          <cell r="B1175" t="str">
            <v>TELEVISION KANPUR</v>
          </cell>
          <cell r="C1175" t="str">
            <v>FASSET</v>
          </cell>
          <cell r="D1175">
            <v>9536</v>
          </cell>
          <cell r="E1175">
            <v>9536</v>
          </cell>
          <cell r="F1175">
            <v>0</v>
          </cell>
        </row>
        <row r="1176">
          <cell r="A1176" t="str">
            <v>GAFD05</v>
          </cell>
          <cell r="B1176" t="str">
            <v>UPS/CVT FARIDABAD</v>
          </cell>
          <cell r="C1176" t="str">
            <v>FASSET</v>
          </cell>
          <cell r="D1176">
            <v>215331</v>
          </cell>
          <cell r="E1176">
            <v>215331</v>
          </cell>
          <cell r="F1176">
            <v>0</v>
          </cell>
        </row>
        <row r="1177">
          <cell r="A1177" t="str">
            <v>GAOC</v>
          </cell>
          <cell r="B1177" t="str">
            <v>ACCOUNT OPENING CHARGES-INDIABULLS</v>
          </cell>
          <cell r="C1177" t="str">
            <v>IAC</v>
          </cell>
          <cell r="D1177">
            <v>1201.5</v>
          </cell>
          <cell r="E1177">
            <v>181026</v>
          </cell>
          <cell r="F1177">
            <v>-179824.5</v>
          </cell>
        </row>
        <row r="1178">
          <cell r="A1178" t="str">
            <v>GBROKS</v>
          </cell>
          <cell r="B1178" t="str">
            <v>BROKERAGE &amp; SERVICE CHARGES</v>
          </cell>
          <cell r="C1178" t="str">
            <v>IGB</v>
          </cell>
          <cell r="D1178">
            <v>19763</v>
          </cell>
          <cell r="E1178">
            <v>1626354.34</v>
          </cell>
          <cell r="F1178">
            <v>-1606591.34</v>
          </cell>
        </row>
        <row r="1179">
          <cell r="A1179" t="str">
            <v>GCBROK</v>
          </cell>
          <cell r="B1179" t="str">
            <v>BROKERAGE CDS</v>
          </cell>
          <cell r="C1179" t="str">
            <v>IGB</v>
          </cell>
          <cell r="D1179">
            <v>729</v>
          </cell>
          <cell r="E1179">
            <v>1224236.3</v>
          </cell>
          <cell r="F1179">
            <v>-1223507.3</v>
          </cell>
        </row>
        <row r="1180">
          <cell r="A1180" t="str">
            <v>GBROK</v>
          </cell>
          <cell r="B1180" t="str">
            <v>BROKERAGE INCOME</v>
          </cell>
          <cell r="C1180" t="str">
            <v>IGB</v>
          </cell>
          <cell r="D1180">
            <v>3593</v>
          </cell>
          <cell r="E1180">
            <v>75669600.319999993</v>
          </cell>
          <cell r="F1180">
            <v>-75666007.319999993</v>
          </cell>
        </row>
        <row r="1181">
          <cell r="A1181" t="str">
            <v>GBBROK</v>
          </cell>
          <cell r="B1181" t="str">
            <v>BROKERAGE INCOME BSE</v>
          </cell>
          <cell r="C1181" t="str">
            <v>IGB</v>
          </cell>
          <cell r="D1181">
            <v>403</v>
          </cell>
          <cell r="E1181">
            <v>5507342.4400000004</v>
          </cell>
          <cell r="F1181">
            <v>-5506939.4400000004</v>
          </cell>
        </row>
        <row r="1182">
          <cell r="A1182" t="str">
            <v>GFBROK</v>
          </cell>
          <cell r="B1182" t="str">
            <v>BROKERAGE INCOME F&amp;O</v>
          </cell>
          <cell r="C1182" t="str">
            <v>IGB</v>
          </cell>
          <cell r="D1182">
            <v>5129</v>
          </cell>
          <cell r="E1182">
            <v>82364357.640000001</v>
          </cell>
          <cell r="F1182">
            <v>-82359228.640000001</v>
          </cell>
        </row>
        <row r="1183">
          <cell r="A1183" t="str">
            <v>GIDP</v>
          </cell>
          <cell r="B1183" t="str">
            <v>D.P. INCOME</v>
          </cell>
          <cell r="C1183" t="str">
            <v>IGD</v>
          </cell>
          <cell r="D1183">
            <v>0</v>
          </cell>
          <cell r="E1183">
            <v>68250847.640000001</v>
          </cell>
          <cell r="F1183">
            <v>-68250847.640000001</v>
          </cell>
        </row>
        <row r="1184">
          <cell r="A1184" t="str">
            <v>GI01004</v>
          </cell>
          <cell r="B1184" t="str">
            <v>#INTEREST FROM CLIENTS</v>
          </cell>
          <cell r="C1184" t="str">
            <v>IGM</v>
          </cell>
          <cell r="D1184">
            <v>4864724.67</v>
          </cell>
          <cell r="E1184">
            <v>4864724.67</v>
          </cell>
          <cell r="F1184">
            <v>0</v>
          </cell>
        </row>
        <row r="1185">
          <cell r="A1185" t="str">
            <v>GIDELAY</v>
          </cell>
          <cell r="B1185" t="str">
            <v>CHARGES FOR DELAYED PAYMENT</v>
          </cell>
          <cell r="C1185" t="str">
            <v>IGM</v>
          </cell>
          <cell r="D1185">
            <v>16371.37</v>
          </cell>
          <cell r="E1185">
            <v>8024988.79</v>
          </cell>
          <cell r="F1185">
            <v>-8008617.4199999999</v>
          </cell>
        </row>
        <row r="1186">
          <cell r="A1186" t="str">
            <v>GIFO</v>
          </cell>
          <cell r="B1186" t="str">
            <v>CHARGES FOR FO POSITION</v>
          </cell>
          <cell r="C1186" t="str">
            <v>IGM</v>
          </cell>
          <cell r="D1186">
            <v>0</v>
          </cell>
          <cell r="E1186">
            <v>8197783.9000000004</v>
          </cell>
          <cell r="F1186">
            <v>-8197783.9000000004</v>
          </cell>
        </row>
        <row r="1187">
          <cell r="A1187" t="str">
            <v>GINT1</v>
          </cell>
          <cell r="B1187" t="str">
            <v>INTEREST</v>
          </cell>
          <cell r="C1187" t="str">
            <v>IGM</v>
          </cell>
          <cell r="D1187">
            <v>2092619.37</v>
          </cell>
          <cell r="E1187">
            <v>2092619.37</v>
          </cell>
          <cell r="F1187">
            <v>0</v>
          </cell>
        </row>
        <row r="1188">
          <cell r="A1188" t="str">
            <v>GINTI</v>
          </cell>
          <cell r="B1188" t="str">
            <v>INTEREST INCOME</v>
          </cell>
          <cell r="C1188" t="str">
            <v>IGM</v>
          </cell>
          <cell r="D1188">
            <v>1362854.63</v>
          </cell>
          <cell r="E1188">
            <v>1362854.63</v>
          </cell>
          <cell r="F1188">
            <v>0</v>
          </cell>
        </row>
        <row r="1189">
          <cell r="A1189" t="str">
            <v>GINTDP</v>
          </cell>
          <cell r="B1189" t="str">
            <v>INTEREST ON DP CLIENTS</v>
          </cell>
          <cell r="C1189" t="str">
            <v>IGM</v>
          </cell>
          <cell r="D1189">
            <v>0</v>
          </cell>
          <cell r="E1189">
            <v>640108.30000000005</v>
          </cell>
          <cell r="F1189">
            <v>-640108.30000000005</v>
          </cell>
        </row>
        <row r="1190">
          <cell r="A1190" t="str">
            <v>GINT</v>
          </cell>
          <cell r="B1190" t="str">
            <v>INTEREST ON MARGIN FUNDING</v>
          </cell>
          <cell r="C1190" t="str">
            <v>IGM</v>
          </cell>
          <cell r="D1190">
            <v>0</v>
          </cell>
          <cell r="E1190">
            <v>641498.24</v>
          </cell>
          <cell r="F1190">
            <v>-641498.24</v>
          </cell>
        </row>
        <row r="1191">
          <cell r="A1191" t="str">
            <v>GL01002</v>
          </cell>
          <cell r="B1191" t="str">
            <v>OTHER CHARGES (INCLUDING TRANSACTION CHARGES)</v>
          </cell>
          <cell r="C1191" t="str">
            <v>IGT</v>
          </cell>
          <cell r="D1191">
            <v>11697672.49</v>
          </cell>
          <cell r="E1191">
            <v>4924624.3499999996</v>
          </cell>
          <cell r="F1191">
            <v>6773048.1400000006</v>
          </cell>
        </row>
        <row r="1192">
          <cell r="A1192" t="str">
            <v>GTRANS</v>
          </cell>
          <cell r="B1192" t="str">
            <v>OTHER CHARGES (INCLUDING TRANSACTION CHARGES)</v>
          </cell>
          <cell r="C1192" t="str">
            <v>IGT</v>
          </cell>
          <cell r="D1192">
            <v>325685</v>
          </cell>
          <cell r="E1192">
            <v>4039162.26</v>
          </cell>
          <cell r="F1192">
            <v>-3713477.26</v>
          </cell>
        </row>
        <row r="1193">
          <cell r="A1193" t="str">
            <v>GTRXNCG</v>
          </cell>
          <cell r="B1193" t="str">
            <v>OTHER CHARGES (INCLUDING TRANSACTION CHARGES)</v>
          </cell>
          <cell r="C1193" t="str">
            <v>IGT</v>
          </cell>
          <cell r="D1193">
            <v>656668.19999999995</v>
          </cell>
          <cell r="E1193">
            <v>7453077.54</v>
          </cell>
          <cell r="F1193">
            <v>-6796409.3399999999</v>
          </cell>
        </row>
        <row r="1194">
          <cell r="A1194" t="str">
            <v>GBTRANS</v>
          </cell>
          <cell r="B1194" t="str">
            <v>OTHER CHARGES (INCLUDING TRANSACTION CHARGES) BSE</v>
          </cell>
          <cell r="C1194" t="str">
            <v>IGT</v>
          </cell>
          <cell r="D1194">
            <v>10784</v>
          </cell>
          <cell r="E1194">
            <v>271884.37</v>
          </cell>
          <cell r="F1194">
            <v>-261100.37</v>
          </cell>
        </row>
        <row r="1195">
          <cell r="A1195" t="str">
            <v>GCTRANS</v>
          </cell>
          <cell r="B1195" t="str">
            <v>OTHER CHARGES (INCLUDING TRANSACTION CHARGES) CDS</v>
          </cell>
          <cell r="C1195" t="str">
            <v>IGT</v>
          </cell>
          <cell r="D1195">
            <v>4056</v>
          </cell>
          <cell r="E1195">
            <v>47882.2</v>
          </cell>
          <cell r="F1195">
            <v>-43826.2</v>
          </cell>
        </row>
        <row r="1196">
          <cell r="A1196" t="str">
            <v>GFTRANS</v>
          </cell>
          <cell r="B1196" t="str">
            <v>OTHER CHARGES (INCLUDING TRANSACTION CHARGES) F&amp;O</v>
          </cell>
          <cell r="C1196" t="str">
            <v>IGT</v>
          </cell>
          <cell r="D1196">
            <v>933683.86</v>
          </cell>
          <cell r="E1196">
            <v>7386620.3399999999</v>
          </cell>
          <cell r="F1196">
            <v>-6452936.4799999995</v>
          </cell>
        </row>
        <row r="1197">
          <cell r="A1197" t="str">
            <v>GTRAN</v>
          </cell>
          <cell r="B1197" t="str">
            <v>OTHER CHARGES (INCLUDING TRANSACTION CHARGES) REFUND</v>
          </cell>
          <cell r="C1197" t="str">
            <v>IGT</v>
          </cell>
          <cell r="D1197">
            <v>956264.51</v>
          </cell>
          <cell r="E1197">
            <v>88181.1</v>
          </cell>
          <cell r="F1197">
            <v>868083.41</v>
          </cell>
        </row>
        <row r="1198">
          <cell r="A1198" t="str">
            <v>GSDTX</v>
          </cell>
          <cell r="B1198" t="str">
            <v>OTHER CHARGES (INCLUDING TRANSACTION CHARGES)SERVICE TAX</v>
          </cell>
          <cell r="C1198" t="str">
            <v>IGT</v>
          </cell>
          <cell r="D1198">
            <v>804582</v>
          </cell>
          <cell r="E1198">
            <v>0</v>
          </cell>
          <cell r="F1198">
            <v>804582</v>
          </cell>
        </row>
        <row r="1199">
          <cell r="A1199" t="str">
            <v>GSDT</v>
          </cell>
          <cell r="B1199" t="str">
            <v>OTHER PROCESSING CHARGES</v>
          </cell>
          <cell r="C1199" t="str">
            <v>IGT</v>
          </cell>
          <cell r="D1199">
            <v>0</v>
          </cell>
          <cell r="E1199">
            <v>10292806.869999999</v>
          </cell>
          <cell r="F1199">
            <v>-10292806.869999999</v>
          </cell>
        </row>
        <row r="1200">
          <cell r="A1200" t="str">
            <v>GTML</v>
          </cell>
          <cell r="B1200" t="str">
            <v>SHARE APPLICATION MONEY - TECH MAHINDRA LTD.</v>
          </cell>
          <cell r="C1200" t="str">
            <v>INVES</v>
          </cell>
          <cell r="D1200">
            <v>456248175</v>
          </cell>
          <cell r="E1200">
            <v>456248175</v>
          </cell>
          <cell r="F1200">
            <v>0</v>
          </cell>
        </row>
        <row r="1201">
          <cell r="A1201" t="str">
            <v>GTRADE</v>
          </cell>
          <cell r="B1201" t="str">
            <v>TRADING ACCOUNT</v>
          </cell>
          <cell r="C1201" t="str">
            <v>INVES</v>
          </cell>
          <cell r="D1201">
            <v>73244721.640000001</v>
          </cell>
          <cell r="E1201">
            <v>73244721.640000001</v>
          </cell>
          <cell r="F1201">
            <v>0</v>
          </cell>
        </row>
        <row r="1202">
          <cell r="A1202" t="str">
            <v>GIPOC</v>
          </cell>
          <cell r="B1202" t="str">
            <v>IPO COMMISSION RECD</v>
          </cell>
          <cell r="C1202" t="str">
            <v>IOM</v>
          </cell>
          <cell r="D1202">
            <v>0</v>
          </cell>
          <cell r="E1202">
            <v>3851.46</v>
          </cell>
          <cell r="F1202">
            <v>-3851.46</v>
          </cell>
        </row>
        <row r="1203">
          <cell r="A1203" t="str">
            <v>GI01010</v>
          </cell>
          <cell r="B1203" t="str">
            <v>POWER ACTIVATION CHARGES</v>
          </cell>
          <cell r="C1203" t="str">
            <v>IOM</v>
          </cell>
          <cell r="D1203">
            <v>29948</v>
          </cell>
          <cell r="E1203">
            <v>222188</v>
          </cell>
          <cell r="F1203">
            <v>-192240</v>
          </cell>
        </row>
        <row r="1204">
          <cell r="A1204" t="str">
            <v>IMC</v>
          </cell>
          <cell r="B1204" t="str">
            <v>ACCOUNT MAINTENANCE CHARGES</v>
          </cell>
          <cell r="C1204" t="str">
            <v>IOTHER</v>
          </cell>
          <cell r="D1204">
            <v>531086.80000000005</v>
          </cell>
          <cell r="E1204">
            <v>59301.64</v>
          </cell>
          <cell r="F1204">
            <v>471785.16000000003</v>
          </cell>
        </row>
        <row r="1205">
          <cell r="A1205" t="str">
            <v>GINTCUST</v>
          </cell>
          <cell r="B1205" t="str">
            <v>INTEREST PAYABLE ON CUSTODIAL FD</v>
          </cell>
          <cell r="C1205" t="str">
            <v>L05</v>
          </cell>
          <cell r="D1205">
            <v>12924223.779999999</v>
          </cell>
          <cell r="E1205">
            <v>0</v>
          </cell>
          <cell r="F1205">
            <v>12924223.779999999</v>
          </cell>
        </row>
        <row r="1206">
          <cell r="A1206" t="str">
            <v>GARRSA</v>
          </cell>
          <cell r="B1206" t="str">
            <v>SALARY ARREARS</v>
          </cell>
          <cell r="C1206" t="str">
            <v>L05</v>
          </cell>
          <cell r="D1206">
            <v>13236</v>
          </cell>
          <cell r="E1206">
            <v>13236</v>
          </cell>
          <cell r="F1206">
            <v>0</v>
          </cell>
        </row>
        <row r="1207">
          <cell r="A1207" t="str">
            <v>GL1048</v>
          </cell>
          <cell r="B1207" t="str">
            <v>ALLAHABAD BANK IPO</v>
          </cell>
          <cell r="C1207" t="str">
            <v>LDIV</v>
          </cell>
          <cell r="D1207">
            <v>725700</v>
          </cell>
          <cell r="E1207">
            <v>725700</v>
          </cell>
          <cell r="F1207">
            <v>0</v>
          </cell>
        </row>
        <row r="1208">
          <cell r="A1208" t="str">
            <v>GL1050</v>
          </cell>
          <cell r="B1208" t="str">
            <v>BALPHARMA RIGHT ISSUE</v>
          </cell>
          <cell r="C1208" t="str">
            <v>LDIV</v>
          </cell>
          <cell r="D1208">
            <v>13800</v>
          </cell>
          <cell r="E1208">
            <v>13800</v>
          </cell>
          <cell r="F1208">
            <v>0</v>
          </cell>
        </row>
        <row r="1209">
          <cell r="A1209" t="str">
            <v>GL1071</v>
          </cell>
          <cell r="B1209" t="str">
            <v>BHARAT FORGE LTD. WARRENT</v>
          </cell>
          <cell r="C1209" t="str">
            <v>LDIV</v>
          </cell>
          <cell r="D1209">
            <v>36207</v>
          </cell>
          <cell r="E1209">
            <v>36207</v>
          </cell>
          <cell r="F1209">
            <v>0</v>
          </cell>
        </row>
        <row r="1210">
          <cell r="A1210" t="str">
            <v>GL1112</v>
          </cell>
          <cell r="B1210" t="str">
            <v>CALL MONEY ICICI BANK LIMITED</v>
          </cell>
          <cell r="C1210" t="str">
            <v>LDIV</v>
          </cell>
          <cell r="D1210">
            <v>286260</v>
          </cell>
          <cell r="E1210">
            <v>286260</v>
          </cell>
          <cell r="F1210">
            <v>0</v>
          </cell>
        </row>
        <row r="1211">
          <cell r="A1211" t="str">
            <v>GL1119</v>
          </cell>
          <cell r="B1211" t="str">
            <v>CALL MONEY NETWORK 18 MEDIA &amp; INVESTMENTS LTD</v>
          </cell>
          <cell r="C1211" t="str">
            <v>LDIV</v>
          </cell>
          <cell r="D1211">
            <v>1079.83</v>
          </cell>
          <cell r="E1211">
            <v>1079.83</v>
          </cell>
          <cell r="F1211">
            <v>0</v>
          </cell>
        </row>
        <row r="1212">
          <cell r="A1212" t="str">
            <v>GL1113</v>
          </cell>
          <cell r="B1212" t="str">
            <v>CALL MONEY ORIENT PAPER &amp; INDUSTRIES LTD</v>
          </cell>
          <cell r="C1212" t="str">
            <v>LDIV</v>
          </cell>
          <cell r="D1212">
            <v>5400</v>
          </cell>
          <cell r="E1212">
            <v>5400</v>
          </cell>
          <cell r="F1212">
            <v>0</v>
          </cell>
        </row>
        <row r="1213">
          <cell r="A1213" t="str">
            <v>GL1031</v>
          </cell>
          <cell r="B1213" t="str">
            <v>CENTURION BANK RIGHT ISSUE</v>
          </cell>
          <cell r="C1213" t="str">
            <v>LDIV</v>
          </cell>
          <cell r="D1213">
            <v>77120</v>
          </cell>
          <cell r="E1213">
            <v>77120</v>
          </cell>
          <cell r="F1213">
            <v>0</v>
          </cell>
        </row>
        <row r="1214">
          <cell r="A1214" t="str">
            <v>GL1038</v>
          </cell>
          <cell r="B1214" t="str">
            <v>CESC RIGHT ISSUE</v>
          </cell>
          <cell r="C1214" t="str">
            <v>LDIV</v>
          </cell>
          <cell r="D1214">
            <v>3360</v>
          </cell>
          <cell r="E1214">
            <v>3360</v>
          </cell>
          <cell r="F1214">
            <v>0</v>
          </cell>
        </row>
        <row r="1215">
          <cell r="A1215" t="str">
            <v>GL1025</v>
          </cell>
          <cell r="B1215" t="str">
            <v>CHOLAMANDALAM RIGHT ISSUE</v>
          </cell>
          <cell r="C1215" t="str">
            <v>LDIV</v>
          </cell>
          <cell r="D1215">
            <v>46750</v>
          </cell>
          <cell r="E1215">
            <v>46750</v>
          </cell>
          <cell r="F1215">
            <v>0</v>
          </cell>
        </row>
        <row r="1216">
          <cell r="A1216" t="str">
            <v>GL1073</v>
          </cell>
          <cell r="B1216" t="str">
            <v>CONV. JVSL WARR</v>
          </cell>
          <cell r="C1216" t="str">
            <v>LDIV</v>
          </cell>
          <cell r="D1216">
            <v>266080</v>
          </cell>
          <cell r="E1216">
            <v>266080</v>
          </cell>
          <cell r="F1216">
            <v>0</v>
          </cell>
        </row>
        <row r="1217">
          <cell r="A1217" t="str">
            <v>GLDIVIDEND</v>
          </cell>
          <cell r="B1217" t="str">
            <v>DIVIDEND (CLIENT)</v>
          </cell>
          <cell r="C1217" t="str">
            <v>LDIV</v>
          </cell>
          <cell r="D1217">
            <v>3504062.23</v>
          </cell>
          <cell r="E1217">
            <v>3504062.23</v>
          </cell>
          <cell r="F1217">
            <v>0</v>
          </cell>
        </row>
        <row r="1218">
          <cell r="A1218" t="str">
            <v>GL01DIV</v>
          </cell>
          <cell r="B1218" t="str">
            <v>DIVIDEND PAYABLE</v>
          </cell>
          <cell r="C1218" t="str">
            <v>LDIV</v>
          </cell>
          <cell r="D1218">
            <v>173477661.41</v>
          </cell>
          <cell r="E1218">
            <v>173477661.41</v>
          </cell>
          <cell r="F1218">
            <v>0</v>
          </cell>
        </row>
        <row r="1219">
          <cell r="A1219" t="str">
            <v>GL01015</v>
          </cell>
          <cell r="B1219" t="str">
            <v>DIVIDEND PAYABLE ONLINE</v>
          </cell>
          <cell r="C1219" t="str">
            <v>LDIV</v>
          </cell>
          <cell r="D1219">
            <v>8754.24</v>
          </cell>
          <cell r="E1219">
            <v>8754.24</v>
          </cell>
          <cell r="F1219">
            <v>0</v>
          </cell>
        </row>
        <row r="1220">
          <cell r="A1220" t="str">
            <v>GI01009</v>
          </cell>
          <cell r="B1220" t="str">
            <v>FRACTIONAL SHARES A/C</v>
          </cell>
          <cell r="C1220" t="str">
            <v>LDIV</v>
          </cell>
          <cell r="D1220">
            <v>4792.45</v>
          </cell>
          <cell r="E1220">
            <v>4792.45</v>
          </cell>
          <cell r="F1220">
            <v>0</v>
          </cell>
        </row>
        <row r="1221">
          <cell r="A1221" t="str">
            <v>GL1036</v>
          </cell>
          <cell r="B1221" t="str">
            <v>GIC HOUSING FINANCE RIGHT ISSUE</v>
          </cell>
          <cell r="C1221" t="str">
            <v>LDIV</v>
          </cell>
          <cell r="D1221">
            <v>78160</v>
          </cell>
          <cell r="E1221">
            <v>78160</v>
          </cell>
          <cell r="F1221">
            <v>0</v>
          </cell>
        </row>
        <row r="1222">
          <cell r="A1222" t="str">
            <v>GL1027</v>
          </cell>
          <cell r="B1222" t="str">
            <v>ICICI BANK PARTLY PAID</v>
          </cell>
          <cell r="C1222" t="str">
            <v>LDIV</v>
          </cell>
          <cell r="D1222">
            <v>91400</v>
          </cell>
          <cell r="E1222">
            <v>91400</v>
          </cell>
          <cell r="F1222">
            <v>0</v>
          </cell>
        </row>
        <row r="1223">
          <cell r="A1223" t="str">
            <v>GAIFD</v>
          </cell>
          <cell r="B1223" t="str">
            <v>INDIABULLS FINANCIAL SERVICES DIVIDEND</v>
          </cell>
          <cell r="C1223" t="str">
            <v>LDIV</v>
          </cell>
          <cell r="D1223">
            <v>49528761.030000001</v>
          </cell>
          <cell r="E1223">
            <v>49528761.030000001</v>
          </cell>
          <cell r="F1223">
            <v>0</v>
          </cell>
        </row>
        <row r="1224">
          <cell r="A1224" t="str">
            <v>GL1044</v>
          </cell>
          <cell r="B1224" t="str">
            <v>ING VYSYA BANK RIGHT ISSUE</v>
          </cell>
          <cell r="C1224" t="str">
            <v>LDIV</v>
          </cell>
          <cell r="D1224">
            <v>2232825</v>
          </cell>
          <cell r="E1224">
            <v>2232825</v>
          </cell>
          <cell r="F1224">
            <v>0</v>
          </cell>
        </row>
        <row r="1225">
          <cell r="A1225" t="str">
            <v>GL1045</v>
          </cell>
          <cell r="B1225" t="str">
            <v>JAIPRAKASH HYDRO POWER LTD - IPO</v>
          </cell>
          <cell r="C1225" t="str">
            <v>LDIV</v>
          </cell>
          <cell r="D1225">
            <v>1286400</v>
          </cell>
          <cell r="E1225">
            <v>1286400</v>
          </cell>
          <cell r="F1225">
            <v>0</v>
          </cell>
        </row>
        <row r="1226">
          <cell r="A1226" t="str">
            <v>GL1042</v>
          </cell>
          <cell r="B1226" t="str">
            <v>KARNATAKA  BANK  RIGHT ISSUE</v>
          </cell>
          <cell r="C1226" t="str">
            <v>LDIV</v>
          </cell>
          <cell r="D1226">
            <v>1884880</v>
          </cell>
          <cell r="E1226">
            <v>1884880</v>
          </cell>
          <cell r="F1226">
            <v>0</v>
          </cell>
        </row>
        <row r="1227">
          <cell r="A1227" t="str">
            <v>GL1052</v>
          </cell>
          <cell r="B1227" t="str">
            <v>LAKSHMI VILAS BANK RIGHT ISSUE</v>
          </cell>
          <cell r="C1227" t="str">
            <v>LDIV</v>
          </cell>
          <cell r="D1227">
            <v>1075305</v>
          </cell>
          <cell r="E1227">
            <v>1075305</v>
          </cell>
          <cell r="F1227">
            <v>0</v>
          </cell>
        </row>
        <row r="1228">
          <cell r="A1228" t="str">
            <v>GL1035</v>
          </cell>
          <cell r="B1228" t="str">
            <v>MAWANA SUGAR RIGHT ISSUE</v>
          </cell>
          <cell r="C1228" t="str">
            <v>LDIV</v>
          </cell>
          <cell r="D1228">
            <v>9789</v>
          </cell>
          <cell r="E1228">
            <v>9789</v>
          </cell>
          <cell r="F1228">
            <v>0</v>
          </cell>
        </row>
        <row r="1229">
          <cell r="A1229" t="str">
            <v>GL1024</v>
          </cell>
          <cell r="B1229" t="str">
            <v>ONGC PUBLIC ISSUE PREFERENCE</v>
          </cell>
          <cell r="C1229" t="str">
            <v>LDIV</v>
          </cell>
          <cell r="D1229">
            <v>765000</v>
          </cell>
          <cell r="E1229">
            <v>765000</v>
          </cell>
          <cell r="F1229">
            <v>0</v>
          </cell>
        </row>
        <row r="1230">
          <cell r="A1230" t="str">
            <v>GL1051</v>
          </cell>
          <cell r="B1230" t="str">
            <v>OUDH SUGAR RIGHT ISSUE</v>
          </cell>
          <cell r="C1230" t="str">
            <v>LDIV</v>
          </cell>
          <cell r="D1230">
            <v>543000</v>
          </cell>
          <cell r="E1230">
            <v>543000</v>
          </cell>
          <cell r="F1230">
            <v>0</v>
          </cell>
        </row>
        <row r="1231">
          <cell r="A1231" t="str">
            <v>GL1103</v>
          </cell>
          <cell r="B1231" t="str">
            <v>RIGHT ISSUE ADITYA BIRLA NUVO</v>
          </cell>
          <cell r="C1231" t="str">
            <v>LDIV</v>
          </cell>
          <cell r="D1231">
            <v>88816</v>
          </cell>
          <cell r="E1231">
            <v>88816</v>
          </cell>
          <cell r="F1231">
            <v>0</v>
          </cell>
        </row>
        <row r="1232">
          <cell r="A1232" t="str">
            <v>GL1079</v>
          </cell>
          <cell r="B1232" t="str">
            <v>RIGHT ISSUE AGRODUTCH LTD.</v>
          </cell>
          <cell r="C1232" t="str">
            <v>LDIV</v>
          </cell>
          <cell r="D1232">
            <v>342500</v>
          </cell>
          <cell r="E1232">
            <v>342500</v>
          </cell>
          <cell r="F1232">
            <v>0</v>
          </cell>
        </row>
        <row r="1233">
          <cell r="A1233" t="str">
            <v>GL1057</v>
          </cell>
          <cell r="B1233" t="str">
            <v>RIGHT ISSUE APPAPER</v>
          </cell>
          <cell r="C1233" t="str">
            <v>LDIV</v>
          </cell>
          <cell r="D1233">
            <v>464550</v>
          </cell>
          <cell r="E1233">
            <v>464550</v>
          </cell>
          <cell r="F1233">
            <v>0</v>
          </cell>
        </row>
        <row r="1234">
          <cell r="A1234" t="str">
            <v>GL1069</v>
          </cell>
          <cell r="B1234" t="str">
            <v>RIGHT ISSUE APW</v>
          </cell>
          <cell r="C1234" t="str">
            <v>LDIV</v>
          </cell>
          <cell r="D1234">
            <v>47080</v>
          </cell>
          <cell r="E1234">
            <v>47080</v>
          </cell>
          <cell r="F1234">
            <v>0</v>
          </cell>
        </row>
        <row r="1235">
          <cell r="A1235" t="str">
            <v>GL1092</v>
          </cell>
          <cell r="B1235" t="str">
            <v>RIGHT ISSUE BHARAT GEAR LTD</v>
          </cell>
          <cell r="C1235" t="str">
            <v>LDIV</v>
          </cell>
          <cell r="D1235">
            <v>22000</v>
          </cell>
          <cell r="E1235">
            <v>22000</v>
          </cell>
          <cell r="F1235">
            <v>0</v>
          </cell>
        </row>
        <row r="1236">
          <cell r="A1236" t="str">
            <v>GL1078</v>
          </cell>
          <cell r="B1236" t="str">
            <v>RIGHT ISSUE CEAT LTD.</v>
          </cell>
          <cell r="C1236" t="str">
            <v>LDIV</v>
          </cell>
          <cell r="D1236">
            <v>3318950</v>
          </cell>
          <cell r="E1236">
            <v>3318950</v>
          </cell>
          <cell r="F1236">
            <v>0</v>
          </cell>
        </row>
        <row r="1237">
          <cell r="A1237" t="str">
            <v>GL1066</v>
          </cell>
          <cell r="B1237" t="str">
            <v>RIGHT ISSUE CENTURY EXTRUSIONS</v>
          </cell>
          <cell r="C1237" t="str">
            <v>LDIV</v>
          </cell>
          <cell r="D1237">
            <v>120035</v>
          </cell>
          <cell r="E1237">
            <v>120035</v>
          </cell>
          <cell r="F1237">
            <v>0</v>
          </cell>
        </row>
        <row r="1238">
          <cell r="A1238" t="str">
            <v>GL1063</v>
          </cell>
          <cell r="B1238" t="str">
            <v>RIGHT ISSUE COLOR CHIPS</v>
          </cell>
          <cell r="C1238" t="str">
            <v>LDIV</v>
          </cell>
          <cell r="D1238">
            <v>469087.5</v>
          </cell>
          <cell r="E1238">
            <v>469087.5</v>
          </cell>
          <cell r="F1238">
            <v>0</v>
          </cell>
        </row>
        <row r="1239">
          <cell r="A1239" t="str">
            <v>GL1091</v>
          </cell>
          <cell r="B1239" t="str">
            <v>RIGHT ISSUE DIGVIJAY CEMENT</v>
          </cell>
          <cell r="C1239" t="str">
            <v>LDIV</v>
          </cell>
          <cell r="D1239">
            <v>54400</v>
          </cell>
          <cell r="E1239">
            <v>54400</v>
          </cell>
          <cell r="F1239">
            <v>0</v>
          </cell>
        </row>
        <row r="1240">
          <cell r="A1240" t="str">
            <v>GL1076</v>
          </cell>
          <cell r="B1240" t="str">
            <v>RIGHT ISSUE DOLPHIN</v>
          </cell>
          <cell r="C1240" t="str">
            <v>LDIV</v>
          </cell>
          <cell r="D1240">
            <v>43200</v>
          </cell>
          <cell r="E1240">
            <v>43200</v>
          </cell>
          <cell r="F1240">
            <v>0</v>
          </cell>
        </row>
        <row r="1241">
          <cell r="A1241" t="str">
            <v>GL1055</v>
          </cell>
          <cell r="B1241" t="str">
            <v>RIGHT ISSUE ENNORE FOUNDRIES LTD.</v>
          </cell>
          <cell r="C1241" t="str">
            <v>LDIV</v>
          </cell>
          <cell r="D1241">
            <v>1963200</v>
          </cell>
          <cell r="E1241">
            <v>1963200</v>
          </cell>
          <cell r="F1241">
            <v>0</v>
          </cell>
        </row>
        <row r="1242">
          <cell r="A1242" t="str">
            <v>GL1116</v>
          </cell>
          <cell r="B1242" t="str">
            <v>RIGHT ISSUE EXIDE INDUSTRIES LTD</v>
          </cell>
          <cell r="C1242" t="str">
            <v>LDIV</v>
          </cell>
          <cell r="D1242">
            <v>990</v>
          </cell>
          <cell r="E1242">
            <v>990</v>
          </cell>
          <cell r="F1242">
            <v>0</v>
          </cell>
        </row>
        <row r="1243">
          <cell r="A1243" t="str">
            <v>GL1058</v>
          </cell>
          <cell r="B1243" t="str">
            <v>RIGHT ISSUE GATI LTD.</v>
          </cell>
          <cell r="C1243" t="str">
            <v>LDIV</v>
          </cell>
          <cell r="D1243">
            <v>68580</v>
          </cell>
          <cell r="E1243">
            <v>68580</v>
          </cell>
          <cell r="F1243">
            <v>0</v>
          </cell>
        </row>
        <row r="1244">
          <cell r="A1244" t="str">
            <v>GL1096</v>
          </cell>
          <cell r="B1244" t="str">
            <v>RIGHT ISSUE GRUH FINANCE</v>
          </cell>
          <cell r="C1244" t="str">
            <v>LDIV</v>
          </cell>
          <cell r="D1244">
            <v>11250</v>
          </cell>
          <cell r="E1244">
            <v>11250</v>
          </cell>
          <cell r="F1244">
            <v>0</v>
          </cell>
        </row>
        <row r="1245">
          <cell r="A1245" t="str">
            <v>GL1108</v>
          </cell>
          <cell r="B1245" t="str">
            <v>RIGHT ISSUE GTL INFRASTRUCTURE LTD.</v>
          </cell>
          <cell r="C1245" t="str">
            <v>LDIV</v>
          </cell>
          <cell r="D1245">
            <v>277890</v>
          </cell>
          <cell r="E1245">
            <v>277890</v>
          </cell>
          <cell r="F1245">
            <v>0</v>
          </cell>
        </row>
        <row r="1246">
          <cell r="A1246" t="str">
            <v>GL1074</v>
          </cell>
          <cell r="B1246" t="str">
            <v>RIGHT ISSUE HINDALCO</v>
          </cell>
          <cell r="C1246" t="str">
            <v>LDIV</v>
          </cell>
          <cell r="D1246">
            <v>2931530</v>
          </cell>
          <cell r="E1246">
            <v>2931530</v>
          </cell>
          <cell r="F1246">
            <v>0</v>
          </cell>
        </row>
        <row r="1247">
          <cell r="A1247" t="str">
            <v>GL1095</v>
          </cell>
          <cell r="B1247" t="str">
            <v>RIGHT ISSUE HINDUSTAN OIL EXP. LTD</v>
          </cell>
          <cell r="C1247" t="str">
            <v>LDIV</v>
          </cell>
          <cell r="D1247">
            <v>225340</v>
          </cell>
          <cell r="E1247">
            <v>225340</v>
          </cell>
          <cell r="F1247">
            <v>0</v>
          </cell>
        </row>
        <row r="1248">
          <cell r="A1248" t="str">
            <v>GL1114</v>
          </cell>
          <cell r="B1248" t="str">
            <v>RIGHT ISSUE HINDUSTAN OIL EXPLORATION COMPANY LTD</v>
          </cell>
          <cell r="C1248" t="str">
            <v>LDIV</v>
          </cell>
          <cell r="D1248">
            <v>15444</v>
          </cell>
          <cell r="E1248">
            <v>15444</v>
          </cell>
          <cell r="F1248">
            <v>0</v>
          </cell>
        </row>
        <row r="1249">
          <cell r="A1249" t="str">
            <v>GL1118</v>
          </cell>
          <cell r="B1249" t="str">
            <v>RIGHT ISSUE INDIAN HOTELS COMPANY LTD</v>
          </cell>
          <cell r="C1249" t="str">
            <v>LDIV</v>
          </cell>
          <cell r="D1249">
            <v>14000</v>
          </cell>
          <cell r="E1249">
            <v>14000</v>
          </cell>
          <cell r="F1249">
            <v>0</v>
          </cell>
        </row>
        <row r="1250">
          <cell r="A1250" t="str">
            <v>GL1111</v>
          </cell>
          <cell r="B1250" t="str">
            <v>RIGHT ISSUE ITD CEMENTATION INDIA LTD</v>
          </cell>
          <cell r="C1250" t="str">
            <v>LDIV</v>
          </cell>
          <cell r="D1250">
            <v>85000</v>
          </cell>
          <cell r="E1250">
            <v>85000</v>
          </cell>
          <cell r="F1250">
            <v>0</v>
          </cell>
        </row>
        <row r="1251">
          <cell r="A1251" t="str">
            <v>GL1097</v>
          </cell>
          <cell r="B1251" t="str">
            <v>RIGHT ISSUE ITD CEMENTATION LTD</v>
          </cell>
          <cell r="C1251" t="str">
            <v>LDIV</v>
          </cell>
          <cell r="D1251">
            <v>24500</v>
          </cell>
          <cell r="E1251">
            <v>24500</v>
          </cell>
          <cell r="F1251">
            <v>0</v>
          </cell>
        </row>
        <row r="1252">
          <cell r="A1252" t="str">
            <v>GL1056</v>
          </cell>
          <cell r="B1252" t="str">
            <v>RIGHT ISSUE JMC PROJECT</v>
          </cell>
          <cell r="C1252" t="str">
            <v>LDIV</v>
          </cell>
          <cell r="D1252">
            <v>1594710</v>
          </cell>
          <cell r="E1252">
            <v>1594710</v>
          </cell>
          <cell r="F1252">
            <v>0</v>
          </cell>
        </row>
        <row r="1253">
          <cell r="A1253" t="str">
            <v>GL1104</v>
          </cell>
          <cell r="B1253" t="str">
            <v>RIGHT ISSUE KARUR VYSYA BANK</v>
          </cell>
          <cell r="C1253" t="str">
            <v>LDIV</v>
          </cell>
          <cell r="D1253">
            <v>242140</v>
          </cell>
          <cell r="E1253">
            <v>242140</v>
          </cell>
          <cell r="F1253">
            <v>0</v>
          </cell>
        </row>
        <row r="1254">
          <cell r="A1254" t="str">
            <v>GL1083</v>
          </cell>
          <cell r="B1254" t="str">
            <v>RIGHT ISSUE KILBURN ENG</v>
          </cell>
          <cell r="C1254" t="str">
            <v>LDIV</v>
          </cell>
          <cell r="D1254">
            <v>5000</v>
          </cell>
          <cell r="E1254">
            <v>5000</v>
          </cell>
          <cell r="F1254">
            <v>0</v>
          </cell>
        </row>
        <row r="1255">
          <cell r="A1255" t="str">
            <v>GL1105</v>
          </cell>
          <cell r="B1255" t="str">
            <v>RIGHT ISSUE L.G BALAKRISHNAN</v>
          </cell>
          <cell r="C1255" t="str">
            <v>LDIV</v>
          </cell>
          <cell r="D1255">
            <v>1111</v>
          </cell>
          <cell r="E1255">
            <v>1111</v>
          </cell>
          <cell r="F1255">
            <v>0</v>
          </cell>
        </row>
        <row r="1256">
          <cell r="A1256" t="str">
            <v>GL1068</v>
          </cell>
          <cell r="B1256" t="str">
            <v>RIGHT ISSUE LAKSHMI PRECISION</v>
          </cell>
          <cell r="C1256" t="str">
            <v>LDIV</v>
          </cell>
          <cell r="D1256">
            <v>107500</v>
          </cell>
          <cell r="E1256">
            <v>107500</v>
          </cell>
          <cell r="F1256">
            <v>0</v>
          </cell>
        </row>
        <row r="1257">
          <cell r="A1257" t="str">
            <v>GL1102</v>
          </cell>
          <cell r="B1257" t="str">
            <v>RIGHT ISSUE LAKSHMI VILAS BANK</v>
          </cell>
          <cell r="C1257" t="str">
            <v>LDIV</v>
          </cell>
          <cell r="D1257">
            <v>142500</v>
          </cell>
          <cell r="E1257">
            <v>142500</v>
          </cell>
          <cell r="F1257">
            <v>0</v>
          </cell>
        </row>
        <row r="1258">
          <cell r="A1258" t="str">
            <v>GL1115</v>
          </cell>
          <cell r="B1258" t="str">
            <v>RIGHT ISSUE NANDAN EXIM LIMITED</v>
          </cell>
          <cell r="C1258" t="str">
            <v>LDIV</v>
          </cell>
          <cell r="D1258">
            <v>489750</v>
          </cell>
          <cell r="E1258">
            <v>489750</v>
          </cell>
          <cell r="F1258">
            <v>0</v>
          </cell>
        </row>
        <row r="1259">
          <cell r="A1259" t="str">
            <v>GL1086</v>
          </cell>
          <cell r="B1259" t="str">
            <v>RIGHT ISSUE NCL INDUSTRIES LTD.</v>
          </cell>
          <cell r="C1259" t="str">
            <v>LDIV</v>
          </cell>
          <cell r="D1259">
            <v>34560</v>
          </cell>
          <cell r="E1259">
            <v>34560</v>
          </cell>
          <cell r="F1259">
            <v>0</v>
          </cell>
        </row>
        <row r="1260">
          <cell r="A1260" t="str">
            <v>GL1098</v>
          </cell>
          <cell r="B1260" t="str">
            <v>RIGHT ISSUE OCL INDIA LTD</v>
          </cell>
          <cell r="C1260" t="str">
            <v>LDIV</v>
          </cell>
          <cell r="D1260">
            <v>69480</v>
          </cell>
          <cell r="E1260">
            <v>69480</v>
          </cell>
          <cell r="F1260">
            <v>0</v>
          </cell>
        </row>
        <row r="1261">
          <cell r="A1261" t="str">
            <v>GL1053</v>
          </cell>
          <cell r="B1261" t="str">
            <v>RIGHT ISSUE OF BATA INDIA</v>
          </cell>
          <cell r="C1261" t="str">
            <v>LDIV</v>
          </cell>
          <cell r="D1261">
            <v>4081096</v>
          </cell>
          <cell r="E1261">
            <v>4081096</v>
          </cell>
          <cell r="F1261">
            <v>0</v>
          </cell>
        </row>
        <row r="1262">
          <cell r="A1262" t="str">
            <v>GL1060</v>
          </cell>
          <cell r="B1262" t="str">
            <v>RIGHT ISSUE OF G.V FILM</v>
          </cell>
          <cell r="C1262" t="str">
            <v>LDIV</v>
          </cell>
          <cell r="D1262">
            <v>3757997</v>
          </cell>
          <cell r="E1262">
            <v>3757997</v>
          </cell>
          <cell r="F1262">
            <v>0</v>
          </cell>
        </row>
        <row r="1263">
          <cell r="A1263" t="str">
            <v>GL1059</v>
          </cell>
          <cell r="B1263" t="str">
            <v>RIGHT ISSUE OF NICHOLAS PIRAMAL</v>
          </cell>
          <cell r="C1263" t="str">
            <v>LDIV</v>
          </cell>
          <cell r="D1263">
            <v>1284425</v>
          </cell>
          <cell r="E1263">
            <v>1284425</v>
          </cell>
          <cell r="F1263">
            <v>0</v>
          </cell>
        </row>
        <row r="1264">
          <cell r="A1264" t="str">
            <v>GL1107</v>
          </cell>
          <cell r="B1264" t="str">
            <v>RIGHT ISSUE ORIENT PAPER &amp; INDUSTRIES LTD.</v>
          </cell>
          <cell r="C1264" t="str">
            <v>LDIV</v>
          </cell>
          <cell r="D1264">
            <v>10800</v>
          </cell>
          <cell r="E1264">
            <v>10800</v>
          </cell>
          <cell r="F1264">
            <v>0</v>
          </cell>
        </row>
        <row r="1265">
          <cell r="A1265" t="str">
            <v>GL1080</v>
          </cell>
          <cell r="B1265" t="str">
            <v>RIGHT ISSUE PANTALOON RETAIL</v>
          </cell>
          <cell r="C1265" t="str">
            <v>LDIV</v>
          </cell>
          <cell r="D1265">
            <v>100500</v>
          </cell>
          <cell r="E1265">
            <v>100500</v>
          </cell>
          <cell r="F1265">
            <v>0</v>
          </cell>
        </row>
        <row r="1266">
          <cell r="A1266" t="str">
            <v>GL1077</v>
          </cell>
          <cell r="B1266" t="str">
            <v>RIGHT ISSUE PRIYADARSHINI SPINNING</v>
          </cell>
          <cell r="C1266" t="str">
            <v>LDIV</v>
          </cell>
          <cell r="D1266">
            <v>7750</v>
          </cell>
          <cell r="E1266">
            <v>7750</v>
          </cell>
          <cell r="F1266">
            <v>0</v>
          </cell>
        </row>
        <row r="1267">
          <cell r="A1267" t="str">
            <v>GL1075</v>
          </cell>
          <cell r="B1267" t="str">
            <v>RIGHT ISSUE RAMCO</v>
          </cell>
          <cell r="C1267" t="str">
            <v>LDIV</v>
          </cell>
          <cell r="D1267">
            <v>191100</v>
          </cell>
          <cell r="E1267">
            <v>191100</v>
          </cell>
          <cell r="F1267">
            <v>0</v>
          </cell>
        </row>
        <row r="1268">
          <cell r="A1268" t="str">
            <v>GL1065</v>
          </cell>
          <cell r="B1268" t="str">
            <v>RIGHT ISSUE SIMBHAOLI SUGAR</v>
          </cell>
          <cell r="C1268" t="str">
            <v>LDIV</v>
          </cell>
          <cell r="D1268">
            <v>1555200</v>
          </cell>
          <cell r="E1268">
            <v>1555200</v>
          </cell>
          <cell r="F1268">
            <v>0</v>
          </cell>
        </row>
        <row r="1269">
          <cell r="A1269" t="str">
            <v>GL1067</v>
          </cell>
          <cell r="B1269" t="str">
            <v>RIGHT ISSUE SPSL</v>
          </cell>
          <cell r="C1269" t="str">
            <v>LDIV</v>
          </cell>
          <cell r="D1269">
            <v>1432480</v>
          </cell>
          <cell r="E1269">
            <v>1432480</v>
          </cell>
          <cell r="F1269">
            <v>0</v>
          </cell>
        </row>
        <row r="1270">
          <cell r="A1270" t="str">
            <v>GL1117</v>
          </cell>
          <cell r="B1270" t="str">
            <v>RIGHT ISSUE STATE BANK OF INDIA</v>
          </cell>
          <cell r="C1270" t="str">
            <v>LDIV</v>
          </cell>
          <cell r="D1270">
            <v>98580</v>
          </cell>
          <cell r="E1270">
            <v>98580</v>
          </cell>
          <cell r="F1270">
            <v>0</v>
          </cell>
        </row>
        <row r="1271">
          <cell r="A1271" t="str">
            <v>GL1072</v>
          </cell>
          <cell r="B1271" t="str">
            <v>RIGHT ISSUE SWIL LTD.</v>
          </cell>
          <cell r="C1271" t="str">
            <v>LDIV</v>
          </cell>
          <cell r="D1271">
            <v>76440</v>
          </cell>
          <cell r="E1271">
            <v>76440</v>
          </cell>
          <cell r="F1271">
            <v>0</v>
          </cell>
        </row>
        <row r="1272">
          <cell r="A1272" t="str">
            <v>GL1100</v>
          </cell>
          <cell r="B1272" t="str">
            <v>RIGHT ISSUE TATA COFFEE</v>
          </cell>
          <cell r="C1272" t="str">
            <v>LDIV</v>
          </cell>
          <cell r="D1272">
            <v>10000</v>
          </cell>
          <cell r="E1272">
            <v>10000</v>
          </cell>
          <cell r="F1272">
            <v>0</v>
          </cell>
        </row>
        <row r="1273">
          <cell r="A1273" t="str">
            <v>GL1109</v>
          </cell>
          <cell r="B1273" t="str">
            <v>RIGHT ISSUE TATA STEEL LIMITED EQUITY</v>
          </cell>
          <cell r="C1273" t="str">
            <v>LDIV</v>
          </cell>
          <cell r="D1273">
            <v>142200</v>
          </cell>
          <cell r="E1273">
            <v>142200</v>
          </cell>
          <cell r="F1273">
            <v>0</v>
          </cell>
        </row>
        <row r="1274">
          <cell r="A1274" t="str">
            <v>GL1110</v>
          </cell>
          <cell r="B1274" t="str">
            <v>RIGHT ISSUE TATA STEEL PREFERENCE</v>
          </cell>
          <cell r="C1274" t="str">
            <v>LDIV</v>
          </cell>
          <cell r="D1274">
            <v>94500</v>
          </cell>
          <cell r="E1274">
            <v>94500</v>
          </cell>
          <cell r="F1274">
            <v>0</v>
          </cell>
        </row>
        <row r="1275">
          <cell r="A1275" t="str">
            <v>GL1101</v>
          </cell>
          <cell r="B1275" t="str">
            <v>RIGHT ISSUE TATA TELESERVICES LTD</v>
          </cell>
          <cell r="C1275" t="str">
            <v>LDIV</v>
          </cell>
          <cell r="D1275">
            <v>15623</v>
          </cell>
          <cell r="E1275">
            <v>15623</v>
          </cell>
          <cell r="F1275">
            <v>0</v>
          </cell>
        </row>
        <row r="1276">
          <cell r="A1276" t="str">
            <v>GL1085</v>
          </cell>
          <cell r="B1276" t="str">
            <v>RIGHT ISSUE TITAN INDUSTRIES</v>
          </cell>
          <cell r="C1276" t="str">
            <v>LDIV</v>
          </cell>
          <cell r="D1276">
            <v>333000</v>
          </cell>
          <cell r="E1276">
            <v>333000</v>
          </cell>
          <cell r="F1276">
            <v>0</v>
          </cell>
        </row>
        <row r="1277">
          <cell r="A1277" t="str">
            <v>GL1106</v>
          </cell>
          <cell r="B1277" t="str">
            <v>RIGHT ISSUE TRENT LTD</v>
          </cell>
          <cell r="C1277" t="str">
            <v>LDIV</v>
          </cell>
          <cell r="D1277">
            <v>39000</v>
          </cell>
          <cell r="E1277">
            <v>39000</v>
          </cell>
          <cell r="F1277">
            <v>0</v>
          </cell>
        </row>
        <row r="1278">
          <cell r="A1278" t="str">
            <v>GL1093</v>
          </cell>
          <cell r="B1278" t="str">
            <v>RIGHT ISSUE UPPER GANGES</v>
          </cell>
          <cell r="C1278" t="str">
            <v>LDIV</v>
          </cell>
          <cell r="D1278">
            <v>1500</v>
          </cell>
          <cell r="E1278">
            <v>1500</v>
          </cell>
          <cell r="F1278">
            <v>0</v>
          </cell>
        </row>
        <row r="1279">
          <cell r="A1279" t="str">
            <v>GL1064</v>
          </cell>
          <cell r="B1279" t="str">
            <v>RIGHT SHAW WALL DISTILLERIES</v>
          </cell>
          <cell r="C1279" t="str">
            <v>LDIV</v>
          </cell>
          <cell r="D1279">
            <v>5000</v>
          </cell>
          <cell r="E1279">
            <v>5000</v>
          </cell>
          <cell r="F1279">
            <v>0</v>
          </cell>
        </row>
        <row r="1280">
          <cell r="A1280" t="str">
            <v>GL1046</v>
          </cell>
          <cell r="B1280" t="str">
            <v>SAREGAMA INDIA LTD - RIGHT ISSUE</v>
          </cell>
          <cell r="C1280" t="str">
            <v>LDIV</v>
          </cell>
          <cell r="D1280">
            <v>551160</v>
          </cell>
          <cell r="E1280">
            <v>551160</v>
          </cell>
          <cell r="F1280">
            <v>0</v>
          </cell>
        </row>
        <row r="1281">
          <cell r="A1281" t="str">
            <v>GL1041</v>
          </cell>
          <cell r="B1281" t="str">
            <v>SCHENECTADY HERDILLIA RIGHT ISSUE</v>
          </cell>
          <cell r="C1281" t="str">
            <v>LDIV</v>
          </cell>
          <cell r="D1281">
            <v>3164</v>
          </cell>
          <cell r="E1281">
            <v>3164</v>
          </cell>
          <cell r="F1281">
            <v>0</v>
          </cell>
        </row>
        <row r="1282">
          <cell r="A1282" t="str">
            <v>GL1049</v>
          </cell>
          <cell r="B1282" t="str">
            <v>SIRPUR PAPER RIGHT ISSUE</v>
          </cell>
          <cell r="C1282" t="str">
            <v>LDIV</v>
          </cell>
          <cell r="D1282">
            <v>193482</v>
          </cell>
          <cell r="E1282">
            <v>193482</v>
          </cell>
          <cell r="F1282">
            <v>0</v>
          </cell>
        </row>
        <row r="1283">
          <cell r="A1283" t="str">
            <v>GL1047</v>
          </cell>
          <cell r="B1283" t="str">
            <v>SOUTH IRON - RIGHT ISSUE</v>
          </cell>
          <cell r="C1283" t="str">
            <v>LDIV</v>
          </cell>
          <cell r="D1283">
            <v>61013780</v>
          </cell>
          <cell r="E1283">
            <v>61013780</v>
          </cell>
          <cell r="F1283">
            <v>0</v>
          </cell>
        </row>
        <row r="1284">
          <cell r="A1284" t="str">
            <v>GL1054</v>
          </cell>
          <cell r="B1284" t="str">
            <v>TRENT RIGHT ISSUE</v>
          </cell>
          <cell r="C1284" t="str">
            <v>LDIV</v>
          </cell>
          <cell r="D1284">
            <v>522000</v>
          </cell>
          <cell r="E1284">
            <v>522000</v>
          </cell>
          <cell r="F1284">
            <v>0</v>
          </cell>
        </row>
        <row r="1285">
          <cell r="A1285" t="str">
            <v>GL1040</v>
          </cell>
          <cell r="B1285" t="str">
            <v>VARUN SHIPPING RIGHTS ISSUE</v>
          </cell>
          <cell r="C1285" t="str">
            <v>LDIV</v>
          </cell>
          <cell r="D1285">
            <v>1013400</v>
          </cell>
          <cell r="E1285">
            <v>1013400</v>
          </cell>
          <cell r="F1285">
            <v>0</v>
          </cell>
        </row>
        <row r="1286">
          <cell r="A1286" t="str">
            <v>GAIP8</v>
          </cell>
          <cell r="B1286" t="str">
            <v>INTEREST PAYABLE ABN AMRO</v>
          </cell>
          <cell r="C1286" t="str">
            <v>LIP</v>
          </cell>
          <cell r="D1286">
            <v>89671.81</v>
          </cell>
          <cell r="E1286">
            <v>89671.81</v>
          </cell>
          <cell r="F1286">
            <v>0</v>
          </cell>
        </row>
        <row r="1287">
          <cell r="A1287" t="str">
            <v>GAIP1</v>
          </cell>
          <cell r="B1287" t="str">
            <v>INTEREST PAYABLE CITI BAN</v>
          </cell>
          <cell r="C1287" t="str">
            <v>LIP</v>
          </cell>
          <cell r="D1287">
            <v>434250.06</v>
          </cell>
          <cell r="E1287">
            <v>434250.06</v>
          </cell>
          <cell r="F1287">
            <v>0</v>
          </cell>
        </row>
        <row r="1288">
          <cell r="A1288" t="str">
            <v>GAIP9</v>
          </cell>
          <cell r="B1288" t="str">
            <v>INTEREST PAYABLE FCNR</v>
          </cell>
          <cell r="C1288" t="str">
            <v>LIP</v>
          </cell>
          <cell r="D1288">
            <v>44062.59</v>
          </cell>
          <cell r="E1288">
            <v>44062.59</v>
          </cell>
          <cell r="F1288">
            <v>0</v>
          </cell>
        </row>
        <row r="1289">
          <cell r="A1289" t="str">
            <v>GAIP2</v>
          </cell>
          <cell r="B1289" t="str">
            <v>INTEREST PAYABLE HDFC</v>
          </cell>
          <cell r="C1289" t="str">
            <v>LIP</v>
          </cell>
          <cell r="D1289">
            <v>3139516.41</v>
          </cell>
          <cell r="E1289">
            <v>3139516.41</v>
          </cell>
          <cell r="F1289">
            <v>0</v>
          </cell>
        </row>
        <row r="1290">
          <cell r="A1290" t="str">
            <v>GAIP11</v>
          </cell>
          <cell r="B1290" t="str">
            <v>INTEREST PAYABLE HSBC</v>
          </cell>
          <cell r="C1290" t="str">
            <v>LIP</v>
          </cell>
          <cell r="D1290">
            <v>4383.5600000000004</v>
          </cell>
          <cell r="E1290">
            <v>4383.5600000000004</v>
          </cell>
          <cell r="F1290">
            <v>0</v>
          </cell>
        </row>
        <row r="1291">
          <cell r="A1291" t="str">
            <v>GAIP3</v>
          </cell>
          <cell r="B1291" t="str">
            <v>INTEREST PAYABLE HSBC</v>
          </cell>
          <cell r="C1291" t="str">
            <v>LIP</v>
          </cell>
          <cell r="D1291">
            <v>182635.53</v>
          </cell>
          <cell r="E1291">
            <v>182635.53</v>
          </cell>
          <cell r="F1291">
            <v>0</v>
          </cell>
        </row>
        <row r="1292">
          <cell r="A1292" t="str">
            <v>GAIP5</v>
          </cell>
          <cell r="B1292" t="str">
            <v>INTEREST PAYABLE ICICI</v>
          </cell>
          <cell r="C1292" t="str">
            <v>LIP</v>
          </cell>
          <cell r="D1292">
            <v>442272.66</v>
          </cell>
          <cell r="E1292">
            <v>442272.66</v>
          </cell>
          <cell r="F1292">
            <v>0</v>
          </cell>
        </row>
        <row r="1293">
          <cell r="A1293" t="str">
            <v>GAIP4</v>
          </cell>
          <cell r="B1293" t="str">
            <v>INTEREST PAYABLE ILFS</v>
          </cell>
          <cell r="C1293" t="str">
            <v>LIP</v>
          </cell>
          <cell r="D1293">
            <v>27801.37</v>
          </cell>
          <cell r="E1293">
            <v>27801.37</v>
          </cell>
          <cell r="F1293">
            <v>0</v>
          </cell>
        </row>
        <row r="1294">
          <cell r="A1294" t="str">
            <v>GAIP6</v>
          </cell>
          <cell r="B1294" t="str">
            <v>INTEREST PAYABLE ON STAND</v>
          </cell>
          <cell r="C1294" t="str">
            <v>LIP</v>
          </cell>
          <cell r="D1294">
            <v>27.73</v>
          </cell>
          <cell r="E1294">
            <v>27.73</v>
          </cell>
          <cell r="F1294">
            <v>0</v>
          </cell>
        </row>
        <row r="1295">
          <cell r="A1295" t="str">
            <v>GAIP10</v>
          </cell>
          <cell r="B1295" t="str">
            <v>INTEREST PAYABLE(LORD KRISHNA BANK)</v>
          </cell>
          <cell r="C1295" t="str">
            <v>LIP</v>
          </cell>
          <cell r="D1295">
            <v>32862.639999999999</v>
          </cell>
          <cell r="E1295">
            <v>32862.639999999999</v>
          </cell>
          <cell r="F1295">
            <v>0</v>
          </cell>
        </row>
        <row r="1296">
          <cell r="A1296" t="str">
            <v>GADCM</v>
          </cell>
          <cell r="B1296" t="str">
            <v>CASH MARGAIN FROM CLIENT</v>
          </cell>
          <cell r="C1296" t="str">
            <v>LMAR</v>
          </cell>
          <cell r="D1296">
            <v>3205000</v>
          </cell>
          <cell r="E1296">
            <v>7460000</v>
          </cell>
          <cell r="F1296">
            <v>-4255000</v>
          </cell>
        </row>
        <row r="1297">
          <cell r="A1297" t="str">
            <v>GA0383</v>
          </cell>
          <cell r="B1297" t="str">
            <v>DEPOSIT RECEIVED FROM CLIENTS</v>
          </cell>
          <cell r="C1297" t="str">
            <v>LMAR</v>
          </cell>
          <cell r="D1297">
            <v>400000</v>
          </cell>
          <cell r="E1297">
            <v>6000000</v>
          </cell>
          <cell r="F1297">
            <v>-5600000</v>
          </cell>
        </row>
        <row r="1298">
          <cell r="A1298" t="str">
            <v>GA06002</v>
          </cell>
          <cell r="B1298" t="str">
            <v>F&amp;O MARGIN (INDIABULLS)</v>
          </cell>
          <cell r="C1298" t="str">
            <v>LMAR</v>
          </cell>
          <cell r="D1298">
            <v>1636.45</v>
          </cell>
          <cell r="E1298">
            <v>1636.45</v>
          </cell>
          <cell r="F1298">
            <v>0</v>
          </cell>
        </row>
        <row r="1299">
          <cell r="A1299" t="str">
            <v>GLMRG</v>
          </cell>
          <cell r="B1299" t="str">
            <v>MARGIN ACCOUNT</v>
          </cell>
          <cell r="C1299" t="str">
            <v>LMAR</v>
          </cell>
          <cell r="D1299">
            <v>142293342.31999999</v>
          </cell>
          <cell r="E1299">
            <v>142293342.31999999</v>
          </cell>
          <cell r="F1299">
            <v>0</v>
          </cell>
        </row>
        <row r="1300">
          <cell r="A1300" t="str">
            <v>GL01MAR</v>
          </cell>
          <cell r="B1300" t="str">
            <v>MARGIN FROM CLIENTS</v>
          </cell>
          <cell r="C1300" t="str">
            <v>LMAR</v>
          </cell>
          <cell r="D1300">
            <v>0</v>
          </cell>
          <cell r="E1300">
            <v>11000</v>
          </cell>
          <cell r="F1300">
            <v>-11000</v>
          </cell>
        </row>
        <row r="1301">
          <cell r="A1301" t="str">
            <v>GA0090</v>
          </cell>
          <cell r="B1301" t="str">
            <v>AUDIT FEES PAYABLE</v>
          </cell>
          <cell r="C1301" t="str">
            <v>LOLIAB</v>
          </cell>
          <cell r="D1301">
            <v>2914250</v>
          </cell>
          <cell r="E1301">
            <v>2914250</v>
          </cell>
          <cell r="F1301">
            <v>0</v>
          </cell>
        </row>
        <row r="1302">
          <cell r="A1302" t="str">
            <v>GIBPL</v>
          </cell>
          <cell r="B1302" t="str">
            <v>BOOKS&amp; PERIODICAL PAYABLE</v>
          </cell>
          <cell r="C1302" t="str">
            <v>LOLIAB</v>
          </cell>
          <cell r="D1302">
            <v>3390.5</v>
          </cell>
          <cell r="E1302">
            <v>3390.5</v>
          </cell>
          <cell r="F1302">
            <v>0</v>
          </cell>
        </row>
        <row r="1303">
          <cell r="A1303" t="str">
            <v>GLFRACTION</v>
          </cell>
          <cell r="B1303" t="str">
            <v>CA FRACTION (CLIENT) PAYABLE</v>
          </cell>
          <cell r="C1303" t="str">
            <v>LOLIAB</v>
          </cell>
          <cell r="D1303">
            <v>95133.45</v>
          </cell>
          <cell r="E1303">
            <v>95133.45</v>
          </cell>
          <cell r="F1303">
            <v>0</v>
          </cell>
        </row>
        <row r="1304">
          <cell r="A1304" t="str">
            <v>GCDSTAX</v>
          </cell>
          <cell r="B1304" t="str">
            <v>CDS SERVICE TAX</v>
          </cell>
          <cell r="C1304" t="str">
            <v>LOLIAB</v>
          </cell>
          <cell r="D1304">
            <v>127690</v>
          </cell>
          <cell r="E1304">
            <v>150995.29999999999</v>
          </cell>
          <cell r="F1304">
            <v>-23305.299999999988</v>
          </cell>
        </row>
        <row r="1305">
          <cell r="A1305" t="str">
            <v>GCSTAX</v>
          </cell>
          <cell r="B1305" t="str">
            <v>CDSL SERVICE TAX</v>
          </cell>
          <cell r="C1305" t="str">
            <v>LOLIAB</v>
          </cell>
          <cell r="D1305">
            <v>5493084</v>
          </cell>
          <cell r="E1305">
            <v>5492908.1500000004</v>
          </cell>
          <cell r="F1305">
            <v>175.84999999962747</v>
          </cell>
        </row>
        <row r="1306">
          <cell r="A1306" t="str">
            <v>GI04002</v>
          </cell>
          <cell r="B1306" t="str">
            <v>CH CLEARED IN BANK</v>
          </cell>
          <cell r="C1306" t="str">
            <v>LOLIAB</v>
          </cell>
          <cell r="D1306">
            <v>207658042.68000001</v>
          </cell>
          <cell r="E1306">
            <v>210330894.69</v>
          </cell>
          <cell r="F1306">
            <v>-2672852.0099999905</v>
          </cell>
        </row>
        <row r="1307">
          <cell r="A1307" t="str">
            <v>GI04003</v>
          </cell>
          <cell r="B1307" t="str">
            <v>CHEQUE CLEARED IN BANK</v>
          </cell>
          <cell r="C1307" t="str">
            <v>LOLIAB</v>
          </cell>
          <cell r="D1307">
            <v>28725496.199999999</v>
          </cell>
          <cell r="E1307">
            <v>28819206.199999999</v>
          </cell>
          <cell r="F1307">
            <v>-93710</v>
          </cell>
        </row>
        <row r="1308">
          <cell r="A1308" t="str">
            <v>GI04006</v>
          </cell>
          <cell r="B1308" t="str">
            <v>CHQ CLEARED IN BANK (SUSPENSE-ONLINE)</v>
          </cell>
          <cell r="C1308" t="str">
            <v>LOLIAB</v>
          </cell>
          <cell r="D1308">
            <v>336225.9</v>
          </cell>
          <cell r="E1308">
            <v>707563.02</v>
          </cell>
          <cell r="F1308">
            <v>-371337.12</v>
          </cell>
        </row>
        <row r="1309">
          <cell r="A1309" t="str">
            <v>GCTC</v>
          </cell>
          <cell r="B1309" t="str">
            <v>CLIENT TO CLIENT AUCTION</v>
          </cell>
          <cell r="C1309" t="str">
            <v>LOLIAB</v>
          </cell>
          <cell r="D1309">
            <v>50000</v>
          </cell>
          <cell r="E1309">
            <v>6874003.3499999996</v>
          </cell>
          <cell r="F1309">
            <v>-6824003.3499999996</v>
          </cell>
        </row>
        <row r="1310">
          <cell r="A1310" t="str">
            <v>GA0359</v>
          </cell>
          <cell r="B1310" t="str">
            <v>COMM ON BROKERAGE PAYABLE</v>
          </cell>
          <cell r="C1310" t="str">
            <v>LOLIAB</v>
          </cell>
          <cell r="D1310">
            <v>5286468.5</v>
          </cell>
          <cell r="E1310">
            <v>5286468.5</v>
          </cell>
          <cell r="F1310">
            <v>0</v>
          </cell>
        </row>
        <row r="1311">
          <cell r="A1311" t="str">
            <v>GLCP01</v>
          </cell>
          <cell r="B1311" t="str">
            <v>COMMISSION PAYABLE (SECURITIES)</v>
          </cell>
          <cell r="C1311" t="str">
            <v>LOLIAB</v>
          </cell>
          <cell r="D1311">
            <v>0</v>
          </cell>
          <cell r="E1311">
            <v>18156.12</v>
          </cell>
          <cell r="F1311">
            <v>-18156.12</v>
          </cell>
        </row>
        <row r="1312">
          <cell r="A1312" t="str">
            <v>GA0016</v>
          </cell>
          <cell r="B1312" t="str">
            <v>CONSULTANCY CHARGES PAYABLE</v>
          </cell>
          <cell r="C1312" t="str">
            <v>LOLIAB</v>
          </cell>
          <cell r="D1312">
            <v>50000</v>
          </cell>
          <cell r="E1312">
            <v>50000</v>
          </cell>
          <cell r="F1312">
            <v>0</v>
          </cell>
        </row>
        <row r="1313">
          <cell r="A1313" t="str">
            <v>GICVL</v>
          </cell>
          <cell r="B1313" t="str">
            <v>CONVEYANCE EXPENSES PAYABLE</v>
          </cell>
          <cell r="C1313" t="str">
            <v>LOLIAB</v>
          </cell>
          <cell r="D1313">
            <v>13744</v>
          </cell>
          <cell r="E1313">
            <v>13744</v>
          </cell>
          <cell r="F1313">
            <v>0</v>
          </cell>
        </row>
        <row r="1314">
          <cell r="A1314" t="str">
            <v>GIDMP</v>
          </cell>
          <cell r="B1314" t="str">
            <v>D MAT CHARGES PAYABLE</v>
          </cell>
          <cell r="C1314" t="str">
            <v>LOLIAB</v>
          </cell>
          <cell r="D1314">
            <v>91589</v>
          </cell>
          <cell r="E1314">
            <v>91589</v>
          </cell>
          <cell r="F1314">
            <v>0</v>
          </cell>
        </row>
        <row r="1315">
          <cell r="A1315" t="str">
            <v>GA1011</v>
          </cell>
          <cell r="B1315" t="str">
            <v>DIRECTOR REMUNERATION PAYABLE</v>
          </cell>
          <cell r="C1315" t="str">
            <v>LOLIAB</v>
          </cell>
          <cell r="D1315">
            <v>11641032</v>
          </cell>
          <cell r="E1315">
            <v>11641032</v>
          </cell>
          <cell r="F1315">
            <v>0</v>
          </cell>
        </row>
        <row r="1316">
          <cell r="A1316" t="str">
            <v>GA0290</v>
          </cell>
          <cell r="B1316" t="str">
            <v>DYNAMIC WEB TECHNOLOGIES</v>
          </cell>
          <cell r="C1316" t="str">
            <v>LOLIAB</v>
          </cell>
          <cell r="D1316">
            <v>12100</v>
          </cell>
          <cell r="E1316">
            <v>12100</v>
          </cell>
          <cell r="F1316">
            <v>0</v>
          </cell>
        </row>
        <row r="1317">
          <cell r="A1317" t="str">
            <v>GA0356A</v>
          </cell>
          <cell r="B1317" t="str">
            <v>ELECTRICITY EXP PAYABLE</v>
          </cell>
          <cell r="C1317" t="str">
            <v>LOLIAB</v>
          </cell>
          <cell r="D1317">
            <v>544538</v>
          </cell>
          <cell r="E1317">
            <v>544538</v>
          </cell>
          <cell r="F1317">
            <v>0</v>
          </cell>
        </row>
        <row r="1318">
          <cell r="A1318" t="str">
            <v>GA0041</v>
          </cell>
          <cell r="B1318" t="str">
            <v>EXPENSES PAYABLE</v>
          </cell>
          <cell r="C1318" t="str">
            <v>LOLIAB</v>
          </cell>
          <cell r="D1318">
            <v>4994.8900000000003</v>
          </cell>
          <cell r="E1318">
            <v>4994.8900000000003</v>
          </cell>
          <cell r="F1318">
            <v>0</v>
          </cell>
        </row>
        <row r="1319">
          <cell r="A1319" t="str">
            <v>GLERP</v>
          </cell>
          <cell r="B1319" t="str">
            <v>EXPENSES REIMBURSEMENT PAYABLE</v>
          </cell>
          <cell r="C1319" t="str">
            <v>LOLIAB</v>
          </cell>
          <cell r="D1319">
            <v>2344526</v>
          </cell>
          <cell r="E1319">
            <v>2344526</v>
          </cell>
          <cell r="F1319">
            <v>0</v>
          </cell>
        </row>
        <row r="1320">
          <cell r="A1320" t="str">
            <v>GA0380</v>
          </cell>
          <cell r="B1320" t="str">
            <v>INCENTIVE ONLINE PAYABLE</v>
          </cell>
          <cell r="C1320" t="str">
            <v>LOLIAB</v>
          </cell>
          <cell r="D1320">
            <v>15000</v>
          </cell>
          <cell r="E1320">
            <v>15000</v>
          </cell>
          <cell r="F1320">
            <v>0</v>
          </cell>
        </row>
        <row r="1321">
          <cell r="A1321" t="str">
            <v>GLEAI</v>
          </cell>
          <cell r="B1321" t="str">
            <v>INCOME EQUITY ANALYSIS ADVANCE</v>
          </cell>
          <cell r="C1321" t="str">
            <v>LOLIAB</v>
          </cell>
          <cell r="D1321">
            <v>107150</v>
          </cell>
          <cell r="E1321">
            <v>107150</v>
          </cell>
          <cell r="F1321">
            <v>0</v>
          </cell>
        </row>
        <row r="1322">
          <cell r="A1322" t="str">
            <v>GCDP</v>
          </cell>
          <cell r="B1322" t="str">
            <v>INDIABULLS DP</v>
          </cell>
          <cell r="C1322" t="str">
            <v>LOLIAB</v>
          </cell>
          <cell r="D1322">
            <v>312222748.17000002</v>
          </cell>
          <cell r="E1322">
            <v>162034202.93000001</v>
          </cell>
          <cell r="F1322">
            <v>150188545.24000001</v>
          </cell>
        </row>
        <row r="1323">
          <cell r="A1323" t="str">
            <v>GIFCPL</v>
          </cell>
          <cell r="B1323" t="str">
            <v>INDIABULLS FINANCE COMPANY PRIVATE LIMITED</v>
          </cell>
          <cell r="C1323" t="str">
            <v>LOLIAB</v>
          </cell>
          <cell r="D1323">
            <v>66298</v>
          </cell>
          <cell r="E1323">
            <v>66298</v>
          </cell>
          <cell r="F1323">
            <v>0</v>
          </cell>
        </row>
        <row r="1324">
          <cell r="A1324" t="str">
            <v>GIIBW</v>
          </cell>
          <cell r="B1324" t="str">
            <v>INTERNET BAND WIDTH COST PAYABLE</v>
          </cell>
          <cell r="C1324" t="str">
            <v>LOLIAB</v>
          </cell>
          <cell r="D1324">
            <v>806</v>
          </cell>
          <cell r="E1324">
            <v>806</v>
          </cell>
          <cell r="F1324">
            <v>0</v>
          </cell>
        </row>
        <row r="1325">
          <cell r="A1325" t="str">
            <v>GJANA</v>
          </cell>
          <cell r="B1325" t="str">
            <v>JANAK DWARKADAS</v>
          </cell>
          <cell r="C1325" t="str">
            <v>LOLIAB</v>
          </cell>
          <cell r="D1325">
            <v>106189</v>
          </cell>
          <cell r="E1325">
            <v>106189</v>
          </cell>
          <cell r="F1325">
            <v>0</v>
          </cell>
        </row>
        <row r="1326">
          <cell r="A1326" t="str">
            <v>GLMD</v>
          </cell>
          <cell r="B1326" t="str">
            <v>MANOHARMMA HOTEL INVESTMENT PVT. LTD. DIVIDEND SUNTV</v>
          </cell>
          <cell r="C1326" t="str">
            <v>LOLIAB</v>
          </cell>
          <cell r="D1326">
            <v>0</v>
          </cell>
          <cell r="E1326">
            <v>59108</v>
          </cell>
          <cell r="F1326">
            <v>-59108</v>
          </cell>
        </row>
        <row r="1327">
          <cell r="A1327" t="str">
            <v>GIMBL</v>
          </cell>
          <cell r="B1327" t="str">
            <v>MOBILE EXPENSES PAYABLE</v>
          </cell>
          <cell r="C1327" t="str">
            <v>LOLIAB</v>
          </cell>
          <cell r="D1327">
            <v>900000</v>
          </cell>
          <cell r="E1327">
            <v>900000</v>
          </cell>
          <cell r="F1327">
            <v>0</v>
          </cell>
        </row>
        <row r="1328">
          <cell r="A1328" t="str">
            <v>GNSTAX</v>
          </cell>
          <cell r="B1328" t="str">
            <v>NSDL SERVICE TAX</v>
          </cell>
          <cell r="C1328" t="str">
            <v>LOLIAB</v>
          </cell>
          <cell r="D1328">
            <v>2942729</v>
          </cell>
          <cell r="E1328">
            <v>2942616.17</v>
          </cell>
          <cell r="F1328">
            <v>112.83000000007451</v>
          </cell>
        </row>
        <row r="1329">
          <cell r="A1329" t="str">
            <v>GL01050</v>
          </cell>
          <cell r="B1329" t="str">
            <v>NSE PENALTY CHARGES PAYAB</v>
          </cell>
          <cell r="C1329" t="str">
            <v>LOLIAB</v>
          </cell>
          <cell r="D1329">
            <v>8966355.8499999996</v>
          </cell>
          <cell r="E1329">
            <v>9006324.2100000009</v>
          </cell>
          <cell r="F1329">
            <v>-39968.360000001267</v>
          </cell>
        </row>
        <row r="1330">
          <cell r="A1330" t="str">
            <v>GIOFL</v>
          </cell>
          <cell r="B1330" t="str">
            <v>OFFICE MAITENANCE PAYABLE</v>
          </cell>
          <cell r="C1330" t="str">
            <v>LOLIAB</v>
          </cell>
          <cell r="D1330">
            <v>16858</v>
          </cell>
          <cell r="E1330">
            <v>16858</v>
          </cell>
          <cell r="F1330">
            <v>0</v>
          </cell>
        </row>
        <row r="1331">
          <cell r="A1331" t="str">
            <v>GLIAB</v>
          </cell>
          <cell r="B1331" t="str">
            <v>OTHER LIABILITIES</v>
          </cell>
          <cell r="C1331" t="str">
            <v>LOLIAB</v>
          </cell>
          <cell r="D1331">
            <v>683467.72</v>
          </cell>
          <cell r="E1331">
            <v>11555013.76</v>
          </cell>
          <cell r="F1331">
            <v>-10871546.039999999</v>
          </cell>
        </row>
        <row r="1332">
          <cell r="A1332" t="str">
            <v>GLS003</v>
          </cell>
          <cell r="B1332" t="str">
            <v>OTHER PROCESSING CHARGES</v>
          </cell>
          <cell r="C1332" t="str">
            <v>LOLIAB</v>
          </cell>
          <cell r="D1332">
            <v>10858979.52</v>
          </cell>
          <cell r="E1332">
            <v>10858979.52</v>
          </cell>
          <cell r="F1332">
            <v>0</v>
          </cell>
        </row>
        <row r="1333">
          <cell r="A1333" t="str">
            <v>GIPCL</v>
          </cell>
          <cell r="B1333" t="str">
            <v>POSTAGE &amp; COURIER PAYABLE</v>
          </cell>
          <cell r="C1333" t="str">
            <v>LOLIAB</v>
          </cell>
          <cell r="D1333">
            <v>321689</v>
          </cell>
          <cell r="E1333">
            <v>321689</v>
          </cell>
          <cell r="F1333">
            <v>0</v>
          </cell>
        </row>
        <row r="1334">
          <cell r="A1334" t="str">
            <v>GIPSL</v>
          </cell>
          <cell r="B1334" t="str">
            <v>PRINTING &amp; STATIONERY  PAYABLE</v>
          </cell>
          <cell r="C1334" t="str">
            <v>LOLIAB</v>
          </cell>
          <cell r="D1334">
            <v>348636</v>
          </cell>
          <cell r="E1334">
            <v>348636</v>
          </cell>
          <cell r="F1334">
            <v>0</v>
          </cell>
        </row>
        <row r="1335">
          <cell r="A1335" t="str">
            <v>GA0011</v>
          </cell>
          <cell r="B1335" t="str">
            <v>PROFESSIONAL CHARGES PAYA</v>
          </cell>
          <cell r="C1335" t="str">
            <v>LOLIAB</v>
          </cell>
          <cell r="D1335">
            <v>408495</v>
          </cell>
          <cell r="E1335">
            <v>1092270.47</v>
          </cell>
          <cell r="F1335">
            <v>-683775.47</v>
          </cell>
        </row>
        <row r="1336">
          <cell r="A1336" t="str">
            <v>GLIPO</v>
          </cell>
          <cell r="B1336" t="str">
            <v>REFUND RECEIVED ON PUBLIC ISSUE</v>
          </cell>
          <cell r="C1336" t="str">
            <v>LOLIAB</v>
          </cell>
          <cell r="D1336">
            <v>1237782</v>
          </cell>
          <cell r="E1336">
            <v>1481002.75</v>
          </cell>
          <cell r="F1336">
            <v>-243220.75</v>
          </cell>
        </row>
        <row r="1337">
          <cell r="A1337" t="str">
            <v>GIRML</v>
          </cell>
          <cell r="B1337" t="str">
            <v>REPAIR &amp; MAINTENANCE PAYABLE</v>
          </cell>
          <cell r="C1337" t="str">
            <v>LOLIAB</v>
          </cell>
          <cell r="D1337">
            <v>108185</v>
          </cell>
          <cell r="E1337">
            <v>108185</v>
          </cell>
          <cell r="F1337">
            <v>0</v>
          </cell>
        </row>
        <row r="1338">
          <cell r="A1338" t="str">
            <v>GASAP</v>
          </cell>
          <cell r="B1338" t="str">
            <v>SACHIN ARORA  (DP)</v>
          </cell>
          <cell r="C1338" t="str">
            <v>LOLIAB</v>
          </cell>
          <cell r="D1338">
            <v>1707715</v>
          </cell>
          <cell r="E1338">
            <v>1707715</v>
          </cell>
          <cell r="F1338">
            <v>0</v>
          </cell>
        </row>
        <row r="1339">
          <cell r="A1339" t="str">
            <v>GL05021</v>
          </cell>
          <cell r="B1339" t="str">
            <v>SALARY PAYABLE</v>
          </cell>
          <cell r="C1339" t="str">
            <v>LOLIAB</v>
          </cell>
          <cell r="D1339">
            <v>13236</v>
          </cell>
          <cell r="E1339">
            <v>13236</v>
          </cell>
          <cell r="F1339">
            <v>0</v>
          </cell>
        </row>
        <row r="1340">
          <cell r="A1340" t="str">
            <v>GATAX</v>
          </cell>
          <cell r="B1340" t="str">
            <v>SERVICE  TAX  ADVISORY</v>
          </cell>
          <cell r="C1340" t="str">
            <v>LOLIAB</v>
          </cell>
          <cell r="D1340">
            <v>51500</v>
          </cell>
          <cell r="E1340">
            <v>51500</v>
          </cell>
          <cell r="F1340">
            <v>0</v>
          </cell>
        </row>
        <row r="1341">
          <cell r="A1341" t="str">
            <v>GA0013</v>
          </cell>
          <cell r="B1341" t="str">
            <v>SERVICE CHARGES (C) PAYABLE</v>
          </cell>
          <cell r="C1341" t="str">
            <v>LOLIAB</v>
          </cell>
          <cell r="D1341">
            <v>32247072</v>
          </cell>
          <cell r="E1341">
            <v>32247072</v>
          </cell>
          <cell r="F1341">
            <v>0</v>
          </cell>
        </row>
        <row r="1342">
          <cell r="A1342" t="str">
            <v>GSTAX</v>
          </cell>
          <cell r="B1342" t="str">
            <v>SERVICE TAX</v>
          </cell>
          <cell r="C1342" t="str">
            <v>LOLIAB</v>
          </cell>
          <cell r="D1342">
            <v>1024493810.01</v>
          </cell>
          <cell r="E1342">
            <v>1032986199.45</v>
          </cell>
          <cell r="F1342">
            <v>-8492389.4400000572</v>
          </cell>
        </row>
        <row r="1343">
          <cell r="A1343" t="str">
            <v>GL01DEP</v>
          </cell>
          <cell r="B1343" t="str">
            <v>SERVICE TAX - DEPOSITORY</v>
          </cell>
          <cell r="C1343" t="str">
            <v>LOLIAB</v>
          </cell>
          <cell r="D1343">
            <v>80</v>
          </cell>
          <cell r="E1343">
            <v>80</v>
          </cell>
          <cell r="F1343">
            <v>0</v>
          </cell>
        </row>
        <row r="1344">
          <cell r="A1344" t="str">
            <v>GSSTAX</v>
          </cell>
          <cell r="B1344" t="str">
            <v>SERVICE TAX - SLBS</v>
          </cell>
          <cell r="C1344" t="str">
            <v>LOLIAB</v>
          </cell>
          <cell r="D1344">
            <v>0.12</v>
          </cell>
          <cell r="E1344">
            <v>0.12</v>
          </cell>
          <cell r="F1344">
            <v>0</v>
          </cell>
        </row>
        <row r="1345">
          <cell r="A1345" t="str">
            <v>GBSTAX</v>
          </cell>
          <cell r="B1345" t="str">
            <v>SERVICE TAX BSE</v>
          </cell>
          <cell r="C1345" t="str">
            <v>LOLIAB</v>
          </cell>
          <cell r="D1345">
            <v>486511</v>
          </cell>
          <cell r="E1345">
            <v>675583.1</v>
          </cell>
          <cell r="F1345">
            <v>-189072.09999999998</v>
          </cell>
        </row>
        <row r="1346">
          <cell r="A1346" t="str">
            <v>GFSTAX</v>
          </cell>
          <cell r="B1346" t="str">
            <v>SERVICE TAX F&amp;O</v>
          </cell>
          <cell r="C1346" t="str">
            <v>LOLIAB</v>
          </cell>
          <cell r="D1346">
            <v>7456397</v>
          </cell>
          <cell r="E1346">
            <v>10178064.560000001</v>
          </cell>
          <cell r="F1346">
            <v>-2721667.5600000005</v>
          </cell>
        </row>
        <row r="1347">
          <cell r="A1347" t="str">
            <v>GSTAXMP</v>
          </cell>
          <cell r="B1347" t="str">
            <v>SERVICE TAX ON MANPOWER DEPLOYMENT</v>
          </cell>
          <cell r="C1347" t="str">
            <v>LOLIAB</v>
          </cell>
          <cell r="D1347">
            <v>19384586</v>
          </cell>
          <cell r="E1347">
            <v>3450088</v>
          </cell>
          <cell r="F1347">
            <v>15934498</v>
          </cell>
        </row>
        <row r="1348">
          <cell r="A1348" t="str">
            <v>GRSTAX</v>
          </cell>
          <cell r="B1348" t="str">
            <v>SERVICE TAX ON RENT</v>
          </cell>
          <cell r="C1348" t="str">
            <v>LOLIAB</v>
          </cell>
          <cell r="D1348">
            <v>1900930</v>
          </cell>
          <cell r="E1348">
            <v>0</v>
          </cell>
          <cell r="F1348">
            <v>1900930</v>
          </cell>
        </row>
        <row r="1349">
          <cell r="A1349" t="str">
            <v>GSTAXS</v>
          </cell>
          <cell r="B1349" t="str">
            <v>SERVICE TAX ON SCHEME CHARGES</v>
          </cell>
          <cell r="C1349" t="str">
            <v>LOLIAB</v>
          </cell>
          <cell r="D1349">
            <v>158499</v>
          </cell>
          <cell r="E1349">
            <v>178601.85</v>
          </cell>
          <cell r="F1349">
            <v>-20102.850000000006</v>
          </cell>
        </row>
        <row r="1350">
          <cell r="A1350" t="str">
            <v>GSTAXT</v>
          </cell>
          <cell r="B1350" t="str">
            <v>SERVICE TAX PAYABLE (TXN CHARGES)</v>
          </cell>
          <cell r="C1350" t="str">
            <v>LOLIAB</v>
          </cell>
          <cell r="D1350">
            <v>19644651.43</v>
          </cell>
          <cell r="E1350">
            <v>19644652.43</v>
          </cell>
          <cell r="F1350">
            <v>-1</v>
          </cell>
        </row>
        <row r="1351">
          <cell r="A1351" t="str">
            <v>GAOCST</v>
          </cell>
          <cell r="B1351" t="str">
            <v>SERVICE TAX PAYABLE - ACCOUNT OPENING</v>
          </cell>
          <cell r="C1351" t="str">
            <v>LOLIAB</v>
          </cell>
          <cell r="D1351">
            <v>16088.5</v>
          </cell>
          <cell r="E1351">
            <v>22374</v>
          </cell>
          <cell r="F1351">
            <v>-6285.5</v>
          </cell>
        </row>
        <row r="1352">
          <cell r="A1352" t="str">
            <v>GISTAX</v>
          </cell>
          <cell r="B1352" t="str">
            <v>SERVICE TAX PAYABLE - INSTITUTIONAL</v>
          </cell>
          <cell r="C1352" t="str">
            <v>LOLIAB</v>
          </cell>
          <cell r="D1352">
            <v>5440002.3099999996</v>
          </cell>
          <cell r="E1352">
            <v>5440002.3099999996</v>
          </cell>
          <cell r="F1352">
            <v>0</v>
          </cell>
        </row>
        <row r="1353">
          <cell r="A1353" t="str">
            <v>GL01001</v>
          </cell>
          <cell r="B1353" t="str">
            <v>SERVICE TAX PAYABLE A/C.</v>
          </cell>
          <cell r="C1353" t="str">
            <v>LOLIAB</v>
          </cell>
          <cell r="D1353">
            <v>2321034219.8000002</v>
          </cell>
          <cell r="E1353">
            <v>2320527714.8499999</v>
          </cell>
          <cell r="F1353">
            <v>506504.9500002861</v>
          </cell>
        </row>
        <row r="1354">
          <cell r="A1354" t="str">
            <v>GSTAXFDB</v>
          </cell>
          <cell r="B1354" t="str">
            <v>SERVICE TAX PAYABLE ON FD BROKERAGE</v>
          </cell>
          <cell r="C1354" t="str">
            <v>LOLIAB</v>
          </cell>
          <cell r="D1354">
            <v>8106.46</v>
          </cell>
          <cell r="E1354">
            <v>8106.46</v>
          </cell>
          <cell r="F1354">
            <v>0</v>
          </cell>
        </row>
        <row r="1355">
          <cell r="A1355" t="str">
            <v>GSTAXO</v>
          </cell>
          <cell r="B1355" t="str">
            <v>SERVICE TAX PAYABLE OTHER</v>
          </cell>
          <cell r="C1355" t="str">
            <v>LOLIAB</v>
          </cell>
          <cell r="D1355">
            <v>32341</v>
          </cell>
          <cell r="E1355">
            <v>40838</v>
          </cell>
          <cell r="F1355">
            <v>-8497</v>
          </cell>
        </row>
        <row r="1356">
          <cell r="A1356" t="str">
            <v>GSERTP</v>
          </cell>
          <cell r="B1356" t="str">
            <v>SERVICE TAX PAYABLE WDM</v>
          </cell>
          <cell r="C1356" t="str">
            <v>LOLIAB</v>
          </cell>
          <cell r="D1356">
            <v>115139.1</v>
          </cell>
          <cell r="E1356">
            <v>115139.1</v>
          </cell>
          <cell r="F1356">
            <v>0</v>
          </cell>
        </row>
        <row r="1357">
          <cell r="A1357" t="str">
            <v>GSTRC</v>
          </cell>
          <cell r="B1357" t="str">
            <v>SERVICE TAX REFUND CLAIM</v>
          </cell>
          <cell r="C1357" t="str">
            <v>LOLIAB</v>
          </cell>
          <cell r="D1357">
            <v>71870</v>
          </cell>
          <cell r="E1357">
            <v>348337583.43000001</v>
          </cell>
          <cell r="F1357">
            <v>-348265713.43000001</v>
          </cell>
        </row>
        <row r="1358">
          <cell r="A1358" t="str">
            <v>GISWL</v>
          </cell>
          <cell r="B1358" t="str">
            <v>STAFF WELFARE PAYABLE</v>
          </cell>
          <cell r="C1358" t="str">
            <v>LOLIAB</v>
          </cell>
          <cell r="D1358">
            <v>51560</v>
          </cell>
          <cell r="E1358">
            <v>51560</v>
          </cell>
          <cell r="F1358">
            <v>0</v>
          </cell>
        </row>
        <row r="1359">
          <cell r="A1359" t="str">
            <v>GL00121</v>
          </cell>
          <cell r="B1359" t="str">
            <v>STALE CHEQUE ACCOUNT</v>
          </cell>
          <cell r="C1359" t="str">
            <v>LOLIAB</v>
          </cell>
          <cell r="D1359">
            <v>166453907.06</v>
          </cell>
          <cell r="E1359">
            <v>198451855.88999999</v>
          </cell>
          <cell r="F1359">
            <v>-31997948.829999983</v>
          </cell>
        </row>
        <row r="1360">
          <cell r="A1360" t="str">
            <v>GIBSUS</v>
          </cell>
          <cell r="B1360" t="str">
            <v>SUPENSE 640</v>
          </cell>
          <cell r="C1360" t="str">
            <v>LOLIAB</v>
          </cell>
          <cell r="D1360">
            <v>1269173.8600000001</v>
          </cell>
          <cell r="E1360">
            <v>1269173.8600000001</v>
          </cell>
          <cell r="F1360">
            <v>0</v>
          </cell>
        </row>
        <row r="1361">
          <cell r="A1361" t="str">
            <v>GE01041</v>
          </cell>
          <cell r="B1361" t="str">
            <v>SUSPENSE</v>
          </cell>
          <cell r="C1361" t="str">
            <v>LOLIAB</v>
          </cell>
          <cell r="D1361">
            <v>200</v>
          </cell>
          <cell r="E1361">
            <v>200</v>
          </cell>
          <cell r="F1361">
            <v>0</v>
          </cell>
        </row>
        <row r="1362">
          <cell r="A1362" t="str">
            <v>GA0308</v>
          </cell>
          <cell r="B1362" t="str">
            <v>T.P.S.MIGLANI LOAN A/C</v>
          </cell>
          <cell r="C1362" t="str">
            <v>LOLIAB</v>
          </cell>
          <cell r="D1362">
            <v>64984</v>
          </cell>
          <cell r="E1362">
            <v>64984</v>
          </cell>
          <cell r="F1362">
            <v>0</v>
          </cell>
        </row>
        <row r="1363">
          <cell r="A1363" t="str">
            <v>GA080D</v>
          </cell>
          <cell r="B1363" t="str">
            <v>TDS PAYABLE (CONTRACTOR)</v>
          </cell>
          <cell r="C1363" t="str">
            <v>LOLIAB</v>
          </cell>
          <cell r="D1363">
            <v>2876119.43</v>
          </cell>
          <cell r="E1363">
            <v>2876119.43</v>
          </cell>
          <cell r="F1363">
            <v>0</v>
          </cell>
        </row>
        <row r="1364">
          <cell r="A1364" t="str">
            <v>GA080B</v>
          </cell>
          <cell r="B1364" t="str">
            <v>TDS PAYABLE (RENT)</v>
          </cell>
          <cell r="C1364" t="str">
            <v>LOLIAB</v>
          </cell>
          <cell r="D1364">
            <v>4309604.0599999996</v>
          </cell>
          <cell r="E1364">
            <v>4309604.0599999996</v>
          </cell>
          <cell r="F1364">
            <v>0</v>
          </cell>
        </row>
        <row r="1365">
          <cell r="A1365" t="str">
            <v>GA080E</v>
          </cell>
          <cell r="B1365" t="str">
            <v>TDS PAYABLE COMMISSION</v>
          </cell>
          <cell r="C1365" t="str">
            <v>LOLIAB</v>
          </cell>
          <cell r="D1365">
            <v>14345111.199999999</v>
          </cell>
          <cell r="E1365">
            <v>14345111.199999999</v>
          </cell>
          <cell r="F1365">
            <v>0</v>
          </cell>
        </row>
        <row r="1366">
          <cell r="A1366" t="str">
            <v>GL01011</v>
          </cell>
          <cell r="B1366" t="str">
            <v>TELEPHONE EXPENSES PAYABL</v>
          </cell>
          <cell r="C1366" t="str">
            <v>LOLIAB</v>
          </cell>
          <cell r="D1366">
            <v>350000</v>
          </cell>
          <cell r="E1366">
            <v>350000</v>
          </cell>
          <cell r="F1366">
            <v>0</v>
          </cell>
        </row>
        <row r="1367">
          <cell r="A1367" t="str">
            <v>GTRANP</v>
          </cell>
          <cell r="B1367" t="str">
            <v>TRANSACTION CHARGES PAYABLE</v>
          </cell>
          <cell r="C1367" t="str">
            <v>LOLIAB</v>
          </cell>
          <cell r="D1367">
            <v>14647032.35</v>
          </cell>
          <cell r="E1367">
            <v>14647032.35</v>
          </cell>
          <cell r="F1367">
            <v>0</v>
          </cell>
        </row>
        <row r="1368">
          <cell r="A1368" t="str">
            <v>GITVL</v>
          </cell>
          <cell r="B1368" t="str">
            <v>TRAVELLING EXPENSES PAYABLE</v>
          </cell>
          <cell r="C1368" t="str">
            <v>LOLIAB</v>
          </cell>
          <cell r="D1368">
            <v>340000</v>
          </cell>
          <cell r="E1368">
            <v>340000</v>
          </cell>
          <cell r="F1368">
            <v>0</v>
          </cell>
        </row>
        <row r="1369">
          <cell r="A1369" t="str">
            <v>GL01025</v>
          </cell>
          <cell r="B1369" t="str">
            <v>TURNOVER TAX</v>
          </cell>
          <cell r="C1369" t="str">
            <v>LOLIAB</v>
          </cell>
          <cell r="D1369">
            <v>55349381.560000002</v>
          </cell>
          <cell r="E1369">
            <v>55375726.649999999</v>
          </cell>
          <cell r="F1369">
            <v>-26345.089999996126</v>
          </cell>
        </row>
        <row r="1370">
          <cell r="A1370" t="str">
            <v>GA00013</v>
          </cell>
          <cell r="B1370" t="str">
            <v>UNPAID SALARY</v>
          </cell>
          <cell r="C1370" t="str">
            <v>LOLIAB</v>
          </cell>
          <cell r="D1370">
            <v>657630.80000000005</v>
          </cell>
          <cell r="E1370">
            <v>657630.80000000005</v>
          </cell>
          <cell r="F1370">
            <v>0</v>
          </cell>
        </row>
        <row r="1371">
          <cell r="A1371" t="str">
            <v>GA0385</v>
          </cell>
          <cell r="B1371" t="str">
            <v>VSAT CHARGES PAYABLE</v>
          </cell>
          <cell r="C1371" t="str">
            <v>LOLIAB</v>
          </cell>
          <cell r="D1371">
            <v>6485617.8200000003</v>
          </cell>
          <cell r="E1371">
            <v>6485617.8200000003</v>
          </cell>
          <cell r="F1371">
            <v>0</v>
          </cell>
        </row>
        <row r="1372">
          <cell r="A1372" t="str">
            <v>GL01023</v>
          </cell>
          <cell r="B1372" t="str">
            <v>WEBHOSTING CHARGES PAYABLE</v>
          </cell>
          <cell r="C1372" t="str">
            <v>LOLIAB</v>
          </cell>
          <cell r="D1372">
            <v>281990</v>
          </cell>
          <cell r="E1372">
            <v>281990</v>
          </cell>
          <cell r="F1372">
            <v>0</v>
          </cell>
        </row>
        <row r="1373">
          <cell r="A1373" t="str">
            <v>GASKU</v>
          </cell>
          <cell r="B1373" t="str">
            <v xml:space="preserve"> ASHOK KUMAR AGRA</v>
          </cell>
          <cell r="C1373" t="str">
            <v>LSCRED</v>
          </cell>
          <cell r="D1373">
            <v>6444</v>
          </cell>
          <cell r="E1373">
            <v>6444</v>
          </cell>
          <cell r="F1373">
            <v>0</v>
          </cell>
        </row>
        <row r="1374">
          <cell r="A1374" t="str">
            <v>GJVPA</v>
          </cell>
          <cell r="B1374" t="str">
            <v xml:space="preserve"> J.V.PATEL</v>
          </cell>
          <cell r="C1374" t="str">
            <v>LSCRED</v>
          </cell>
          <cell r="D1374">
            <v>6676</v>
          </cell>
          <cell r="E1374">
            <v>6676</v>
          </cell>
          <cell r="F1374">
            <v>0</v>
          </cell>
        </row>
        <row r="1375">
          <cell r="A1375" t="str">
            <v>GNARC</v>
          </cell>
          <cell r="B1375" t="str">
            <v xml:space="preserve"> NARANG CONSTRUCTIONS &amp; FINANCIERS PVT LTD</v>
          </cell>
          <cell r="C1375" t="str">
            <v>LSCRED</v>
          </cell>
          <cell r="D1375">
            <v>22651</v>
          </cell>
          <cell r="E1375">
            <v>22651</v>
          </cell>
          <cell r="F1375">
            <v>0</v>
          </cell>
        </row>
        <row r="1376">
          <cell r="A1376" t="str">
            <v>GNESE</v>
          </cell>
          <cell r="B1376" t="str">
            <v xml:space="preserve"> NEELU SETH</v>
          </cell>
          <cell r="C1376" t="str">
            <v>LSCRED</v>
          </cell>
          <cell r="D1376">
            <v>13515</v>
          </cell>
          <cell r="E1376">
            <v>13515</v>
          </cell>
          <cell r="F1376">
            <v>0</v>
          </cell>
        </row>
        <row r="1377">
          <cell r="A1377" t="str">
            <v>GTRDE</v>
          </cell>
          <cell r="B1377" t="str">
            <v xml:space="preserve"> S G TRADERS</v>
          </cell>
          <cell r="C1377" t="str">
            <v>LSCRED</v>
          </cell>
          <cell r="D1377">
            <v>5185</v>
          </cell>
          <cell r="E1377">
            <v>5185</v>
          </cell>
          <cell r="F1377">
            <v>0</v>
          </cell>
        </row>
        <row r="1378">
          <cell r="A1378" t="str">
            <v>GSUDI</v>
          </cell>
          <cell r="B1378" t="str">
            <v xml:space="preserve"> SUDHIR KUMAR VERMA</v>
          </cell>
          <cell r="C1378" t="str">
            <v>LSCRED</v>
          </cell>
          <cell r="D1378">
            <v>171453</v>
          </cell>
          <cell r="E1378">
            <v>171453</v>
          </cell>
          <cell r="F1378">
            <v>0</v>
          </cell>
        </row>
        <row r="1379">
          <cell r="A1379" t="str">
            <v>GASMA</v>
          </cell>
          <cell r="B1379" t="str">
            <v>A S MANJUNATH SADASIVAM</v>
          </cell>
          <cell r="C1379" t="str">
            <v>LSCRED</v>
          </cell>
          <cell r="D1379">
            <v>2863</v>
          </cell>
          <cell r="E1379">
            <v>2863</v>
          </cell>
          <cell r="F1379">
            <v>0</v>
          </cell>
        </row>
        <row r="1380">
          <cell r="A1380" t="str">
            <v>GASUB</v>
          </cell>
          <cell r="B1380" t="str">
            <v>A. SUBRAMANIAN</v>
          </cell>
          <cell r="C1380" t="str">
            <v>LSCRED</v>
          </cell>
          <cell r="D1380">
            <v>13440</v>
          </cell>
          <cell r="E1380">
            <v>13440</v>
          </cell>
          <cell r="F1380">
            <v>0</v>
          </cell>
        </row>
        <row r="1381">
          <cell r="A1381" t="str">
            <v>GAVEN</v>
          </cell>
          <cell r="B1381" t="str">
            <v>A. VENKATESAN</v>
          </cell>
          <cell r="C1381" t="str">
            <v>LSCRED</v>
          </cell>
          <cell r="D1381">
            <v>80100</v>
          </cell>
          <cell r="E1381">
            <v>80100</v>
          </cell>
          <cell r="F1381">
            <v>0</v>
          </cell>
        </row>
        <row r="1382">
          <cell r="A1382" t="str">
            <v>GADGU</v>
          </cell>
          <cell r="B1382" t="str">
            <v>A.D. GUPTA</v>
          </cell>
          <cell r="C1382" t="str">
            <v>LSCRED</v>
          </cell>
          <cell r="D1382">
            <v>40000</v>
          </cell>
          <cell r="E1382">
            <v>40000</v>
          </cell>
          <cell r="F1382">
            <v>0</v>
          </cell>
        </row>
        <row r="1383">
          <cell r="A1383" t="str">
            <v>GABJO</v>
          </cell>
          <cell r="B1383" t="str">
            <v>AB JOBSMART</v>
          </cell>
          <cell r="C1383" t="str">
            <v>LSCRED</v>
          </cell>
          <cell r="D1383">
            <v>842</v>
          </cell>
          <cell r="E1383">
            <v>842</v>
          </cell>
          <cell r="F1383">
            <v>0</v>
          </cell>
        </row>
        <row r="1384">
          <cell r="A1384" t="str">
            <v>GABDU</v>
          </cell>
          <cell r="B1384" t="str">
            <v>ABDUL WAHEED</v>
          </cell>
          <cell r="C1384" t="str">
            <v>LSCRED</v>
          </cell>
          <cell r="D1384">
            <v>104588</v>
          </cell>
          <cell r="E1384">
            <v>104588</v>
          </cell>
          <cell r="F1384">
            <v>0</v>
          </cell>
        </row>
        <row r="1385">
          <cell r="A1385" t="str">
            <v>GABDK</v>
          </cell>
          <cell r="B1385" t="str">
            <v>ABDUSHUKUR</v>
          </cell>
          <cell r="C1385" t="str">
            <v>LSCRED</v>
          </cell>
          <cell r="D1385">
            <v>20700</v>
          </cell>
          <cell r="E1385">
            <v>20700</v>
          </cell>
          <cell r="F1385">
            <v>0</v>
          </cell>
        </row>
        <row r="1386">
          <cell r="A1386" t="str">
            <v>GABHV</v>
          </cell>
          <cell r="B1386" t="str">
            <v>ABHIMANYU VINAYAK</v>
          </cell>
          <cell r="C1386" t="str">
            <v>LSCRED</v>
          </cell>
          <cell r="D1386">
            <v>22164</v>
          </cell>
          <cell r="E1386">
            <v>22164</v>
          </cell>
          <cell r="F1386">
            <v>0</v>
          </cell>
        </row>
        <row r="1387">
          <cell r="A1387" t="str">
            <v>GABAR</v>
          </cell>
          <cell r="B1387" t="str">
            <v>ABHINAV ARORA</v>
          </cell>
          <cell r="C1387" t="str">
            <v>LSCRED</v>
          </cell>
          <cell r="D1387">
            <v>25092</v>
          </cell>
          <cell r="E1387">
            <v>25092</v>
          </cell>
          <cell r="F1387">
            <v>0</v>
          </cell>
        </row>
        <row r="1388">
          <cell r="A1388" t="str">
            <v>GA0175</v>
          </cell>
          <cell r="B1388" t="str">
            <v>AD PRINTS</v>
          </cell>
          <cell r="C1388" t="str">
            <v>LSCRED</v>
          </cell>
          <cell r="D1388">
            <v>50873</v>
          </cell>
          <cell r="E1388">
            <v>50873</v>
          </cell>
          <cell r="F1388">
            <v>0</v>
          </cell>
        </row>
        <row r="1389">
          <cell r="A1389" t="str">
            <v>GADEC</v>
          </cell>
          <cell r="B1389" t="str">
            <v>ADECCO PEOPLEONE INDIA LTD.</v>
          </cell>
          <cell r="C1389" t="str">
            <v>LSCRED</v>
          </cell>
          <cell r="D1389">
            <v>1000</v>
          </cell>
          <cell r="E1389">
            <v>1000</v>
          </cell>
          <cell r="F1389">
            <v>0</v>
          </cell>
        </row>
        <row r="1390">
          <cell r="A1390" t="str">
            <v>GADIT</v>
          </cell>
          <cell r="B1390" t="str">
            <v>ADITYA ENTERPRISES</v>
          </cell>
          <cell r="C1390" t="str">
            <v>LSCRED</v>
          </cell>
          <cell r="D1390">
            <v>35</v>
          </cell>
          <cell r="E1390">
            <v>35</v>
          </cell>
          <cell r="F1390">
            <v>0</v>
          </cell>
        </row>
        <row r="1391">
          <cell r="A1391" t="str">
            <v>GADVI</v>
          </cell>
          <cell r="B1391" t="str">
            <v>ADVAITH MOTORS PVT LTD</v>
          </cell>
          <cell r="C1391" t="str">
            <v>LSCRED</v>
          </cell>
          <cell r="D1391">
            <v>46487</v>
          </cell>
          <cell r="E1391">
            <v>46487</v>
          </cell>
          <cell r="F1391">
            <v>0</v>
          </cell>
        </row>
        <row r="1392">
          <cell r="A1392" t="str">
            <v>GADYAP</v>
          </cell>
          <cell r="B1392" t="str">
            <v>ADYA PRASAD MISHRA</v>
          </cell>
          <cell r="C1392" t="str">
            <v>LSCRED</v>
          </cell>
          <cell r="D1392">
            <v>54450</v>
          </cell>
          <cell r="E1392">
            <v>54450</v>
          </cell>
          <cell r="F1392">
            <v>0</v>
          </cell>
        </row>
        <row r="1393">
          <cell r="A1393" t="str">
            <v>GAFFI</v>
          </cell>
          <cell r="B1393" t="str">
            <v>AFFINITY TRAVEL SOLUTIONS</v>
          </cell>
          <cell r="C1393" t="str">
            <v>LSCRED</v>
          </cell>
          <cell r="D1393">
            <v>76945</v>
          </cell>
          <cell r="E1393">
            <v>76945</v>
          </cell>
          <cell r="F1393">
            <v>0</v>
          </cell>
        </row>
        <row r="1394">
          <cell r="A1394" t="str">
            <v>GARCO</v>
          </cell>
          <cell r="B1394" t="str">
            <v>AIRCON</v>
          </cell>
          <cell r="C1394" t="str">
            <v>LSCRED</v>
          </cell>
          <cell r="D1394">
            <v>3030</v>
          </cell>
          <cell r="E1394">
            <v>3030</v>
          </cell>
          <cell r="F1394">
            <v>0</v>
          </cell>
        </row>
        <row r="1395">
          <cell r="A1395" t="str">
            <v>GAJCH</v>
          </cell>
          <cell r="B1395" t="str">
            <v>AJAY CHOUHAN</v>
          </cell>
          <cell r="C1395" t="str">
            <v>LSCRED</v>
          </cell>
          <cell r="D1395">
            <v>49829</v>
          </cell>
          <cell r="E1395">
            <v>49829</v>
          </cell>
          <cell r="F1395">
            <v>0</v>
          </cell>
        </row>
        <row r="1396">
          <cell r="A1396" t="str">
            <v>GAJGA</v>
          </cell>
          <cell r="B1396" t="str">
            <v>AJAY GARG</v>
          </cell>
          <cell r="C1396" t="str">
            <v>LSCRED</v>
          </cell>
          <cell r="D1396">
            <v>3870</v>
          </cell>
          <cell r="E1396">
            <v>3870</v>
          </cell>
          <cell r="F1396">
            <v>0</v>
          </cell>
        </row>
        <row r="1397">
          <cell r="A1397" t="str">
            <v>GAJAYG</v>
          </cell>
          <cell r="B1397" t="str">
            <v>AJAY GUPTA</v>
          </cell>
          <cell r="C1397" t="str">
            <v>LSCRED</v>
          </cell>
          <cell r="D1397">
            <v>1320</v>
          </cell>
          <cell r="E1397">
            <v>1320</v>
          </cell>
          <cell r="F1397">
            <v>0</v>
          </cell>
        </row>
        <row r="1398">
          <cell r="A1398" t="str">
            <v>GAJNA</v>
          </cell>
          <cell r="B1398" t="str">
            <v>AJAY NAGPAL</v>
          </cell>
          <cell r="C1398" t="str">
            <v>LSCRED</v>
          </cell>
          <cell r="D1398">
            <v>34425</v>
          </cell>
          <cell r="E1398">
            <v>34425</v>
          </cell>
          <cell r="F1398">
            <v>0</v>
          </cell>
        </row>
        <row r="1399">
          <cell r="A1399" t="str">
            <v>GA088</v>
          </cell>
          <cell r="B1399" t="str">
            <v>AJAY SARDANA ASSOCIATES</v>
          </cell>
          <cell r="C1399" t="str">
            <v>LSCRED</v>
          </cell>
          <cell r="D1399">
            <v>1057676</v>
          </cell>
          <cell r="E1399">
            <v>1057676</v>
          </cell>
          <cell r="F1399">
            <v>0</v>
          </cell>
        </row>
        <row r="1400">
          <cell r="A1400" t="str">
            <v>GAJET</v>
          </cell>
          <cell r="B1400" t="str">
            <v>AJEET KUMAR JAIN</v>
          </cell>
          <cell r="C1400" t="str">
            <v>LSCRED</v>
          </cell>
          <cell r="D1400">
            <v>4713</v>
          </cell>
          <cell r="E1400">
            <v>4713</v>
          </cell>
          <cell r="F1400">
            <v>0</v>
          </cell>
        </row>
        <row r="1401">
          <cell r="A1401" t="str">
            <v>GAJEE</v>
          </cell>
          <cell r="B1401" t="str">
            <v>AJEET KUMAR WAHI</v>
          </cell>
          <cell r="C1401" t="str">
            <v>LSCRED</v>
          </cell>
          <cell r="D1401">
            <v>7239</v>
          </cell>
          <cell r="E1401">
            <v>7239</v>
          </cell>
          <cell r="F1401">
            <v>0</v>
          </cell>
        </row>
        <row r="1402">
          <cell r="A1402" t="str">
            <v>GAKEE</v>
          </cell>
          <cell r="B1402" t="str">
            <v>AKEEL SHAIKH</v>
          </cell>
          <cell r="C1402" t="str">
            <v>LSCRED</v>
          </cell>
          <cell r="D1402">
            <v>1879</v>
          </cell>
          <cell r="E1402">
            <v>1879</v>
          </cell>
          <cell r="F1402">
            <v>0</v>
          </cell>
        </row>
        <row r="1403">
          <cell r="A1403" t="str">
            <v>GALCH</v>
          </cell>
          <cell r="B1403" t="str">
            <v>ALCHEMIST HR SERVICES PVT LTD</v>
          </cell>
          <cell r="C1403" t="str">
            <v>LSCRED</v>
          </cell>
          <cell r="D1403">
            <v>7416</v>
          </cell>
          <cell r="E1403">
            <v>7416</v>
          </cell>
          <cell r="F1403">
            <v>0</v>
          </cell>
        </row>
        <row r="1404">
          <cell r="A1404" t="str">
            <v>GALLT</v>
          </cell>
          <cell r="B1404" t="str">
            <v>ALLTIMEJOBS.COM LTD</v>
          </cell>
          <cell r="C1404" t="str">
            <v>LSCRED</v>
          </cell>
          <cell r="D1404">
            <v>145143</v>
          </cell>
          <cell r="E1404">
            <v>145143</v>
          </cell>
          <cell r="F1404">
            <v>0</v>
          </cell>
        </row>
        <row r="1405">
          <cell r="A1405" t="str">
            <v>GALPA</v>
          </cell>
          <cell r="B1405" t="str">
            <v>ALPANA BANDHU PATIL</v>
          </cell>
          <cell r="C1405" t="str">
            <v>LSCRED</v>
          </cell>
          <cell r="D1405">
            <v>24480</v>
          </cell>
          <cell r="E1405">
            <v>24480</v>
          </cell>
          <cell r="F1405">
            <v>0</v>
          </cell>
        </row>
        <row r="1406">
          <cell r="A1406" t="str">
            <v>GAMALA</v>
          </cell>
          <cell r="B1406" t="str">
            <v>AMALA RESTAURANT PRIVATE LTD</v>
          </cell>
          <cell r="C1406" t="str">
            <v>LSCRED</v>
          </cell>
          <cell r="D1406">
            <v>78768</v>
          </cell>
          <cell r="E1406">
            <v>78768</v>
          </cell>
          <cell r="F1406">
            <v>0</v>
          </cell>
        </row>
        <row r="1407">
          <cell r="A1407" t="str">
            <v>GAMBU</v>
          </cell>
          <cell r="B1407" t="str">
            <v>AMAR BUILDERS &amp; ESTATE AGENTS</v>
          </cell>
          <cell r="C1407" t="str">
            <v>LSCRED</v>
          </cell>
          <cell r="D1407">
            <v>1627</v>
          </cell>
          <cell r="E1407">
            <v>1627</v>
          </cell>
          <cell r="F1407">
            <v>0</v>
          </cell>
        </row>
        <row r="1408">
          <cell r="A1408" t="str">
            <v>GAMAL</v>
          </cell>
          <cell r="B1408" t="str">
            <v>AMARESH N LAW ASSOCIATES</v>
          </cell>
          <cell r="C1408" t="str">
            <v>LSCRED</v>
          </cell>
          <cell r="D1408">
            <v>5500</v>
          </cell>
          <cell r="E1408">
            <v>5500</v>
          </cell>
          <cell r="F1408">
            <v>0</v>
          </cell>
        </row>
        <row r="1409">
          <cell r="A1409" t="str">
            <v>GAMKA</v>
          </cell>
          <cell r="B1409" t="str">
            <v>AMARJEET KAUR</v>
          </cell>
          <cell r="C1409" t="str">
            <v>LSCRED</v>
          </cell>
          <cell r="D1409">
            <v>13712</v>
          </cell>
          <cell r="E1409">
            <v>13712</v>
          </cell>
          <cell r="F1409">
            <v>0</v>
          </cell>
        </row>
        <row r="1410">
          <cell r="A1410" t="str">
            <v>GAMAR</v>
          </cell>
          <cell r="B1410" t="str">
            <v>AMARJEET SINGH SIDANA &amp;  JASBIR SIDANA</v>
          </cell>
          <cell r="C1410" t="str">
            <v>LSCRED</v>
          </cell>
          <cell r="D1410">
            <v>9000</v>
          </cell>
          <cell r="E1410">
            <v>9000</v>
          </cell>
          <cell r="F1410">
            <v>0</v>
          </cell>
        </row>
        <row r="1411">
          <cell r="A1411" t="str">
            <v>GAMSI</v>
          </cell>
          <cell r="B1411" t="str">
            <v>AMARJIT SINGH RANDHAWA</v>
          </cell>
          <cell r="C1411" t="str">
            <v>LSCRED</v>
          </cell>
          <cell r="D1411">
            <v>9229</v>
          </cell>
          <cell r="E1411">
            <v>9229</v>
          </cell>
          <cell r="F1411">
            <v>0</v>
          </cell>
        </row>
        <row r="1412">
          <cell r="A1412" t="str">
            <v>GAMGR</v>
          </cell>
          <cell r="B1412" t="str">
            <v>AMIT GROVER</v>
          </cell>
          <cell r="C1412" t="str">
            <v>LSCRED</v>
          </cell>
          <cell r="D1412">
            <v>18594</v>
          </cell>
          <cell r="E1412">
            <v>18594</v>
          </cell>
          <cell r="F1412">
            <v>0</v>
          </cell>
        </row>
        <row r="1413">
          <cell r="A1413" t="str">
            <v>GAMKU</v>
          </cell>
          <cell r="B1413" t="str">
            <v>AMIT KUMAR SHARMA</v>
          </cell>
          <cell r="C1413" t="str">
            <v>LSCRED</v>
          </cell>
          <cell r="D1413">
            <v>27584</v>
          </cell>
          <cell r="E1413">
            <v>27584</v>
          </cell>
          <cell r="F1413">
            <v>0</v>
          </cell>
        </row>
        <row r="1414">
          <cell r="A1414" t="str">
            <v>GAMITS</v>
          </cell>
          <cell r="B1414" t="str">
            <v>AMIT SHARMA</v>
          </cell>
          <cell r="C1414" t="str">
            <v>LSCRED</v>
          </cell>
          <cell r="D1414">
            <v>34428</v>
          </cell>
          <cell r="E1414">
            <v>34428</v>
          </cell>
          <cell r="F1414">
            <v>0</v>
          </cell>
        </row>
        <row r="1415">
          <cell r="A1415" t="str">
            <v>GAMITE</v>
          </cell>
          <cell r="B1415" t="str">
            <v>AMITA ESTATE AND PROPERTY CONSULTANTS</v>
          </cell>
          <cell r="C1415" t="str">
            <v>LSCRED</v>
          </cell>
          <cell r="D1415">
            <v>1234</v>
          </cell>
          <cell r="E1415">
            <v>1234</v>
          </cell>
          <cell r="F1415">
            <v>0</v>
          </cell>
        </row>
        <row r="1416">
          <cell r="A1416" t="str">
            <v>GANAL</v>
          </cell>
          <cell r="B1416" t="str">
            <v>ANALYTIC CONSULTANCY BUREAU  PVT. LTD.</v>
          </cell>
          <cell r="C1416" t="str">
            <v>LSCRED</v>
          </cell>
          <cell r="D1416">
            <v>9367</v>
          </cell>
          <cell r="E1416">
            <v>9367</v>
          </cell>
          <cell r="F1416">
            <v>0</v>
          </cell>
        </row>
        <row r="1417">
          <cell r="A1417" t="str">
            <v>GANAD</v>
          </cell>
          <cell r="B1417" t="str">
            <v>ANAND VRINDAVAN FLAT OWENRS WELFARE SOCIETY</v>
          </cell>
          <cell r="C1417" t="str">
            <v>LSCRED</v>
          </cell>
          <cell r="D1417">
            <v>3000</v>
          </cell>
          <cell r="E1417">
            <v>3000</v>
          </cell>
          <cell r="F1417">
            <v>0</v>
          </cell>
        </row>
        <row r="1418">
          <cell r="A1418" t="str">
            <v>GANEE</v>
          </cell>
          <cell r="B1418" t="str">
            <v>ANEES JAFFERI</v>
          </cell>
          <cell r="C1418" t="str">
            <v>LSCRED</v>
          </cell>
          <cell r="D1418">
            <v>16550</v>
          </cell>
          <cell r="E1418">
            <v>16550</v>
          </cell>
          <cell r="F1418">
            <v>0</v>
          </cell>
        </row>
        <row r="1419">
          <cell r="A1419" t="str">
            <v>GANILK</v>
          </cell>
          <cell r="B1419" t="str">
            <v>ANIL KUMAR</v>
          </cell>
          <cell r="C1419" t="str">
            <v>LSCRED</v>
          </cell>
          <cell r="D1419">
            <v>5000</v>
          </cell>
          <cell r="E1419">
            <v>5000</v>
          </cell>
          <cell r="F1419">
            <v>0</v>
          </cell>
        </row>
        <row r="1420">
          <cell r="A1420" t="str">
            <v>GANKG</v>
          </cell>
          <cell r="B1420" t="str">
            <v>ANIL KUMAR GUPTA</v>
          </cell>
          <cell r="C1420" t="str">
            <v>LSCRED</v>
          </cell>
          <cell r="D1420">
            <v>5720</v>
          </cell>
          <cell r="E1420">
            <v>5720</v>
          </cell>
          <cell r="F1420">
            <v>0</v>
          </cell>
        </row>
        <row r="1421">
          <cell r="A1421" t="str">
            <v>GANKJ</v>
          </cell>
          <cell r="B1421" t="str">
            <v>ANIL KUMAR JAIN</v>
          </cell>
          <cell r="C1421" t="str">
            <v>LSCRED</v>
          </cell>
          <cell r="D1421">
            <v>7800</v>
          </cell>
          <cell r="E1421">
            <v>7800</v>
          </cell>
          <cell r="F1421">
            <v>0</v>
          </cell>
        </row>
        <row r="1422">
          <cell r="A1422" t="str">
            <v>GANIB</v>
          </cell>
          <cell r="B1422" t="str">
            <v>ANIRBAN BAKSHI &amp; ASSOCIATES</v>
          </cell>
          <cell r="C1422" t="str">
            <v>LSCRED</v>
          </cell>
          <cell r="D1422">
            <v>28000</v>
          </cell>
          <cell r="E1422">
            <v>28000</v>
          </cell>
          <cell r="F1422">
            <v>0</v>
          </cell>
        </row>
        <row r="1423">
          <cell r="A1423" t="str">
            <v>GANIT</v>
          </cell>
          <cell r="B1423" t="str">
            <v>ANITA AGGARWAL</v>
          </cell>
          <cell r="C1423" t="str">
            <v>LSCRED</v>
          </cell>
          <cell r="D1423">
            <v>33660</v>
          </cell>
          <cell r="E1423">
            <v>33660</v>
          </cell>
          <cell r="F1423">
            <v>0</v>
          </cell>
        </row>
        <row r="1424">
          <cell r="A1424" t="str">
            <v>GANJG</v>
          </cell>
          <cell r="B1424" t="str">
            <v>ANJANA GANATRA</v>
          </cell>
          <cell r="C1424" t="str">
            <v>LSCRED</v>
          </cell>
          <cell r="D1424">
            <v>41310</v>
          </cell>
          <cell r="E1424">
            <v>41310</v>
          </cell>
          <cell r="F1424">
            <v>0</v>
          </cell>
        </row>
        <row r="1425">
          <cell r="A1425" t="str">
            <v>GANSI</v>
          </cell>
          <cell r="B1425" t="str">
            <v>ANJANA SINGH CHAUHAN</v>
          </cell>
          <cell r="C1425" t="str">
            <v>LSCRED</v>
          </cell>
          <cell r="D1425">
            <v>10000</v>
          </cell>
          <cell r="E1425">
            <v>10000</v>
          </cell>
          <cell r="F1425">
            <v>0</v>
          </cell>
        </row>
        <row r="1426">
          <cell r="A1426" t="str">
            <v>GANJU</v>
          </cell>
          <cell r="B1426" t="str">
            <v>ANJU GROVER</v>
          </cell>
          <cell r="C1426" t="str">
            <v>LSCRED</v>
          </cell>
          <cell r="D1426">
            <v>32180</v>
          </cell>
          <cell r="E1426">
            <v>32180</v>
          </cell>
          <cell r="F1426">
            <v>0</v>
          </cell>
        </row>
        <row r="1427">
          <cell r="A1427" t="str">
            <v>GANMA</v>
          </cell>
          <cell r="B1427" t="str">
            <v>ANJU MALIK</v>
          </cell>
          <cell r="C1427" t="str">
            <v>LSCRED</v>
          </cell>
          <cell r="D1427">
            <v>18863</v>
          </cell>
          <cell r="E1427">
            <v>18863</v>
          </cell>
          <cell r="F1427">
            <v>0</v>
          </cell>
        </row>
        <row r="1428">
          <cell r="A1428" t="str">
            <v>GANAR</v>
          </cell>
          <cell r="B1428" t="str">
            <v>ANKUR ARORA</v>
          </cell>
          <cell r="C1428" t="str">
            <v>LSCRED</v>
          </cell>
          <cell r="D1428">
            <v>19890</v>
          </cell>
          <cell r="E1428">
            <v>19890</v>
          </cell>
          <cell r="F1428">
            <v>0</v>
          </cell>
        </row>
        <row r="1429">
          <cell r="A1429" t="str">
            <v>GANMO</v>
          </cell>
          <cell r="B1429" t="str">
            <v>ANMOL DEVELOPERS</v>
          </cell>
          <cell r="C1429" t="str">
            <v>LSCRED</v>
          </cell>
          <cell r="D1429">
            <v>169929</v>
          </cell>
          <cell r="E1429">
            <v>169929</v>
          </cell>
          <cell r="F1429">
            <v>0</v>
          </cell>
        </row>
        <row r="1430">
          <cell r="A1430" t="str">
            <v>GANSU</v>
          </cell>
          <cell r="B1430" t="str">
            <v>ANSHU SRIVASTAVA</v>
          </cell>
          <cell r="C1430" t="str">
            <v>LSCRED</v>
          </cell>
          <cell r="D1430">
            <v>8300</v>
          </cell>
          <cell r="E1430">
            <v>8300</v>
          </cell>
          <cell r="F1430">
            <v>0</v>
          </cell>
        </row>
        <row r="1431">
          <cell r="A1431" t="str">
            <v>GANSH</v>
          </cell>
          <cell r="B1431" t="str">
            <v>ANSHUMAN BISWAS</v>
          </cell>
          <cell r="C1431" t="str">
            <v>LSCRED</v>
          </cell>
          <cell r="D1431">
            <v>37610</v>
          </cell>
          <cell r="E1431">
            <v>37610</v>
          </cell>
          <cell r="F1431">
            <v>0</v>
          </cell>
        </row>
        <row r="1432">
          <cell r="A1432" t="str">
            <v>GANUH</v>
          </cell>
          <cell r="B1432" t="str">
            <v>ANU SHYAM JAMNANI</v>
          </cell>
          <cell r="C1432" t="str">
            <v>LSCRED</v>
          </cell>
          <cell r="D1432">
            <v>7000</v>
          </cell>
          <cell r="E1432">
            <v>7000</v>
          </cell>
          <cell r="F1432">
            <v>0</v>
          </cell>
        </row>
        <row r="1433">
          <cell r="A1433" t="str">
            <v>GANUP</v>
          </cell>
          <cell r="B1433" t="str">
            <v>ANUP M. RAYANNAVAR</v>
          </cell>
          <cell r="C1433" t="str">
            <v>LSCRED</v>
          </cell>
          <cell r="D1433">
            <v>742</v>
          </cell>
          <cell r="E1433">
            <v>742</v>
          </cell>
          <cell r="F1433">
            <v>0</v>
          </cell>
        </row>
        <row r="1434">
          <cell r="A1434" t="str">
            <v>GANAG</v>
          </cell>
          <cell r="B1434" t="str">
            <v>ANURADHA AGARWAL</v>
          </cell>
          <cell r="C1434" t="str">
            <v>LSCRED</v>
          </cell>
          <cell r="D1434">
            <v>32700</v>
          </cell>
          <cell r="E1434">
            <v>32700</v>
          </cell>
          <cell r="F1434">
            <v>0</v>
          </cell>
        </row>
        <row r="1435">
          <cell r="A1435" t="str">
            <v>GAPEV</v>
          </cell>
          <cell r="B1435" t="str">
            <v>APEX VYAPAAR PRIVATE LIMITED</v>
          </cell>
          <cell r="C1435" t="str">
            <v>LSCRED</v>
          </cell>
          <cell r="D1435">
            <v>414640</v>
          </cell>
          <cell r="E1435">
            <v>414640</v>
          </cell>
          <cell r="F1435">
            <v>0</v>
          </cell>
        </row>
        <row r="1436">
          <cell r="A1436" t="str">
            <v>GAPOL</v>
          </cell>
          <cell r="B1436" t="str">
            <v>APOLLO ORGANISER &amp; BUILDERS</v>
          </cell>
          <cell r="C1436" t="str">
            <v>LSCRED</v>
          </cell>
          <cell r="D1436">
            <v>68922</v>
          </cell>
          <cell r="E1436">
            <v>68922</v>
          </cell>
          <cell r="F1436">
            <v>0</v>
          </cell>
        </row>
        <row r="1437">
          <cell r="A1437" t="str">
            <v>GARSE</v>
          </cell>
          <cell r="B1437" t="str">
            <v>ARCHANA SECURITIES PVT. LTD</v>
          </cell>
          <cell r="C1437" t="str">
            <v>LSCRED</v>
          </cell>
          <cell r="D1437">
            <v>115235</v>
          </cell>
          <cell r="E1437">
            <v>115235</v>
          </cell>
          <cell r="F1437">
            <v>0</v>
          </cell>
        </row>
        <row r="1438">
          <cell r="A1438" t="str">
            <v>GARJU</v>
          </cell>
          <cell r="B1438" t="str">
            <v>ARJUN UPPAL</v>
          </cell>
          <cell r="C1438" t="str">
            <v>LSCRED</v>
          </cell>
          <cell r="D1438">
            <v>96052</v>
          </cell>
          <cell r="E1438">
            <v>96052</v>
          </cell>
          <cell r="F1438">
            <v>0</v>
          </cell>
        </row>
        <row r="1439">
          <cell r="A1439" t="str">
            <v>GARBH</v>
          </cell>
          <cell r="B1439" t="str">
            <v>ARUN BHASKAR KASBEKAR</v>
          </cell>
          <cell r="C1439" t="str">
            <v>LSCRED</v>
          </cell>
          <cell r="D1439">
            <v>202304</v>
          </cell>
          <cell r="E1439">
            <v>202304</v>
          </cell>
          <cell r="F1439">
            <v>0</v>
          </cell>
        </row>
        <row r="1440">
          <cell r="A1440" t="str">
            <v>GARUJ</v>
          </cell>
          <cell r="B1440" t="str">
            <v>ARUN JAIN</v>
          </cell>
          <cell r="C1440" t="str">
            <v>LSCRED</v>
          </cell>
          <cell r="D1440">
            <v>31559</v>
          </cell>
          <cell r="E1440">
            <v>31559</v>
          </cell>
          <cell r="F1440">
            <v>0</v>
          </cell>
        </row>
        <row r="1441">
          <cell r="A1441" t="str">
            <v>GARVE</v>
          </cell>
          <cell r="B1441" t="str">
            <v>ARUN VED</v>
          </cell>
          <cell r="C1441" t="str">
            <v>LSCRED</v>
          </cell>
          <cell r="D1441">
            <v>2104</v>
          </cell>
          <cell r="E1441">
            <v>2104</v>
          </cell>
          <cell r="F1441">
            <v>0</v>
          </cell>
        </row>
        <row r="1442">
          <cell r="A1442" t="str">
            <v>GARVID</v>
          </cell>
          <cell r="B1442" t="str">
            <v>ARVIND L MEHTA</v>
          </cell>
          <cell r="C1442" t="str">
            <v>LSCRED</v>
          </cell>
          <cell r="D1442">
            <v>1094</v>
          </cell>
          <cell r="E1442">
            <v>1094</v>
          </cell>
          <cell r="F1442">
            <v>0</v>
          </cell>
        </row>
        <row r="1443">
          <cell r="A1443" t="str">
            <v>GASAN</v>
          </cell>
          <cell r="B1443" t="str">
            <v>ASA NAND GOGIA</v>
          </cell>
          <cell r="C1443" t="str">
            <v>LSCRED</v>
          </cell>
          <cell r="D1443">
            <v>83123</v>
          </cell>
          <cell r="E1443">
            <v>83123</v>
          </cell>
          <cell r="F1443">
            <v>0</v>
          </cell>
        </row>
        <row r="1444">
          <cell r="A1444" t="str">
            <v>GASHA</v>
          </cell>
          <cell r="B1444" t="str">
            <v>ASHA K PATEL</v>
          </cell>
          <cell r="C1444" t="str">
            <v>LSCRED</v>
          </cell>
          <cell r="D1444">
            <v>74202</v>
          </cell>
          <cell r="E1444">
            <v>74202</v>
          </cell>
          <cell r="F1444">
            <v>0</v>
          </cell>
        </row>
        <row r="1445">
          <cell r="A1445" t="str">
            <v>GASRA</v>
          </cell>
          <cell r="B1445" t="str">
            <v>ASHA RAMESH BHAI THAKKAR</v>
          </cell>
          <cell r="C1445" t="str">
            <v>LSCRED</v>
          </cell>
          <cell r="D1445">
            <v>36720</v>
          </cell>
          <cell r="E1445">
            <v>36720</v>
          </cell>
          <cell r="F1445">
            <v>0</v>
          </cell>
        </row>
        <row r="1446">
          <cell r="A1446" t="str">
            <v>GASHS</v>
          </cell>
          <cell r="B1446" t="str">
            <v>ASHA SHARMA</v>
          </cell>
          <cell r="C1446" t="str">
            <v>LSCRED</v>
          </cell>
          <cell r="D1446">
            <v>113178</v>
          </cell>
          <cell r="E1446">
            <v>113178</v>
          </cell>
          <cell r="F1446">
            <v>0</v>
          </cell>
        </row>
        <row r="1447">
          <cell r="A1447" t="str">
            <v>GASSH</v>
          </cell>
          <cell r="B1447" t="str">
            <v>ASHA SHARMA</v>
          </cell>
          <cell r="C1447" t="str">
            <v>LSCRED</v>
          </cell>
          <cell r="D1447">
            <v>34428</v>
          </cell>
          <cell r="E1447">
            <v>34428</v>
          </cell>
          <cell r="F1447">
            <v>0</v>
          </cell>
        </row>
        <row r="1448">
          <cell r="A1448" t="str">
            <v>GASGO</v>
          </cell>
          <cell r="B1448" t="str">
            <v>ASHISH GOYAL</v>
          </cell>
          <cell r="C1448" t="str">
            <v>LSCRED</v>
          </cell>
          <cell r="D1448">
            <v>48474</v>
          </cell>
          <cell r="E1448">
            <v>48474</v>
          </cell>
          <cell r="F1448">
            <v>0</v>
          </cell>
        </row>
        <row r="1449">
          <cell r="A1449" t="str">
            <v>GASHI]</v>
          </cell>
          <cell r="B1449" t="str">
            <v>ASHISH JASHVANTLAL ZAVERI (HUF)</v>
          </cell>
          <cell r="C1449" t="str">
            <v>LSCRED</v>
          </cell>
          <cell r="D1449">
            <v>25267</v>
          </cell>
          <cell r="E1449">
            <v>25267</v>
          </cell>
          <cell r="F1449">
            <v>0</v>
          </cell>
        </row>
        <row r="1450">
          <cell r="A1450" t="str">
            <v>GASHI</v>
          </cell>
          <cell r="B1450" t="str">
            <v>ASHISH SHARMA</v>
          </cell>
          <cell r="C1450" t="str">
            <v>LSCRED</v>
          </cell>
          <cell r="D1450">
            <v>113178</v>
          </cell>
          <cell r="E1450">
            <v>113178</v>
          </cell>
          <cell r="F1450">
            <v>0</v>
          </cell>
        </row>
        <row r="1451">
          <cell r="A1451" t="str">
            <v>GASHG</v>
          </cell>
          <cell r="B1451" t="str">
            <v>ASHOK GROVER</v>
          </cell>
          <cell r="C1451" t="str">
            <v>LSCRED</v>
          </cell>
          <cell r="D1451">
            <v>21069</v>
          </cell>
          <cell r="E1451">
            <v>21069</v>
          </cell>
          <cell r="F1451">
            <v>0</v>
          </cell>
        </row>
        <row r="1452">
          <cell r="A1452" t="str">
            <v>GAGRS</v>
          </cell>
          <cell r="B1452" t="str">
            <v>ASHOK GROVER &amp; SONS (HUF)</v>
          </cell>
          <cell r="C1452" t="str">
            <v>LSCRED</v>
          </cell>
          <cell r="D1452">
            <v>18594</v>
          </cell>
          <cell r="E1452">
            <v>18594</v>
          </cell>
          <cell r="F1452">
            <v>0</v>
          </cell>
        </row>
        <row r="1453">
          <cell r="A1453" t="str">
            <v>GASKM</v>
          </cell>
          <cell r="B1453" t="str">
            <v>ASHOK KUMAR MANCHANDA</v>
          </cell>
          <cell r="C1453" t="str">
            <v>LSCRED</v>
          </cell>
          <cell r="D1453">
            <v>184638</v>
          </cell>
          <cell r="E1453">
            <v>184638</v>
          </cell>
          <cell r="F1453">
            <v>0</v>
          </cell>
        </row>
        <row r="1454">
          <cell r="A1454" t="str">
            <v>GAKNI</v>
          </cell>
          <cell r="B1454" t="str">
            <v>ASHOK NIVRITTI PADALKAR</v>
          </cell>
          <cell r="C1454" t="str">
            <v>LSCRED</v>
          </cell>
          <cell r="D1454">
            <v>20655</v>
          </cell>
          <cell r="E1454">
            <v>20655</v>
          </cell>
          <cell r="F1454">
            <v>0</v>
          </cell>
        </row>
        <row r="1455">
          <cell r="A1455" t="str">
            <v>GASHOT</v>
          </cell>
          <cell r="B1455" t="str">
            <v>ASHOK TIWARI &amp; AMITA TIWARI</v>
          </cell>
          <cell r="C1455" t="str">
            <v>LSCRED</v>
          </cell>
          <cell r="D1455">
            <v>208696</v>
          </cell>
          <cell r="E1455">
            <v>208696</v>
          </cell>
          <cell r="F1455">
            <v>0</v>
          </cell>
        </row>
        <row r="1456">
          <cell r="A1456" t="str">
            <v>GASHW</v>
          </cell>
          <cell r="B1456" t="str">
            <v>ASHWANI GUPTA</v>
          </cell>
          <cell r="C1456" t="str">
            <v>LSCRED</v>
          </cell>
          <cell r="D1456">
            <v>15400</v>
          </cell>
          <cell r="E1456">
            <v>15400</v>
          </cell>
          <cell r="F1456">
            <v>0</v>
          </cell>
        </row>
        <row r="1457">
          <cell r="A1457" t="str">
            <v>GASIA</v>
          </cell>
          <cell r="B1457" t="str">
            <v>ASIAN CERC INFORMATION TECH. LTD.</v>
          </cell>
          <cell r="C1457" t="str">
            <v>LSCRED</v>
          </cell>
          <cell r="D1457">
            <v>1950218</v>
          </cell>
          <cell r="E1457">
            <v>1950218</v>
          </cell>
          <cell r="F1457">
            <v>0</v>
          </cell>
        </row>
        <row r="1458">
          <cell r="A1458" t="str">
            <v>GATLA</v>
          </cell>
          <cell r="B1458" t="str">
            <v>ATLANTIC PACIFIC TRAVEL SERVICES PVT LTD</v>
          </cell>
          <cell r="C1458" t="str">
            <v>LSCRED</v>
          </cell>
          <cell r="D1458">
            <v>281301</v>
          </cell>
          <cell r="E1458">
            <v>281301</v>
          </cell>
          <cell r="F1458">
            <v>0</v>
          </cell>
        </row>
        <row r="1459">
          <cell r="A1459" t="str">
            <v>GATUL</v>
          </cell>
          <cell r="B1459" t="str">
            <v>ATUL KANODIA</v>
          </cell>
          <cell r="C1459" t="str">
            <v>LSCRED</v>
          </cell>
          <cell r="D1459">
            <v>106518</v>
          </cell>
          <cell r="E1459">
            <v>106518</v>
          </cell>
          <cell r="F1459">
            <v>0</v>
          </cell>
        </row>
        <row r="1460">
          <cell r="A1460" t="str">
            <v>GAVIS</v>
          </cell>
          <cell r="B1460" t="str">
            <v>AVIS SERVICES</v>
          </cell>
          <cell r="C1460" t="str">
            <v>LSCRED</v>
          </cell>
          <cell r="D1460">
            <v>105000</v>
          </cell>
          <cell r="E1460">
            <v>105000</v>
          </cell>
          <cell r="F1460">
            <v>0</v>
          </cell>
        </row>
        <row r="1461">
          <cell r="A1461" t="str">
            <v>GAVNI</v>
          </cell>
          <cell r="B1461" t="str">
            <v>AVNISH CAROLI</v>
          </cell>
          <cell r="C1461" t="str">
            <v>LSCRED</v>
          </cell>
          <cell r="D1461">
            <v>25600</v>
          </cell>
          <cell r="E1461">
            <v>25600</v>
          </cell>
          <cell r="F1461">
            <v>0</v>
          </cell>
        </row>
        <row r="1462">
          <cell r="A1462" t="str">
            <v>GAVKU</v>
          </cell>
          <cell r="B1462" t="str">
            <v>AVNISH KUMAR CAROLI</v>
          </cell>
          <cell r="C1462" t="str">
            <v>LSCRED</v>
          </cell>
          <cell r="D1462">
            <v>32130</v>
          </cell>
          <cell r="E1462">
            <v>32130</v>
          </cell>
          <cell r="F1462">
            <v>0</v>
          </cell>
        </row>
        <row r="1463">
          <cell r="A1463" t="str">
            <v>GAWAN</v>
          </cell>
          <cell r="B1463" t="str">
            <v>AWANISH KUMAR</v>
          </cell>
          <cell r="C1463" t="str">
            <v>LSCRED</v>
          </cell>
          <cell r="D1463">
            <v>52000</v>
          </cell>
          <cell r="E1463">
            <v>52000</v>
          </cell>
          <cell r="F1463">
            <v>0</v>
          </cell>
        </row>
        <row r="1464">
          <cell r="A1464" t="str">
            <v>GAZAA</v>
          </cell>
          <cell r="B1464" t="str">
            <v>AZAD ART SERVICE</v>
          </cell>
          <cell r="C1464" t="str">
            <v>LSCRED</v>
          </cell>
          <cell r="D1464">
            <v>6612.5</v>
          </cell>
          <cell r="E1464">
            <v>6612.5</v>
          </cell>
          <cell r="F1464">
            <v>0</v>
          </cell>
        </row>
        <row r="1465">
          <cell r="A1465" t="str">
            <v>GBNDA</v>
          </cell>
          <cell r="B1465" t="str">
            <v>B. N. DAMODARAN</v>
          </cell>
          <cell r="C1465" t="str">
            <v>LSCRED</v>
          </cell>
          <cell r="D1465">
            <v>50229</v>
          </cell>
          <cell r="E1465">
            <v>50229</v>
          </cell>
          <cell r="F1465">
            <v>0</v>
          </cell>
        </row>
        <row r="1466">
          <cell r="A1466" t="str">
            <v>GBABI</v>
          </cell>
          <cell r="B1466" t="str">
            <v>BABITA NIRMAL</v>
          </cell>
          <cell r="C1466" t="str">
            <v>LSCRED</v>
          </cell>
          <cell r="D1466">
            <v>20930</v>
          </cell>
          <cell r="E1466">
            <v>20930</v>
          </cell>
          <cell r="F1466">
            <v>0</v>
          </cell>
        </row>
        <row r="1467">
          <cell r="A1467" t="str">
            <v>GBAES</v>
          </cell>
          <cell r="B1467" t="str">
            <v>BALAJI ESTATE</v>
          </cell>
          <cell r="C1467" t="str">
            <v>LSCRED</v>
          </cell>
          <cell r="D1467">
            <v>1332</v>
          </cell>
          <cell r="E1467">
            <v>1332</v>
          </cell>
          <cell r="F1467">
            <v>0</v>
          </cell>
        </row>
        <row r="1468">
          <cell r="A1468" t="str">
            <v>GBALJ</v>
          </cell>
          <cell r="B1468" t="str">
            <v>BALJEET SINGH</v>
          </cell>
          <cell r="C1468" t="str">
            <v>LSCRED</v>
          </cell>
          <cell r="D1468">
            <v>57500</v>
          </cell>
          <cell r="E1468">
            <v>57500</v>
          </cell>
          <cell r="F1468">
            <v>0</v>
          </cell>
        </row>
        <row r="1469">
          <cell r="A1469" t="str">
            <v>GBALM</v>
          </cell>
          <cell r="B1469" t="str">
            <v>BALMUKUND PANDURAMJI BHIRAD</v>
          </cell>
          <cell r="C1469" t="str">
            <v>LSCRED</v>
          </cell>
          <cell r="D1469">
            <v>46800</v>
          </cell>
          <cell r="E1469">
            <v>46800</v>
          </cell>
          <cell r="F1469">
            <v>0</v>
          </cell>
        </row>
        <row r="1470">
          <cell r="A1470" t="str">
            <v>GBALV</v>
          </cell>
          <cell r="B1470" t="str">
            <v>BALVINDER UPPAL</v>
          </cell>
          <cell r="C1470" t="str">
            <v>LSCRED</v>
          </cell>
          <cell r="D1470">
            <v>160074</v>
          </cell>
          <cell r="E1470">
            <v>160074</v>
          </cell>
          <cell r="F1470">
            <v>0</v>
          </cell>
        </row>
        <row r="1471">
          <cell r="A1471" t="str">
            <v>GBALWA</v>
          </cell>
          <cell r="B1471" t="str">
            <v>BALWANT SINGH</v>
          </cell>
          <cell r="C1471" t="str">
            <v>LSCRED</v>
          </cell>
          <cell r="D1471">
            <v>40058</v>
          </cell>
          <cell r="E1471">
            <v>40058</v>
          </cell>
          <cell r="F1471">
            <v>0</v>
          </cell>
        </row>
        <row r="1472">
          <cell r="A1472" t="str">
            <v>GBANA</v>
          </cell>
          <cell r="B1472" t="str">
            <v>BANSAL TRADERS</v>
          </cell>
          <cell r="C1472" t="str">
            <v>LSCRED</v>
          </cell>
          <cell r="D1472">
            <v>18800</v>
          </cell>
          <cell r="E1472">
            <v>18800</v>
          </cell>
          <cell r="F1472">
            <v>0</v>
          </cell>
        </row>
        <row r="1473">
          <cell r="A1473" t="str">
            <v>GBARD</v>
          </cell>
          <cell r="B1473" t="str">
            <v>BARDIYA CORPORATION PVT. LTD</v>
          </cell>
          <cell r="C1473" t="str">
            <v>LSCRED</v>
          </cell>
          <cell r="D1473">
            <v>4000</v>
          </cell>
          <cell r="E1473">
            <v>4000</v>
          </cell>
          <cell r="F1473">
            <v>0</v>
          </cell>
        </row>
        <row r="1474">
          <cell r="A1474" t="str">
            <v>GBASA</v>
          </cell>
          <cell r="B1474" t="str">
            <v>BASAVRAJ ADIVEPPA KITTUR</v>
          </cell>
          <cell r="C1474" t="str">
            <v>LSCRED</v>
          </cell>
          <cell r="D1474">
            <v>2839</v>
          </cell>
          <cell r="E1474">
            <v>2839</v>
          </cell>
          <cell r="F1474">
            <v>0</v>
          </cell>
        </row>
        <row r="1475">
          <cell r="A1475" t="str">
            <v>GBAC</v>
          </cell>
          <cell r="B1475" t="str">
            <v>BATRA'S COMPUZONE</v>
          </cell>
          <cell r="C1475" t="str">
            <v>LSCRED</v>
          </cell>
          <cell r="D1475">
            <v>3550</v>
          </cell>
          <cell r="E1475">
            <v>3550</v>
          </cell>
          <cell r="F1475">
            <v>0</v>
          </cell>
        </row>
        <row r="1476">
          <cell r="A1476" t="str">
            <v>GBATRA</v>
          </cell>
          <cell r="B1476" t="str">
            <v>BATRAM PROPERTIES PVT LTD</v>
          </cell>
          <cell r="C1476" t="str">
            <v>LSCRED</v>
          </cell>
          <cell r="D1476">
            <v>506796</v>
          </cell>
          <cell r="E1476">
            <v>506796</v>
          </cell>
          <cell r="F1476">
            <v>0</v>
          </cell>
        </row>
        <row r="1477">
          <cell r="A1477" t="str">
            <v>GBEGR</v>
          </cell>
          <cell r="B1477" t="str">
            <v>BEG RAJ YADAV</v>
          </cell>
          <cell r="C1477" t="str">
            <v>LSCRED</v>
          </cell>
          <cell r="D1477">
            <v>71350</v>
          </cell>
          <cell r="E1477">
            <v>71350</v>
          </cell>
          <cell r="F1477">
            <v>0</v>
          </cell>
        </row>
        <row r="1478">
          <cell r="A1478" t="str">
            <v>GBELI</v>
          </cell>
          <cell r="B1478" t="str">
            <v>BELI  RAM SAREEN</v>
          </cell>
          <cell r="C1478" t="str">
            <v>LSCRED</v>
          </cell>
          <cell r="D1478">
            <v>54540</v>
          </cell>
          <cell r="E1478">
            <v>54540</v>
          </cell>
          <cell r="F1478">
            <v>0</v>
          </cell>
        </row>
        <row r="1479">
          <cell r="A1479" t="str">
            <v>GBESO</v>
          </cell>
          <cell r="B1479" t="str">
            <v>BELI RAM SAREEN &amp; SONS PVT. LTD.</v>
          </cell>
          <cell r="C1479" t="str">
            <v>LSCRED</v>
          </cell>
          <cell r="D1479">
            <v>242</v>
          </cell>
          <cell r="E1479">
            <v>242</v>
          </cell>
          <cell r="F1479">
            <v>0</v>
          </cell>
        </row>
        <row r="1480">
          <cell r="A1480" t="str">
            <v>GBHLA</v>
          </cell>
          <cell r="B1480" t="str">
            <v>BHAGIRATH LAL</v>
          </cell>
          <cell r="C1480" t="str">
            <v>LSCRED</v>
          </cell>
          <cell r="D1480">
            <v>92288</v>
          </cell>
          <cell r="E1480">
            <v>92288</v>
          </cell>
          <cell r="F1480">
            <v>0</v>
          </cell>
        </row>
        <row r="1481">
          <cell r="A1481" t="str">
            <v>GBHCH</v>
          </cell>
          <cell r="B1481" t="str">
            <v>BHAGWAN DASS CHHABRA</v>
          </cell>
          <cell r="C1481" t="str">
            <v>LSCRED</v>
          </cell>
          <cell r="D1481">
            <v>13080</v>
          </cell>
          <cell r="E1481">
            <v>13080</v>
          </cell>
          <cell r="F1481">
            <v>0</v>
          </cell>
        </row>
        <row r="1482">
          <cell r="A1482" t="str">
            <v>GBHAK</v>
          </cell>
          <cell r="B1482" t="str">
            <v>BHAKTI NANDKUMAR PAPAIYA</v>
          </cell>
          <cell r="C1482" t="str">
            <v>LSCRED</v>
          </cell>
          <cell r="D1482">
            <v>36257</v>
          </cell>
          <cell r="E1482">
            <v>36257</v>
          </cell>
          <cell r="F1482">
            <v>0</v>
          </cell>
        </row>
        <row r="1483">
          <cell r="A1483" t="str">
            <v>GBHTP</v>
          </cell>
          <cell r="B1483" t="str">
            <v>BHARAT TYRES</v>
          </cell>
          <cell r="C1483" t="str">
            <v>LSCRED</v>
          </cell>
          <cell r="D1483">
            <v>94569</v>
          </cell>
          <cell r="E1483">
            <v>94569</v>
          </cell>
          <cell r="F1483">
            <v>0</v>
          </cell>
        </row>
        <row r="1484">
          <cell r="A1484" t="str">
            <v>GBHAU</v>
          </cell>
          <cell r="B1484" t="str">
            <v>BHARAT UDYOG LIMITED</v>
          </cell>
          <cell r="C1484" t="str">
            <v>LSCRED</v>
          </cell>
          <cell r="D1484">
            <v>17212</v>
          </cell>
          <cell r="E1484">
            <v>17212</v>
          </cell>
          <cell r="F1484">
            <v>0</v>
          </cell>
        </row>
        <row r="1485">
          <cell r="A1485" t="str">
            <v>GBHMA</v>
          </cell>
          <cell r="B1485" t="str">
            <v>BHARTI MALIK</v>
          </cell>
          <cell r="C1485" t="str">
            <v>LSCRED</v>
          </cell>
          <cell r="D1485">
            <v>18863</v>
          </cell>
          <cell r="E1485">
            <v>18863</v>
          </cell>
          <cell r="F1485">
            <v>0</v>
          </cell>
        </row>
        <row r="1486">
          <cell r="A1486" t="str">
            <v>GBHAN</v>
          </cell>
          <cell r="B1486" t="str">
            <v>BHARTI NARANG</v>
          </cell>
          <cell r="C1486" t="str">
            <v>LSCRED</v>
          </cell>
          <cell r="D1486">
            <v>110974</v>
          </cell>
          <cell r="E1486">
            <v>110974</v>
          </cell>
          <cell r="F1486">
            <v>0</v>
          </cell>
        </row>
        <row r="1487">
          <cell r="A1487" t="str">
            <v>GBASH</v>
          </cell>
          <cell r="B1487" t="str">
            <v>BHAVIN AMBALAL SHAH</v>
          </cell>
          <cell r="C1487" t="str">
            <v>LSCRED</v>
          </cell>
          <cell r="D1487">
            <v>84403</v>
          </cell>
          <cell r="E1487">
            <v>84403</v>
          </cell>
          <cell r="F1487">
            <v>0</v>
          </cell>
        </row>
        <row r="1488">
          <cell r="A1488" t="str">
            <v>GBHAV</v>
          </cell>
          <cell r="B1488" t="str">
            <v>BHAVINI PARIMAL SHAH</v>
          </cell>
          <cell r="C1488" t="str">
            <v>LSCRED</v>
          </cell>
          <cell r="D1488">
            <v>24418.5</v>
          </cell>
          <cell r="E1488">
            <v>24418.5</v>
          </cell>
          <cell r="F1488">
            <v>0</v>
          </cell>
        </row>
        <row r="1489">
          <cell r="A1489" t="str">
            <v>GBHAVN</v>
          </cell>
          <cell r="B1489" t="str">
            <v>BHAVNA P CHAVLA</v>
          </cell>
          <cell r="C1489" t="str">
            <v>LSCRED</v>
          </cell>
          <cell r="D1489">
            <v>44115</v>
          </cell>
          <cell r="E1489">
            <v>44115</v>
          </cell>
          <cell r="F1489">
            <v>0</v>
          </cell>
        </row>
        <row r="1490">
          <cell r="A1490" t="str">
            <v>GBHPA</v>
          </cell>
          <cell r="B1490" t="str">
            <v>BHUMI BHAGAT &amp; PAAWAN BHAGAT</v>
          </cell>
          <cell r="C1490" t="str">
            <v>LSCRED</v>
          </cell>
          <cell r="D1490">
            <v>47748</v>
          </cell>
          <cell r="E1490">
            <v>47748</v>
          </cell>
          <cell r="F1490">
            <v>0</v>
          </cell>
        </row>
        <row r="1491">
          <cell r="A1491" t="str">
            <v>GBIJE</v>
          </cell>
          <cell r="B1491" t="str">
            <v>BIJENDER KUMAR SHARMA</v>
          </cell>
          <cell r="C1491" t="str">
            <v>LSCRED</v>
          </cell>
          <cell r="D1491">
            <v>89505</v>
          </cell>
          <cell r="E1491">
            <v>89505</v>
          </cell>
          <cell r="F1491">
            <v>0</v>
          </cell>
        </row>
        <row r="1492">
          <cell r="A1492" t="str">
            <v>GBBSD</v>
          </cell>
          <cell r="B1492" t="str">
            <v>BIR BAHADUR SINGH</v>
          </cell>
          <cell r="C1492" t="str">
            <v>LSCRED</v>
          </cell>
          <cell r="D1492">
            <v>88191</v>
          </cell>
          <cell r="E1492">
            <v>88191</v>
          </cell>
          <cell r="F1492">
            <v>0</v>
          </cell>
        </row>
        <row r="1493">
          <cell r="A1493" t="str">
            <v>GBOLL</v>
          </cell>
          <cell r="B1493" t="str">
            <v>BOLLU KISHORE BABU</v>
          </cell>
          <cell r="C1493" t="str">
            <v>LSCRED</v>
          </cell>
          <cell r="D1493">
            <v>59382</v>
          </cell>
          <cell r="E1493">
            <v>59382</v>
          </cell>
          <cell r="F1493">
            <v>0</v>
          </cell>
        </row>
        <row r="1494">
          <cell r="A1494" t="str">
            <v>GBRAH</v>
          </cell>
          <cell r="B1494" t="str">
            <v>BRAHMA TRADERS</v>
          </cell>
          <cell r="C1494" t="str">
            <v>LSCRED</v>
          </cell>
          <cell r="D1494">
            <v>33927</v>
          </cell>
          <cell r="E1494">
            <v>33927</v>
          </cell>
          <cell r="F1494">
            <v>0</v>
          </cell>
        </row>
        <row r="1495">
          <cell r="A1495" t="str">
            <v>GBREA</v>
          </cell>
          <cell r="B1495" t="str">
            <v>BREAK THRU CONSULTANTS</v>
          </cell>
          <cell r="C1495" t="str">
            <v>LSCRED</v>
          </cell>
          <cell r="D1495">
            <v>15885</v>
          </cell>
          <cell r="E1495">
            <v>15885</v>
          </cell>
          <cell r="F1495">
            <v>0</v>
          </cell>
        </row>
        <row r="1496">
          <cell r="A1496" t="str">
            <v>GBULS</v>
          </cell>
          <cell r="B1496" t="str">
            <v>BULSARA ESTATE CONSULTANTS</v>
          </cell>
          <cell r="C1496" t="str">
            <v>LSCRED</v>
          </cell>
          <cell r="D1496">
            <v>12179</v>
          </cell>
          <cell r="E1496">
            <v>12179</v>
          </cell>
          <cell r="F1496">
            <v>0</v>
          </cell>
        </row>
        <row r="1497">
          <cell r="A1497" t="str">
            <v>GBURR</v>
          </cell>
          <cell r="B1497" t="str">
            <v>BURRA INDIRA MOHAN</v>
          </cell>
          <cell r="C1497" t="str">
            <v>LSCRED</v>
          </cell>
          <cell r="D1497">
            <v>65322</v>
          </cell>
          <cell r="E1497">
            <v>65322</v>
          </cell>
          <cell r="F1497">
            <v>0</v>
          </cell>
        </row>
        <row r="1498">
          <cell r="A1498" t="str">
            <v>GCACH</v>
          </cell>
          <cell r="B1498" t="str">
            <v>C. ACHUTHAN</v>
          </cell>
          <cell r="C1498" t="str">
            <v>LSCRED</v>
          </cell>
          <cell r="D1498">
            <v>116830</v>
          </cell>
          <cell r="E1498">
            <v>116830</v>
          </cell>
          <cell r="F1498">
            <v>0</v>
          </cell>
        </row>
        <row r="1499">
          <cell r="A1499" t="str">
            <v>GCGNA</v>
          </cell>
          <cell r="B1499" t="str">
            <v>C. GNANAVEL</v>
          </cell>
          <cell r="C1499" t="str">
            <v>LSCRED</v>
          </cell>
          <cell r="D1499">
            <v>1683</v>
          </cell>
          <cell r="E1499">
            <v>1683</v>
          </cell>
          <cell r="F1499">
            <v>0</v>
          </cell>
        </row>
        <row r="1500">
          <cell r="A1500" t="str">
            <v>GCHEM</v>
          </cell>
          <cell r="B1500" t="str">
            <v>C. HEMALATHA</v>
          </cell>
          <cell r="C1500" t="str">
            <v>LSCRED</v>
          </cell>
          <cell r="D1500">
            <v>14442</v>
          </cell>
          <cell r="E1500">
            <v>14442</v>
          </cell>
          <cell r="F1500">
            <v>0</v>
          </cell>
        </row>
        <row r="1501">
          <cell r="A1501" t="str">
            <v>GCMOH</v>
          </cell>
          <cell r="B1501" t="str">
            <v>CAPT. MOHAN KUMAR GANDHI &amp; SONS (HUF)</v>
          </cell>
          <cell r="C1501" t="str">
            <v>LSCRED</v>
          </cell>
          <cell r="D1501">
            <v>28193</v>
          </cell>
          <cell r="E1501">
            <v>28193</v>
          </cell>
          <cell r="F1501">
            <v>0</v>
          </cell>
        </row>
        <row r="1502">
          <cell r="A1502" t="str">
            <v>GCRAE</v>
          </cell>
          <cell r="B1502" t="str">
            <v>CARE FOOD ZONE</v>
          </cell>
          <cell r="C1502" t="str">
            <v>LSCRED</v>
          </cell>
          <cell r="D1502">
            <v>5209</v>
          </cell>
          <cell r="E1502">
            <v>5209</v>
          </cell>
          <cell r="F1502">
            <v>0</v>
          </cell>
        </row>
        <row r="1503">
          <cell r="A1503" t="str">
            <v>GCARS</v>
          </cell>
          <cell r="B1503" t="str">
            <v>CAREER SHAPERS</v>
          </cell>
          <cell r="C1503" t="str">
            <v>LSCRED</v>
          </cell>
          <cell r="D1503">
            <v>42126</v>
          </cell>
          <cell r="E1503">
            <v>42126</v>
          </cell>
          <cell r="F1503">
            <v>0</v>
          </cell>
        </row>
        <row r="1504">
          <cell r="A1504" t="str">
            <v>GCETH</v>
          </cell>
          <cell r="B1504" t="str">
            <v>CENTAUR HOTEL</v>
          </cell>
          <cell r="C1504" t="str">
            <v>LSCRED</v>
          </cell>
          <cell r="D1504">
            <v>10000</v>
          </cell>
          <cell r="E1504">
            <v>10000</v>
          </cell>
          <cell r="F1504">
            <v>0</v>
          </cell>
        </row>
        <row r="1505">
          <cell r="A1505" t="str">
            <v>GCHKA</v>
          </cell>
          <cell r="B1505" t="str">
            <v>CH. KALYAN SINGH HUF (KARTA)</v>
          </cell>
          <cell r="C1505" t="str">
            <v>LSCRED</v>
          </cell>
          <cell r="D1505">
            <v>21227</v>
          </cell>
          <cell r="E1505">
            <v>21227</v>
          </cell>
          <cell r="F1505">
            <v>0</v>
          </cell>
        </row>
        <row r="1506">
          <cell r="A1506" t="str">
            <v>GCHAJ</v>
          </cell>
          <cell r="B1506" t="str">
            <v>CHANDERKANTA JAIN</v>
          </cell>
          <cell r="C1506" t="str">
            <v>LSCRED</v>
          </cell>
          <cell r="D1506">
            <v>65802</v>
          </cell>
          <cell r="E1506">
            <v>65802</v>
          </cell>
          <cell r="F1506">
            <v>0</v>
          </cell>
        </row>
        <row r="1507">
          <cell r="A1507" t="str">
            <v>GCHDR</v>
          </cell>
          <cell r="B1507" t="str">
            <v>CHANDRA CHITHARANJAN</v>
          </cell>
          <cell r="C1507" t="str">
            <v>LSCRED</v>
          </cell>
          <cell r="D1507">
            <v>119340</v>
          </cell>
          <cell r="E1507">
            <v>119340</v>
          </cell>
          <cell r="F1507">
            <v>0</v>
          </cell>
        </row>
        <row r="1508">
          <cell r="A1508" t="str">
            <v>GCHME</v>
          </cell>
          <cell r="B1508" t="str">
            <v>CHANDRA ENGINEERING &amp; MECHENICAL PVT. LTD.</v>
          </cell>
          <cell r="C1508" t="str">
            <v>LSCRED</v>
          </cell>
          <cell r="D1508">
            <v>296208</v>
          </cell>
          <cell r="E1508">
            <v>296208</v>
          </cell>
          <cell r="F1508">
            <v>0</v>
          </cell>
        </row>
        <row r="1509">
          <cell r="A1509" t="str">
            <v>GCHPR</v>
          </cell>
          <cell r="B1509" t="str">
            <v>CHANDRA PRAKASH GUPTA</v>
          </cell>
          <cell r="C1509" t="str">
            <v>LSCRED</v>
          </cell>
          <cell r="D1509">
            <v>18878</v>
          </cell>
          <cell r="E1509">
            <v>18878</v>
          </cell>
          <cell r="F1509">
            <v>0</v>
          </cell>
        </row>
        <row r="1510">
          <cell r="A1510" t="str">
            <v>GCHHA</v>
          </cell>
          <cell r="B1510" t="str">
            <v>CHHAYA R. DANI</v>
          </cell>
          <cell r="C1510" t="str">
            <v>LSCRED</v>
          </cell>
          <cell r="D1510">
            <v>1403</v>
          </cell>
          <cell r="E1510">
            <v>1403</v>
          </cell>
          <cell r="F1510">
            <v>0</v>
          </cell>
        </row>
        <row r="1511">
          <cell r="A1511" t="str">
            <v>GCHIN</v>
          </cell>
          <cell r="B1511" t="str">
            <v>CHINTAMANI PAPER PRODUCTS (P) LTD.</v>
          </cell>
          <cell r="C1511" t="str">
            <v>LSCRED</v>
          </cell>
          <cell r="D1511">
            <v>20000</v>
          </cell>
          <cell r="E1511">
            <v>20000</v>
          </cell>
          <cell r="F1511">
            <v>0</v>
          </cell>
        </row>
        <row r="1512">
          <cell r="A1512" t="str">
            <v>G0CHI</v>
          </cell>
          <cell r="B1512" t="str">
            <v>CHIRAGUDDIN &amp; SONS</v>
          </cell>
          <cell r="C1512" t="str">
            <v>LSCRED</v>
          </cell>
          <cell r="D1512">
            <v>9253</v>
          </cell>
          <cell r="E1512">
            <v>9253</v>
          </cell>
          <cell r="F1512">
            <v>0</v>
          </cell>
        </row>
        <row r="1513">
          <cell r="A1513" t="str">
            <v>GCJINH</v>
          </cell>
          <cell r="B1513" t="str">
            <v>CJ INTERNATIONAL HOTELS LIMITED</v>
          </cell>
          <cell r="C1513" t="str">
            <v>LSCRED</v>
          </cell>
          <cell r="D1513">
            <v>34957</v>
          </cell>
          <cell r="E1513">
            <v>34957</v>
          </cell>
          <cell r="F1513">
            <v>0</v>
          </cell>
        </row>
        <row r="1514">
          <cell r="A1514" t="str">
            <v>GCOMN</v>
          </cell>
          <cell r="B1514" t="str">
            <v>COMPETENT MARKETING &amp; COURIER LIMITED</v>
          </cell>
          <cell r="C1514" t="str">
            <v>LSCRED</v>
          </cell>
          <cell r="D1514">
            <v>10494</v>
          </cell>
          <cell r="E1514">
            <v>10494</v>
          </cell>
          <cell r="F1514">
            <v>0</v>
          </cell>
        </row>
        <row r="1515">
          <cell r="A1515" t="str">
            <v>GCOHUT</v>
          </cell>
          <cell r="B1515" t="str">
            <v>COMPUTER HUT</v>
          </cell>
          <cell r="C1515" t="str">
            <v>LSCRED</v>
          </cell>
          <cell r="D1515">
            <v>12000</v>
          </cell>
          <cell r="E1515">
            <v>12000</v>
          </cell>
          <cell r="F1515">
            <v>0</v>
          </cell>
        </row>
        <row r="1516">
          <cell r="A1516" t="str">
            <v>GCWPL</v>
          </cell>
          <cell r="B1516" t="str">
            <v>COMPUTER WARE (I) PVT. LTD.</v>
          </cell>
          <cell r="C1516" t="str">
            <v>LSCRED</v>
          </cell>
          <cell r="D1516">
            <v>610000</v>
          </cell>
          <cell r="E1516">
            <v>610000</v>
          </cell>
          <cell r="F1516">
            <v>0</v>
          </cell>
        </row>
        <row r="1517">
          <cell r="A1517" t="str">
            <v>GCORA</v>
          </cell>
          <cell r="B1517" t="str">
            <v>CORAL MERCANTILE PVT LTD</v>
          </cell>
          <cell r="C1517" t="str">
            <v>LSCRED</v>
          </cell>
          <cell r="D1517">
            <v>242078</v>
          </cell>
          <cell r="E1517">
            <v>242078</v>
          </cell>
          <cell r="F1517">
            <v>0</v>
          </cell>
        </row>
        <row r="1518">
          <cell r="A1518" t="str">
            <v>GCORP</v>
          </cell>
          <cell r="B1518" t="str">
            <v>CORPORATE PLACEMENT</v>
          </cell>
          <cell r="C1518" t="str">
            <v>LSCRED</v>
          </cell>
          <cell r="D1518">
            <v>1178</v>
          </cell>
          <cell r="E1518">
            <v>1178</v>
          </cell>
          <cell r="F1518">
            <v>0</v>
          </cell>
        </row>
        <row r="1519">
          <cell r="A1519" t="str">
            <v>GADIN</v>
          </cell>
          <cell r="B1519" t="str">
            <v>D ADI NARAYANA</v>
          </cell>
          <cell r="C1519" t="str">
            <v>LSCRED</v>
          </cell>
          <cell r="D1519">
            <v>13000</v>
          </cell>
          <cell r="E1519">
            <v>13000</v>
          </cell>
          <cell r="F1519">
            <v>0</v>
          </cell>
        </row>
        <row r="1520">
          <cell r="A1520" t="str">
            <v>GDCAG</v>
          </cell>
          <cell r="B1520" t="str">
            <v>D C AGARWAL (HUF)</v>
          </cell>
          <cell r="C1520" t="str">
            <v>LSCRED</v>
          </cell>
          <cell r="D1520">
            <v>33033</v>
          </cell>
          <cell r="E1520">
            <v>33033</v>
          </cell>
          <cell r="F1520">
            <v>0</v>
          </cell>
        </row>
        <row r="1521">
          <cell r="A1521" t="str">
            <v>GDPRAB</v>
          </cell>
          <cell r="B1521" t="str">
            <v>D. PRABAKAR</v>
          </cell>
          <cell r="C1521" t="str">
            <v>LSCRED</v>
          </cell>
          <cell r="D1521">
            <v>151470</v>
          </cell>
          <cell r="E1521">
            <v>151470</v>
          </cell>
          <cell r="F1521">
            <v>0</v>
          </cell>
        </row>
        <row r="1522">
          <cell r="A1522" t="str">
            <v>GDAIL</v>
          </cell>
          <cell r="B1522" t="str">
            <v>DAILY XPRESS CORPORATION</v>
          </cell>
          <cell r="C1522" t="str">
            <v>LSCRED</v>
          </cell>
          <cell r="D1522">
            <v>438</v>
          </cell>
          <cell r="E1522">
            <v>438</v>
          </cell>
          <cell r="F1522">
            <v>0</v>
          </cell>
        </row>
        <row r="1523">
          <cell r="A1523" t="str">
            <v>GDALH</v>
          </cell>
          <cell r="B1523" t="str">
            <v>DALHOUSIE PROPERTIES LIMITED</v>
          </cell>
          <cell r="C1523" t="str">
            <v>LSCRED</v>
          </cell>
          <cell r="D1523">
            <v>323136</v>
          </cell>
          <cell r="E1523">
            <v>323136</v>
          </cell>
          <cell r="F1523">
            <v>0</v>
          </cell>
        </row>
        <row r="1524">
          <cell r="A1524" t="str">
            <v>GDALS</v>
          </cell>
          <cell r="B1524" t="str">
            <v>DALPAT SINGH SODHA</v>
          </cell>
          <cell r="C1524" t="str">
            <v>LSCRED</v>
          </cell>
          <cell r="D1524">
            <v>26160</v>
          </cell>
          <cell r="E1524">
            <v>26160</v>
          </cell>
          <cell r="F1524">
            <v>0</v>
          </cell>
        </row>
        <row r="1525">
          <cell r="A1525" t="str">
            <v>GDANI</v>
          </cell>
          <cell r="B1525" t="str">
            <v>DANIEL BUILDERS PRIVATE LIMITED</v>
          </cell>
          <cell r="C1525" t="str">
            <v>LSCRED</v>
          </cell>
          <cell r="D1525">
            <v>85515</v>
          </cell>
          <cell r="E1525">
            <v>85515</v>
          </cell>
          <cell r="F1525">
            <v>0</v>
          </cell>
        </row>
        <row r="1526">
          <cell r="A1526" t="str">
            <v>GDASH</v>
          </cell>
          <cell r="B1526" t="str">
            <v>DASH ENTERPRISES</v>
          </cell>
          <cell r="C1526" t="str">
            <v>LSCRED</v>
          </cell>
          <cell r="D1526">
            <v>5588</v>
          </cell>
          <cell r="E1526">
            <v>5588</v>
          </cell>
          <cell r="F1526">
            <v>0</v>
          </cell>
        </row>
        <row r="1527">
          <cell r="A1527" t="str">
            <v>GDATTA</v>
          </cell>
          <cell r="B1527" t="str">
            <v>DATTATRAY RAMCHANDRA KELKAR</v>
          </cell>
          <cell r="C1527" t="str">
            <v>LSCRED</v>
          </cell>
          <cell r="D1527">
            <v>100000</v>
          </cell>
          <cell r="E1527">
            <v>100000</v>
          </cell>
          <cell r="F1527">
            <v>0</v>
          </cell>
        </row>
        <row r="1528">
          <cell r="A1528" t="str">
            <v>GDBUD</v>
          </cell>
          <cell r="B1528" t="str">
            <v>DBUDDY</v>
          </cell>
          <cell r="C1528" t="str">
            <v>LSCRED</v>
          </cell>
          <cell r="D1528">
            <v>34450</v>
          </cell>
          <cell r="E1528">
            <v>34450</v>
          </cell>
          <cell r="F1528">
            <v>0</v>
          </cell>
        </row>
        <row r="1529">
          <cell r="A1529" t="str">
            <v>GDEAW</v>
          </cell>
          <cell r="B1529" t="str">
            <v>DEALWEL</v>
          </cell>
          <cell r="C1529" t="str">
            <v>LSCRED</v>
          </cell>
          <cell r="D1529">
            <v>94391</v>
          </cell>
          <cell r="E1529">
            <v>94391</v>
          </cell>
          <cell r="F1529">
            <v>0</v>
          </cell>
        </row>
        <row r="1530">
          <cell r="A1530" t="str">
            <v>GDEAL</v>
          </cell>
          <cell r="B1530" t="str">
            <v>DEALWEL REAL ESTATES</v>
          </cell>
          <cell r="C1530" t="str">
            <v>LSCRED</v>
          </cell>
          <cell r="D1530">
            <v>4516</v>
          </cell>
          <cell r="E1530">
            <v>4516</v>
          </cell>
          <cell r="F1530">
            <v>0</v>
          </cell>
        </row>
        <row r="1531">
          <cell r="A1531" t="str">
            <v>GDEBP</v>
          </cell>
          <cell r="B1531" t="str">
            <v>DEBA PRASAD KAR</v>
          </cell>
          <cell r="C1531" t="str">
            <v>LSCRED</v>
          </cell>
          <cell r="D1531">
            <v>23504</v>
          </cell>
          <cell r="E1531">
            <v>23504</v>
          </cell>
          <cell r="F1531">
            <v>0</v>
          </cell>
        </row>
        <row r="1532">
          <cell r="A1532" t="str">
            <v>GDEEB</v>
          </cell>
          <cell r="B1532" t="str">
            <v>DEEPAK BATHIJA</v>
          </cell>
          <cell r="C1532" t="str">
            <v>LSCRED</v>
          </cell>
          <cell r="D1532">
            <v>2185</v>
          </cell>
          <cell r="E1532">
            <v>2185</v>
          </cell>
          <cell r="F1532">
            <v>0</v>
          </cell>
        </row>
        <row r="1533">
          <cell r="A1533" t="str">
            <v>GDECH</v>
          </cell>
          <cell r="B1533" t="str">
            <v>DEEPAK CHOPRA</v>
          </cell>
          <cell r="C1533" t="str">
            <v>LSCRED</v>
          </cell>
          <cell r="D1533">
            <v>1192</v>
          </cell>
          <cell r="E1533">
            <v>1192</v>
          </cell>
          <cell r="F1533">
            <v>0</v>
          </cell>
        </row>
        <row r="1534">
          <cell r="A1534" t="str">
            <v>GDSONI</v>
          </cell>
          <cell r="B1534" t="str">
            <v>DEEPAK KUMAR SONI</v>
          </cell>
          <cell r="C1534" t="str">
            <v>LSCRED</v>
          </cell>
          <cell r="D1534">
            <v>63381</v>
          </cell>
          <cell r="E1534">
            <v>63381</v>
          </cell>
          <cell r="F1534">
            <v>0</v>
          </cell>
        </row>
        <row r="1535">
          <cell r="A1535" t="str">
            <v>GDEOC</v>
          </cell>
          <cell r="B1535" t="str">
            <v>DEEPAK OCHANEY</v>
          </cell>
          <cell r="C1535" t="str">
            <v>LSCRED</v>
          </cell>
          <cell r="D1535">
            <v>328185</v>
          </cell>
          <cell r="E1535">
            <v>328185</v>
          </cell>
          <cell r="F1535">
            <v>0</v>
          </cell>
        </row>
        <row r="1536">
          <cell r="A1536" t="str">
            <v>GDEEPT</v>
          </cell>
          <cell r="B1536" t="str">
            <v>DEEPTI ARORA</v>
          </cell>
          <cell r="C1536" t="str">
            <v>LSCRED</v>
          </cell>
          <cell r="D1536">
            <v>533</v>
          </cell>
          <cell r="E1536">
            <v>533</v>
          </cell>
          <cell r="F1536">
            <v>0</v>
          </cell>
        </row>
        <row r="1537">
          <cell r="A1537" t="str">
            <v>GDCRS</v>
          </cell>
          <cell r="B1537" t="str">
            <v>DELHI CAR RENTAL SERVICE</v>
          </cell>
          <cell r="C1537" t="str">
            <v>LSCRED</v>
          </cell>
          <cell r="D1537">
            <v>51888</v>
          </cell>
          <cell r="E1537">
            <v>51888</v>
          </cell>
          <cell r="F1537">
            <v>0</v>
          </cell>
        </row>
        <row r="1538">
          <cell r="A1538" t="str">
            <v>GDEOL</v>
          </cell>
          <cell r="B1538" t="str">
            <v>DEOL BUILDERS &amp; DEVELOPERS PVT. LTD.</v>
          </cell>
          <cell r="C1538" t="str">
            <v>LSCRED</v>
          </cell>
          <cell r="D1538">
            <v>2974</v>
          </cell>
          <cell r="E1538">
            <v>2974</v>
          </cell>
          <cell r="F1538">
            <v>0</v>
          </cell>
        </row>
        <row r="1539">
          <cell r="A1539" t="str">
            <v>GDEVA</v>
          </cell>
          <cell r="B1539" t="str">
            <v>DEVA DEVI VARA PRASAD</v>
          </cell>
          <cell r="C1539" t="str">
            <v>LSCRED</v>
          </cell>
          <cell r="D1539">
            <v>11450</v>
          </cell>
          <cell r="E1539">
            <v>11450</v>
          </cell>
          <cell r="F1539">
            <v>0</v>
          </cell>
        </row>
        <row r="1540">
          <cell r="A1540" t="str">
            <v>GDEDE</v>
          </cell>
          <cell r="B1540" t="str">
            <v>DEVINDER DEWAN</v>
          </cell>
          <cell r="C1540" t="str">
            <v>LSCRED</v>
          </cell>
          <cell r="D1540">
            <v>60595</v>
          </cell>
          <cell r="E1540">
            <v>60595</v>
          </cell>
          <cell r="F1540">
            <v>0</v>
          </cell>
        </row>
        <row r="1541">
          <cell r="A1541" t="str">
            <v>GDEVG</v>
          </cell>
          <cell r="B1541" t="str">
            <v>DEVINDER GROVER</v>
          </cell>
          <cell r="C1541" t="str">
            <v>LSCRED</v>
          </cell>
          <cell r="D1541">
            <v>35470</v>
          </cell>
          <cell r="E1541">
            <v>35470</v>
          </cell>
          <cell r="F1541">
            <v>0</v>
          </cell>
        </row>
        <row r="1542">
          <cell r="A1542" t="str">
            <v>GDEVS</v>
          </cell>
          <cell r="B1542" t="str">
            <v>DEVINDER SINGH</v>
          </cell>
          <cell r="C1542" t="str">
            <v>LSCRED</v>
          </cell>
          <cell r="D1542">
            <v>33825</v>
          </cell>
          <cell r="E1542">
            <v>33825</v>
          </cell>
          <cell r="F1542">
            <v>0</v>
          </cell>
        </row>
        <row r="1543">
          <cell r="A1543" t="str">
            <v>GDHTA</v>
          </cell>
          <cell r="B1543" t="str">
            <v>DHARAMPALTARANI</v>
          </cell>
          <cell r="C1543" t="str">
            <v>LSCRED</v>
          </cell>
          <cell r="D1543">
            <v>32130</v>
          </cell>
          <cell r="E1543">
            <v>32130</v>
          </cell>
          <cell r="F1543">
            <v>0</v>
          </cell>
        </row>
        <row r="1544">
          <cell r="A1544" t="str">
            <v>GDHAA</v>
          </cell>
          <cell r="B1544" t="str">
            <v>DHARAMVATI SINGH</v>
          </cell>
          <cell r="C1544" t="str">
            <v>LSCRED</v>
          </cell>
          <cell r="D1544">
            <v>67176</v>
          </cell>
          <cell r="E1544">
            <v>67176</v>
          </cell>
          <cell r="F1544">
            <v>0</v>
          </cell>
        </row>
        <row r="1545">
          <cell r="A1545" t="str">
            <v>GDHES</v>
          </cell>
          <cell r="B1545" t="str">
            <v>DHARANA ESTATE AGENCY</v>
          </cell>
          <cell r="C1545" t="str">
            <v>LSCRED</v>
          </cell>
          <cell r="D1545">
            <v>55898</v>
          </cell>
          <cell r="E1545">
            <v>55898</v>
          </cell>
          <cell r="F1545">
            <v>0</v>
          </cell>
        </row>
        <row r="1546">
          <cell r="A1546" t="str">
            <v>GDHOO</v>
          </cell>
          <cell r="B1546" t="str">
            <v>DHOOP CHAND PANDYA</v>
          </cell>
          <cell r="C1546" t="str">
            <v>LSCRED</v>
          </cell>
          <cell r="D1546">
            <v>103275</v>
          </cell>
          <cell r="E1546">
            <v>103275</v>
          </cell>
          <cell r="F1546">
            <v>0</v>
          </cell>
        </row>
        <row r="1547">
          <cell r="A1547" t="str">
            <v>GDHRU</v>
          </cell>
          <cell r="B1547" t="str">
            <v>DHRUV COUNSELING SERVICES</v>
          </cell>
          <cell r="C1547" t="str">
            <v>LSCRED</v>
          </cell>
          <cell r="D1547">
            <v>7218</v>
          </cell>
          <cell r="E1547">
            <v>7218</v>
          </cell>
          <cell r="F1547">
            <v>0</v>
          </cell>
        </row>
        <row r="1548">
          <cell r="A1548" t="str">
            <v>GDICA</v>
          </cell>
          <cell r="B1548" t="str">
            <v>DIGITAL CARE</v>
          </cell>
          <cell r="C1548" t="str">
            <v>LSCRED</v>
          </cell>
          <cell r="D1548">
            <v>584</v>
          </cell>
          <cell r="E1548">
            <v>584</v>
          </cell>
          <cell r="F1548">
            <v>0</v>
          </cell>
        </row>
        <row r="1549">
          <cell r="A1549" t="str">
            <v>GDIGV</v>
          </cell>
          <cell r="B1549" t="str">
            <v>DIGVIJAY L. GAEKWAD</v>
          </cell>
          <cell r="C1549" t="str">
            <v>LSCRED</v>
          </cell>
          <cell r="D1549">
            <v>263675</v>
          </cell>
          <cell r="E1549">
            <v>263675</v>
          </cell>
          <cell r="F1549">
            <v>0</v>
          </cell>
        </row>
        <row r="1550">
          <cell r="A1550" t="str">
            <v>GDILP</v>
          </cell>
          <cell r="B1550" t="str">
            <v>DILIP KUMAR LALWANI</v>
          </cell>
          <cell r="C1550" t="str">
            <v>LSCRED</v>
          </cell>
          <cell r="D1550">
            <v>502940</v>
          </cell>
          <cell r="E1550">
            <v>502940</v>
          </cell>
          <cell r="F1550">
            <v>0</v>
          </cell>
        </row>
        <row r="1551">
          <cell r="A1551" t="str">
            <v>GDILM</v>
          </cell>
          <cell r="B1551" t="str">
            <v>DILIP KUMAR MANCHANDA</v>
          </cell>
          <cell r="C1551" t="str">
            <v>LSCRED</v>
          </cell>
          <cell r="D1551">
            <v>45900</v>
          </cell>
          <cell r="E1551">
            <v>45900</v>
          </cell>
          <cell r="F1551">
            <v>0</v>
          </cell>
        </row>
        <row r="1552">
          <cell r="A1552" t="str">
            <v>GDIME</v>
          </cell>
          <cell r="B1552" t="str">
            <v>DIMENSIONS</v>
          </cell>
          <cell r="C1552" t="str">
            <v>LSCRED</v>
          </cell>
          <cell r="D1552">
            <v>60206</v>
          </cell>
          <cell r="E1552">
            <v>60206</v>
          </cell>
          <cell r="F1552">
            <v>0</v>
          </cell>
        </row>
        <row r="1553">
          <cell r="A1553" t="str">
            <v>GDIPL</v>
          </cell>
          <cell r="B1553" t="str">
            <v>DIPLOMAT PRINTERS</v>
          </cell>
          <cell r="C1553" t="str">
            <v>LSCRED</v>
          </cell>
          <cell r="D1553">
            <v>4435.5</v>
          </cell>
          <cell r="E1553">
            <v>4435.5</v>
          </cell>
          <cell r="F1553">
            <v>0</v>
          </cell>
        </row>
        <row r="1554">
          <cell r="A1554" t="str">
            <v>GPRAF</v>
          </cell>
          <cell r="B1554" t="str">
            <v>DR. PRAFUL CHANDRA</v>
          </cell>
          <cell r="C1554" t="str">
            <v>LSCRED</v>
          </cell>
          <cell r="D1554">
            <v>18170</v>
          </cell>
          <cell r="E1554">
            <v>18170</v>
          </cell>
          <cell r="F1554">
            <v>0</v>
          </cell>
        </row>
        <row r="1555">
          <cell r="A1555" t="str">
            <v>GSART</v>
          </cell>
          <cell r="B1555" t="str">
            <v>DR. SAROJ TIWARI</v>
          </cell>
          <cell r="C1555" t="str">
            <v>LSCRED</v>
          </cell>
          <cell r="D1555">
            <v>13464</v>
          </cell>
          <cell r="E1555">
            <v>13464</v>
          </cell>
          <cell r="F1555">
            <v>0</v>
          </cell>
        </row>
        <row r="1556">
          <cell r="A1556" t="str">
            <v>GDUAA</v>
          </cell>
          <cell r="B1556" t="str">
            <v>DUA ASSOCIATES</v>
          </cell>
          <cell r="C1556" t="str">
            <v>LSCRED</v>
          </cell>
          <cell r="D1556">
            <v>97287</v>
          </cell>
          <cell r="E1556">
            <v>97287</v>
          </cell>
          <cell r="F1556">
            <v>0</v>
          </cell>
        </row>
        <row r="1557">
          <cell r="A1557" t="str">
            <v>GDUAP</v>
          </cell>
          <cell r="B1557" t="str">
            <v>DUA PROPERTIES</v>
          </cell>
          <cell r="C1557" t="str">
            <v>LSCRED</v>
          </cell>
          <cell r="D1557">
            <v>3978</v>
          </cell>
          <cell r="E1557">
            <v>3978</v>
          </cell>
          <cell r="F1557">
            <v>0</v>
          </cell>
        </row>
        <row r="1558">
          <cell r="A1558" t="str">
            <v>GDURA</v>
          </cell>
          <cell r="B1558" t="str">
            <v>DURGA SHANKAR</v>
          </cell>
          <cell r="C1558" t="str">
            <v>LSCRED</v>
          </cell>
          <cell r="D1558">
            <v>87302</v>
          </cell>
          <cell r="E1558">
            <v>87302</v>
          </cell>
          <cell r="F1558">
            <v>0</v>
          </cell>
        </row>
        <row r="1559">
          <cell r="A1559" t="str">
            <v>GDURG</v>
          </cell>
          <cell r="B1559" t="str">
            <v>DURGAPUR CITY CENTRE MANAGEMENT SERVICES</v>
          </cell>
          <cell r="C1559" t="str">
            <v>LSCRED</v>
          </cell>
          <cell r="D1559">
            <v>13570</v>
          </cell>
          <cell r="E1559">
            <v>13570</v>
          </cell>
          <cell r="F1559">
            <v>0</v>
          </cell>
        </row>
        <row r="1560">
          <cell r="A1560" t="str">
            <v>GDUAG</v>
          </cell>
          <cell r="B1560" t="str">
            <v>DURGAVATI AGARWAL</v>
          </cell>
          <cell r="C1560" t="str">
            <v>LSCRED</v>
          </cell>
          <cell r="D1560">
            <v>69105</v>
          </cell>
          <cell r="E1560">
            <v>69105</v>
          </cell>
          <cell r="F1560">
            <v>0</v>
          </cell>
        </row>
        <row r="1561">
          <cell r="A1561" t="str">
            <v>GDPOW</v>
          </cell>
          <cell r="B1561" t="str">
            <v>DWARAKA PLAZA OWNERS WELFARE ASSOCIATION</v>
          </cell>
          <cell r="C1561" t="str">
            <v>LSCRED</v>
          </cell>
          <cell r="D1561">
            <v>38207</v>
          </cell>
          <cell r="E1561">
            <v>38207</v>
          </cell>
          <cell r="F1561">
            <v>0</v>
          </cell>
        </row>
        <row r="1562">
          <cell r="A1562" t="str">
            <v>GESAT</v>
          </cell>
          <cell r="B1562" t="str">
            <v>E. SATISH KUMAR</v>
          </cell>
          <cell r="C1562" t="str">
            <v>LSCRED</v>
          </cell>
          <cell r="D1562">
            <v>2450</v>
          </cell>
          <cell r="E1562">
            <v>2450</v>
          </cell>
          <cell r="F1562">
            <v>0</v>
          </cell>
        </row>
        <row r="1563">
          <cell r="A1563" t="str">
            <v>GCESR</v>
          </cell>
          <cell r="B1563" t="str">
            <v>EDUCATION CESS RECEIVABLE</v>
          </cell>
          <cell r="C1563" t="str">
            <v>LSCRED</v>
          </cell>
          <cell r="D1563">
            <v>22935</v>
          </cell>
          <cell r="E1563">
            <v>22935</v>
          </cell>
          <cell r="F1563">
            <v>0</v>
          </cell>
        </row>
        <row r="1564">
          <cell r="A1564" t="str">
            <v>GELBE</v>
          </cell>
          <cell r="B1564" t="str">
            <v>ELBEE EXPRESS LIMITED</v>
          </cell>
          <cell r="C1564" t="str">
            <v>LSCRED</v>
          </cell>
          <cell r="D1564">
            <v>262</v>
          </cell>
          <cell r="E1564">
            <v>262</v>
          </cell>
          <cell r="F1564">
            <v>0</v>
          </cell>
        </row>
        <row r="1565">
          <cell r="A1565" t="str">
            <v>GELE</v>
          </cell>
          <cell r="B1565" t="str">
            <v>ELEGANT FURNITURE</v>
          </cell>
          <cell r="C1565" t="str">
            <v>LSCRED</v>
          </cell>
          <cell r="D1565">
            <v>3300</v>
          </cell>
          <cell r="E1565">
            <v>3300</v>
          </cell>
          <cell r="F1565">
            <v>0</v>
          </cell>
        </row>
        <row r="1566">
          <cell r="A1566" t="str">
            <v>GESSA</v>
          </cell>
          <cell r="B1566" t="str">
            <v>ESSAR ENGINEERS</v>
          </cell>
          <cell r="C1566" t="str">
            <v>LSCRED</v>
          </cell>
          <cell r="D1566">
            <v>52500</v>
          </cell>
          <cell r="E1566">
            <v>52500</v>
          </cell>
          <cell r="F1566">
            <v>0</v>
          </cell>
        </row>
        <row r="1567">
          <cell r="A1567" t="str">
            <v>GESSAR</v>
          </cell>
          <cell r="B1567" t="str">
            <v>ESSAR EXPORTS</v>
          </cell>
          <cell r="C1567" t="str">
            <v>LSCRED</v>
          </cell>
          <cell r="D1567">
            <v>698234</v>
          </cell>
          <cell r="E1567">
            <v>698234</v>
          </cell>
          <cell r="F1567">
            <v>0</v>
          </cell>
        </row>
        <row r="1568">
          <cell r="A1568" t="str">
            <v>GEXPR</v>
          </cell>
          <cell r="B1568" t="str">
            <v>EXPRESSIT LOGISTICS WORLDWIDE LIMITED</v>
          </cell>
          <cell r="C1568" t="str">
            <v>LSCRED</v>
          </cell>
          <cell r="D1568">
            <v>9</v>
          </cell>
          <cell r="E1568">
            <v>9</v>
          </cell>
          <cell r="F1568">
            <v>0</v>
          </cell>
        </row>
        <row r="1569">
          <cell r="A1569" t="str">
            <v>GFAIZ</v>
          </cell>
          <cell r="B1569" t="str">
            <v>FAIZ QUADIR</v>
          </cell>
          <cell r="C1569" t="str">
            <v>LSCRED</v>
          </cell>
          <cell r="D1569">
            <v>631</v>
          </cell>
          <cell r="E1569">
            <v>631</v>
          </cell>
          <cell r="F1569">
            <v>0</v>
          </cell>
        </row>
        <row r="1570">
          <cell r="A1570" t="str">
            <v>GFASC</v>
          </cell>
          <cell r="B1570" t="str">
            <v>FAST TRAIN CARGO</v>
          </cell>
          <cell r="C1570" t="str">
            <v>LSCRED</v>
          </cell>
          <cell r="D1570">
            <v>88832</v>
          </cell>
          <cell r="E1570">
            <v>88832</v>
          </cell>
          <cell r="F1570">
            <v>0</v>
          </cell>
        </row>
        <row r="1571">
          <cell r="A1571" t="str">
            <v>GFATB</v>
          </cell>
          <cell r="B1571" t="str">
            <v>FATEH BAHADUR SINGH</v>
          </cell>
          <cell r="C1571" t="str">
            <v>LSCRED</v>
          </cell>
          <cell r="D1571">
            <v>21720</v>
          </cell>
          <cell r="E1571">
            <v>21720</v>
          </cell>
          <cell r="F1571">
            <v>0</v>
          </cell>
        </row>
        <row r="1572">
          <cell r="A1572" t="str">
            <v>GFRAN</v>
          </cell>
          <cell r="B1572" t="str">
            <v>FRANK ESTATE CONSULTANCY</v>
          </cell>
          <cell r="C1572" t="str">
            <v>LSCRED</v>
          </cell>
          <cell r="D1572">
            <v>4348</v>
          </cell>
          <cell r="E1572">
            <v>4348</v>
          </cell>
          <cell r="F1572">
            <v>0</v>
          </cell>
        </row>
        <row r="1573">
          <cell r="A1573" t="str">
            <v>GFRIP</v>
          </cell>
          <cell r="B1573" t="str">
            <v>FRIENDS PLACEMENTS</v>
          </cell>
          <cell r="C1573" t="str">
            <v>LSCRED</v>
          </cell>
          <cell r="D1573">
            <v>52896</v>
          </cell>
          <cell r="E1573">
            <v>52896</v>
          </cell>
          <cell r="F1573">
            <v>0</v>
          </cell>
        </row>
        <row r="1574">
          <cell r="A1574" t="str">
            <v>GGVPE</v>
          </cell>
          <cell r="B1574" t="str">
            <v>G V PETHIA</v>
          </cell>
          <cell r="C1574" t="str">
            <v>LSCRED</v>
          </cell>
          <cell r="D1574">
            <v>26628</v>
          </cell>
          <cell r="E1574">
            <v>26628</v>
          </cell>
          <cell r="F1574">
            <v>0</v>
          </cell>
        </row>
        <row r="1575">
          <cell r="A1575" t="str">
            <v>GGKRE</v>
          </cell>
          <cell r="B1575" t="str">
            <v>G. K. REALITIES</v>
          </cell>
          <cell r="C1575" t="str">
            <v>LSCRED</v>
          </cell>
          <cell r="D1575">
            <v>2525</v>
          </cell>
          <cell r="E1575">
            <v>2525</v>
          </cell>
          <cell r="F1575">
            <v>0</v>
          </cell>
        </row>
        <row r="1576">
          <cell r="A1576" t="str">
            <v>GGSTH</v>
          </cell>
          <cell r="B1576" t="str">
            <v>G.S. THORAT (HUF)</v>
          </cell>
          <cell r="C1576" t="str">
            <v>LSCRED</v>
          </cell>
          <cell r="D1576">
            <v>144540</v>
          </cell>
          <cell r="E1576">
            <v>144540</v>
          </cell>
          <cell r="F1576">
            <v>0</v>
          </cell>
        </row>
        <row r="1577">
          <cell r="A1577" t="str">
            <v>GGALA</v>
          </cell>
          <cell r="B1577" t="str">
            <v>GALAXY XEROX &amp; STATIONERY</v>
          </cell>
          <cell r="C1577" t="str">
            <v>LSCRED</v>
          </cell>
          <cell r="D1577">
            <v>266.38</v>
          </cell>
          <cell r="E1577">
            <v>266.38</v>
          </cell>
          <cell r="F1577">
            <v>0</v>
          </cell>
        </row>
        <row r="1578">
          <cell r="A1578" t="str">
            <v>GGALL</v>
          </cell>
          <cell r="B1578" t="str">
            <v>GALLOPS MOTORS PVT LTD</v>
          </cell>
          <cell r="C1578" t="str">
            <v>LSCRED</v>
          </cell>
          <cell r="D1578">
            <v>70916</v>
          </cell>
          <cell r="E1578">
            <v>70916</v>
          </cell>
          <cell r="F1578">
            <v>0</v>
          </cell>
        </row>
        <row r="1579">
          <cell r="A1579" t="str">
            <v>GGANN</v>
          </cell>
          <cell r="B1579" t="str">
            <v>GANESH NEXT</v>
          </cell>
          <cell r="C1579" t="str">
            <v>LSCRED</v>
          </cell>
          <cell r="D1579">
            <v>66685</v>
          </cell>
          <cell r="E1579">
            <v>66685</v>
          </cell>
          <cell r="F1579">
            <v>0</v>
          </cell>
        </row>
        <row r="1580">
          <cell r="A1580" t="str">
            <v>GGANS</v>
          </cell>
          <cell r="B1580" t="str">
            <v>GANESH SINGH</v>
          </cell>
          <cell r="C1580" t="str">
            <v>LSCRED</v>
          </cell>
          <cell r="D1580">
            <v>6580</v>
          </cell>
          <cell r="E1580">
            <v>6580</v>
          </cell>
          <cell r="F1580">
            <v>0</v>
          </cell>
        </row>
        <row r="1581">
          <cell r="A1581" t="str">
            <v>GGAUT</v>
          </cell>
          <cell r="B1581" t="str">
            <v>GAURAV TOWER MAINTENANCE SOCIETY</v>
          </cell>
          <cell r="C1581" t="str">
            <v>LSCRED</v>
          </cell>
          <cell r="D1581">
            <v>49546</v>
          </cell>
          <cell r="E1581">
            <v>49546</v>
          </cell>
          <cell r="F1581">
            <v>0</v>
          </cell>
        </row>
        <row r="1582">
          <cell r="A1582" t="str">
            <v>GGAUA</v>
          </cell>
          <cell r="B1582" t="str">
            <v>GAURAVJIT SINGH DEOL</v>
          </cell>
          <cell r="C1582" t="str">
            <v>LSCRED</v>
          </cell>
          <cell r="D1582">
            <v>4500</v>
          </cell>
          <cell r="E1582">
            <v>4500</v>
          </cell>
          <cell r="F1582">
            <v>0</v>
          </cell>
        </row>
        <row r="1583">
          <cell r="A1583" t="str">
            <v>GGEEG</v>
          </cell>
          <cell r="B1583" t="str">
            <v>GEEGEE COMPLEX  WELFARE ASSOCIATION</v>
          </cell>
          <cell r="C1583" t="str">
            <v>LSCRED</v>
          </cell>
          <cell r="D1583">
            <v>22887</v>
          </cell>
          <cell r="E1583">
            <v>22887</v>
          </cell>
          <cell r="F1583">
            <v>0</v>
          </cell>
        </row>
        <row r="1584">
          <cell r="A1584" t="str">
            <v>GGEEK</v>
          </cell>
          <cell r="B1584" t="str">
            <v>GEEKAY SECURITY SERVICES PVT. LTD</v>
          </cell>
          <cell r="C1584" t="str">
            <v>LSCRED</v>
          </cell>
          <cell r="D1584">
            <v>1791</v>
          </cell>
          <cell r="E1584">
            <v>1791</v>
          </cell>
          <cell r="F1584">
            <v>0</v>
          </cell>
        </row>
        <row r="1585">
          <cell r="A1585" t="str">
            <v>GGIFC</v>
          </cell>
          <cell r="B1585" t="str">
            <v>GIFT CENTER</v>
          </cell>
          <cell r="C1585" t="str">
            <v>LSCRED</v>
          </cell>
          <cell r="D1585">
            <v>21821</v>
          </cell>
          <cell r="E1585">
            <v>21821</v>
          </cell>
          <cell r="F1585">
            <v>0</v>
          </cell>
        </row>
        <row r="1586">
          <cell r="A1586" t="str">
            <v>GGLACI</v>
          </cell>
          <cell r="B1586" t="str">
            <v>GLACIER RE-FRESH (I) PVT LTD</v>
          </cell>
          <cell r="C1586" t="str">
            <v>LSCRED</v>
          </cell>
          <cell r="D1586">
            <v>3339</v>
          </cell>
          <cell r="E1586">
            <v>3339</v>
          </cell>
          <cell r="F1586">
            <v>0</v>
          </cell>
        </row>
        <row r="1587">
          <cell r="A1587" t="str">
            <v>GGLON</v>
          </cell>
          <cell r="B1587" t="str">
            <v>GLONE RADIOS</v>
          </cell>
          <cell r="C1587" t="str">
            <v>LSCRED</v>
          </cell>
          <cell r="D1587">
            <v>8300</v>
          </cell>
          <cell r="E1587">
            <v>8300</v>
          </cell>
          <cell r="F1587">
            <v>0</v>
          </cell>
        </row>
        <row r="1588">
          <cell r="A1588" t="str">
            <v>GGLS</v>
          </cell>
          <cell r="B1588" t="str">
            <v>GLOWWELL SIGN</v>
          </cell>
          <cell r="C1588" t="str">
            <v>LSCRED</v>
          </cell>
          <cell r="D1588">
            <v>5018</v>
          </cell>
          <cell r="E1588">
            <v>5018</v>
          </cell>
          <cell r="F1588">
            <v>0</v>
          </cell>
        </row>
        <row r="1589">
          <cell r="A1589" t="str">
            <v>GGMMA</v>
          </cell>
          <cell r="B1589" t="str">
            <v>GM MANAGEMENT SOLUTIONS</v>
          </cell>
          <cell r="C1589" t="str">
            <v>LSCRED</v>
          </cell>
          <cell r="D1589">
            <v>12000</v>
          </cell>
          <cell r="E1589">
            <v>12000</v>
          </cell>
          <cell r="F1589">
            <v>0</v>
          </cell>
        </row>
        <row r="1590">
          <cell r="A1590" t="str">
            <v>GGOGE</v>
          </cell>
          <cell r="B1590" t="str">
            <v>GO GETTER HR PROFESSIONAL</v>
          </cell>
          <cell r="C1590" t="str">
            <v>LSCRED</v>
          </cell>
          <cell r="D1590">
            <v>48910</v>
          </cell>
          <cell r="E1590">
            <v>48910</v>
          </cell>
          <cell r="F1590">
            <v>0</v>
          </cell>
        </row>
        <row r="1591">
          <cell r="A1591" t="str">
            <v>GGOPA</v>
          </cell>
          <cell r="B1591" t="str">
            <v>GOPA ARORA</v>
          </cell>
          <cell r="C1591" t="str">
            <v>LSCRED</v>
          </cell>
          <cell r="D1591">
            <v>47212</v>
          </cell>
          <cell r="E1591">
            <v>47212</v>
          </cell>
          <cell r="F1591">
            <v>0</v>
          </cell>
        </row>
        <row r="1592">
          <cell r="A1592" t="str">
            <v>GGOPY</v>
          </cell>
          <cell r="B1592" t="str">
            <v>GOPI ENTERPRISES</v>
          </cell>
          <cell r="C1592" t="str">
            <v>LSCRED</v>
          </cell>
          <cell r="D1592">
            <v>5868</v>
          </cell>
          <cell r="E1592">
            <v>5868</v>
          </cell>
          <cell r="F1592">
            <v>0</v>
          </cell>
        </row>
        <row r="1593">
          <cell r="A1593" t="str">
            <v>GGORD</v>
          </cell>
          <cell r="B1593" t="str">
            <v>GORDHANDAS BHAGWANJI MANEK</v>
          </cell>
          <cell r="C1593" t="str">
            <v>LSCRED</v>
          </cell>
          <cell r="D1593">
            <v>3029</v>
          </cell>
          <cell r="E1593">
            <v>3029</v>
          </cell>
          <cell r="F1593">
            <v>0</v>
          </cell>
        </row>
        <row r="1594">
          <cell r="A1594" t="str">
            <v>GGBPL</v>
          </cell>
          <cell r="B1594" t="str">
            <v>GRAPHIC BUILDERS PRIVATE LIMITED</v>
          </cell>
          <cell r="C1594" t="str">
            <v>LSCRED</v>
          </cell>
          <cell r="D1594">
            <v>1785303</v>
          </cell>
          <cell r="E1594">
            <v>1785303</v>
          </cell>
          <cell r="F1594">
            <v>0</v>
          </cell>
        </row>
        <row r="1595">
          <cell r="A1595" t="str">
            <v>GGUNT</v>
          </cell>
          <cell r="B1595" t="str">
            <v>GUNTUPALLI NANDA KISHORE BABU A/C NO 8619</v>
          </cell>
          <cell r="C1595" t="str">
            <v>LSCRED</v>
          </cell>
          <cell r="D1595">
            <v>71324</v>
          </cell>
          <cell r="E1595">
            <v>71324</v>
          </cell>
          <cell r="F1595">
            <v>0</v>
          </cell>
        </row>
        <row r="1596">
          <cell r="A1596" t="str">
            <v>GGURB</v>
          </cell>
          <cell r="B1596" t="str">
            <v>GURBIR SINGH DEOL</v>
          </cell>
          <cell r="C1596" t="str">
            <v>LSCRED</v>
          </cell>
          <cell r="D1596">
            <v>4500</v>
          </cell>
          <cell r="E1596">
            <v>4500</v>
          </cell>
          <cell r="F1596">
            <v>0</v>
          </cell>
        </row>
        <row r="1597">
          <cell r="A1597" t="str">
            <v>GGURD</v>
          </cell>
          <cell r="B1597" t="str">
            <v>GURDIAL SINGH SEKHON</v>
          </cell>
          <cell r="C1597" t="str">
            <v>LSCRED</v>
          </cell>
          <cell r="D1597">
            <v>3600</v>
          </cell>
          <cell r="E1597">
            <v>3600</v>
          </cell>
          <cell r="F1597">
            <v>0</v>
          </cell>
        </row>
        <row r="1598">
          <cell r="A1598" t="str">
            <v>GGURM</v>
          </cell>
          <cell r="B1598" t="str">
            <v>GURMEET SINGH</v>
          </cell>
          <cell r="C1598" t="str">
            <v>LSCRED</v>
          </cell>
          <cell r="D1598">
            <v>15426</v>
          </cell>
          <cell r="E1598">
            <v>15426</v>
          </cell>
          <cell r="F1598">
            <v>0</v>
          </cell>
        </row>
        <row r="1599">
          <cell r="A1599" t="str">
            <v>GGURE</v>
          </cell>
          <cell r="B1599" t="str">
            <v>GURNOOR ESTATES (P) LTD</v>
          </cell>
          <cell r="C1599" t="str">
            <v>LSCRED</v>
          </cell>
          <cell r="D1599">
            <v>6120</v>
          </cell>
          <cell r="E1599">
            <v>6120</v>
          </cell>
          <cell r="F1599">
            <v>0</v>
          </cell>
        </row>
        <row r="1600">
          <cell r="A1600" t="str">
            <v>GGURT</v>
          </cell>
          <cell r="B1600" t="str">
            <v>GURTEK SINGH MAKIN</v>
          </cell>
          <cell r="C1600" t="str">
            <v>LSCRED</v>
          </cell>
          <cell r="D1600">
            <v>2047</v>
          </cell>
          <cell r="E1600">
            <v>2047</v>
          </cell>
          <cell r="F1600">
            <v>0</v>
          </cell>
        </row>
        <row r="1601">
          <cell r="A1601" t="str">
            <v>GGURV</v>
          </cell>
          <cell r="B1601" t="str">
            <v>GURVINDER SINGH</v>
          </cell>
          <cell r="C1601" t="str">
            <v>LSCRED</v>
          </cell>
          <cell r="D1601">
            <v>24209</v>
          </cell>
          <cell r="E1601">
            <v>24209</v>
          </cell>
          <cell r="F1601">
            <v>0</v>
          </cell>
        </row>
        <row r="1602">
          <cell r="A1602" t="str">
            <v>GHKAS</v>
          </cell>
          <cell r="B1602" t="str">
            <v>H K ASSOCIATES</v>
          </cell>
          <cell r="C1602" t="str">
            <v>LSCRED</v>
          </cell>
          <cell r="D1602">
            <v>3045</v>
          </cell>
          <cell r="E1602">
            <v>3045</v>
          </cell>
          <cell r="F1602">
            <v>0</v>
          </cell>
        </row>
        <row r="1603">
          <cell r="A1603" t="str">
            <v>GHAJI</v>
          </cell>
          <cell r="B1603" t="str">
            <v>HAJI ABDUL SHUBHAN</v>
          </cell>
          <cell r="C1603" t="str">
            <v>LSCRED</v>
          </cell>
          <cell r="D1603">
            <v>49852</v>
          </cell>
          <cell r="E1603">
            <v>49852</v>
          </cell>
          <cell r="F1603">
            <v>0</v>
          </cell>
        </row>
        <row r="1604">
          <cell r="A1604" t="str">
            <v>GHARBA</v>
          </cell>
          <cell r="B1604" t="str">
            <v>HARBANS KAUR</v>
          </cell>
          <cell r="C1604" t="str">
            <v>LSCRED</v>
          </cell>
          <cell r="D1604">
            <v>44370</v>
          </cell>
          <cell r="E1604">
            <v>44370</v>
          </cell>
          <cell r="F1604">
            <v>0</v>
          </cell>
        </row>
        <row r="1605">
          <cell r="A1605" t="str">
            <v>GHSYN</v>
          </cell>
          <cell r="B1605" t="str">
            <v>HARBHAJAN SINGH</v>
          </cell>
          <cell r="C1605" t="str">
            <v>LSCRED</v>
          </cell>
          <cell r="D1605">
            <v>66105</v>
          </cell>
          <cell r="E1605">
            <v>66105</v>
          </cell>
          <cell r="F1605">
            <v>0</v>
          </cell>
        </row>
        <row r="1606">
          <cell r="A1606" t="str">
            <v>GHARD</v>
          </cell>
          <cell r="B1606" t="str">
            <v>HARDAYAL SINGH</v>
          </cell>
          <cell r="C1606" t="str">
            <v>LSCRED</v>
          </cell>
          <cell r="D1606">
            <v>4000</v>
          </cell>
          <cell r="E1606">
            <v>4000</v>
          </cell>
          <cell r="F1606">
            <v>0</v>
          </cell>
        </row>
        <row r="1607">
          <cell r="A1607" t="str">
            <v>GHASA</v>
          </cell>
          <cell r="B1607" t="str">
            <v>HARDEEP SINGH ANAND</v>
          </cell>
          <cell r="C1607" t="str">
            <v>LSCRED</v>
          </cell>
          <cell r="D1607">
            <v>561</v>
          </cell>
          <cell r="E1607">
            <v>561</v>
          </cell>
          <cell r="F1607">
            <v>0</v>
          </cell>
        </row>
        <row r="1608">
          <cell r="A1608" t="str">
            <v>GHARE</v>
          </cell>
          <cell r="B1608" t="str">
            <v>HARESH KISHOR</v>
          </cell>
          <cell r="C1608" t="str">
            <v>LSCRED</v>
          </cell>
          <cell r="D1608">
            <v>44177</v>
          </cell>
          <cell r="E1608">
            <v>44177</v>
          </cell>
          <cell r="F1608">
            <v>0</v>
          </cell>
        </row>
        <row r="1609">
          <cell r="A1609" t="str">
            <v>GHARIM</v>
          </cell>
          <cell r="B1609" t="str">
            <v>HARIHARASUBRAMANIAM M</v>
          </cell>
          <cell r="C1609" t="str">
            <v>LSCRED</v>
          </cell>
          <cell r="D1609">
            <v>3184</v>
          </cell>
          <cell r="E1609">
            <v>3184</v>
          </cell>
          <cell r="F1609">
            <v>0</v>
          </cell>
        </row>
        <row r="1610">
          <cell r="A1610" t="str">
            <v>GHARIK</v>
          </cell>
          <cell r="B1610" t="str">
            <v>HARISH KAPOOR</v>
          </cell>
          <cell r="C1610" t="str">
            <v>LSCRED</v>
          </cell>
          <cell r="D1610">
            <v>33769</v>
          </cell>
          <cell r="E1610">
            <v>33769</v>
          </cell>
          <cell r="F1610">
            <v>0</v>
          </cell>
        </row>
        <row r="1611">
          <cell r="A1611" t="str">
            <v>GHARH</v>
          </cell>
          <cell r="B1611" t="str">
            <v>HARISH VARLANI</v>
          </cell>
          <cell r="C1611" t="str">
            <v>LSCRED</v>
          </cell>
          <cell r="D1611">
            <v>71306</v>
          </cell>
          <cell r="E1611">
            <v>71306</v>
          </cell>
          <cell r="F1611">
            <v>0</v>
          </cell>
        </row>
        <row r="1612">
          <cell r="A1612" t="str">
            <v>GHARM</v>
          </cell>
          <cell r="B1612" t="str">
            <v>HARPREET MOTORS PVT LTD</v>
          </cell>
          <cell r="C1612" t="str">
            <v>LSCRED</v>
          </cell>
          <cell r="D1612">
            <v>597850</v>
          </cell>
          <cell r="E1612">
            <v>597850</v>
          </cell>
          <cell r="F1612">
            <v>0</v>
          </cell>
        </row>
        <row r="1613">
          <cell r="A1613" t="str">
            <v>GHAPP</v>
          </cell>
          <cell r="B1613" t="str">
            <v>HARSHADRAI PURSHOTTAM PAREKH</v>
          </cell>
          <cell r="C1613" t="str">
            <v>LSCRED</v>
          </cell>
          <cell r="D1613">
            <v>1180799</v>
          </cell>
          <cell r="E1613">
            <v>1180799</v>
          </cell>
          <cell r="F1613">
            <v>0</v>
          </cell>
        </row>
        <row r="1614">
          <cell r="A1614" t="str">
            <v>GHAA</v>
          </cell>
          <cell r="B1614" t="str">
            <v>HARYANA AUTO AGENCIES</v>
          </cell>
          <cell r="C1614" t="str">
            <v>LSCRED</v>
          </cell>
          <cell r="D1614">
            <v>7960</v>
          </cell>
          <cell r="E1614">
            <v>7960</v>
          </cell>
          <cell r="F1614">
            <v>0</v>
          </cell>
        </row>
        <row r="1615">
          <cell r="A1615" t="str">
            <v>GHCGI</v>
          </cell>
          <cell r="B1615" t="str">
            <v>HDFC CHUBB GENERAL INSURANCE CO. LTD.</v>
          </cell>
          <cell r="C1615" t="str">
            <v>LSCRED</v>
          </cell>
          <cell r="D1615">
            <v>111</v>
          </cell>
          <cell r="E1615">
            <v>111</v>
          </cell>
          <cell r="F1615">
            <v>0</v>
          </cell>
        </row>
        <row r="1616">
          <cell r="A1616" t="str">
            <v>GHEAL</v>
          </cell>
          <cell r="B1616" t="str">
            <v>HEALTH POINT</v>
          </cell>
          <cell r="C1616" t="str">
            <v>LSCRED</v>
          </cell>
          <cell r="D1616">
            <v>19350</v>
          </cell>
          <cell r="E1616">
            <v>19350</v>
          </cell>
          <cell r="F1616">
            <v>0</v>
          </cell>
        </row>
        <row r="1617">
          <cell r="A1617" t="str">
            <v>GHETU</v>
          </cell>
          <cell r="B1617" t="str">
            <v>HEMANT TULSIDAS SURATWALA</v>
          </cell>
          <cell r="C1617" t="str">
            <v>LSCRED</v>
          </cell>
          <cell r="D1617">
            <v>4972</v>
          </cell>
          <cell r="E1617">
            <v>4972</v>
          </cell>
          <cell r="F1617">
            <v>0</v>
          </cell>
        </row>
        <row r="1618">
          <cell r="A1618" t="str">
            <v>GHEME</v>
          </cell>
          <cell r="B1618" t="str">
            <v>HEMENDRA DAHYABHAI SHAH</v>
          </cell>
          <cell r="C1618" t="str">
            <v>LSCRED</v>
          </cell>
          <cell r="D1618">
            <v>131049</v>
          </cell>
          <cell r="E1618">
            <v>131049</v>
          </cell>
          <cell r="F1618">
            <v>0</v>
          </cell>
        </row>
        <row r="1619">
          <cell r="A1619" t="str">
            <v>GHEMH</v>
          </cell>
          <cell r="B1619" t="str">
            <v>HEMENDRA DAHYABHAI SHAH (HUF)</v>
          </cell>
          <cell r="C1619" t="str">
            <v>LSCRED</v>
          </cell>
          <cell r="D1619">
            <v>19619</v>
          </cell>
          <cell r="E1619">
            <v>19619</v>
          </cell>
          <cell r="F1619">
            <v>0</v>
          </cell>
        </row>
        <row r="1620">
          <cell r="A1620" t="str">
            <v>GHITECH</v>
          </cell>
          <cell r="B1620" t="str">
            <v>HI TECH INFOVISION</v>
          </cell>
          <cell r="C1620" t="str">
            <v>LSCRED</v>
          </cell>
          <cell r="D1620">
            <v>47053</v>
          </cell>
          <cell r="E1620">
            <v>47053</v>
          </cell>
          <cell r="F1620">
            <v>0</v>
          </cell>
        </row>
        <row r="1621">
          <cell r="A1621" t="str">
            <v>GHILI</v>
          </cell>
          <cell r="B1621" t="str">
            <v>HI-LIFE ENTERPRISES INC</v>
          </cell>
          <cell r="C1621" t="str">
            <v>LSCRED</v>
          </cell>
          <cell r="D1621">
            <v>92062</v>
          </cell>
          <cell r="E1621">
            <v>92062</v>
          </cell>
          <cell r="F1621">
            <v>0</v>
          </cell>
        </row>
        <row r="1622">
          <cell r="A1622" t="str">
            <v>GHITE</v>
          </cell>
          <cell r="B1622" t="str">
            <v>HI-TECH LINKS</v>
          </cell>
          <cell r="C1622" t="str">
            <v>LSCRED</v>
          </cell>
          <cell r="D1622">
            <v>793</v>
          </cell>
          <cell r="E1622">
            <v>793</v>
          </cell>
          <cell r="F1622">
            <v>0</v>
          </cell>
        </row>
        <row r="1623">
          <cell r="A1623" t="str">
            <v>GHAEL</v>
          </cell>
          <cell r="B1623" t="str">
            <v>HIMATSINGKA AUTO ENTERPRISES LTD</v>
          </cell>
          <cell r="C1623" t="str">
            <v>LSCRED</v>
          </cell>
          <cell r="D1623">
            <v>314968</v>
          </cell>
          <cell r="E1623">
            <v>314968</v>
          </cell>
          <cell r="F1623">
            <v>0</v>
          </cell>
        </row>
        <row r="1624">
          <cell r="A1624" t="str">
            <v>GHIMG</v>
          </cell>
          <cell r="B1624" t="str">
            <v>HIMGIRI CARS PVT LTD</v>
          </cell>
          <cell r="C1624" t="str">
            <v>LSCRED</v>
          </cell>
          <cell r="D1624">
            <v>36174</v>
          </cell>
          <cell r="E1624">
            <v>36174</v>
          </cell>
          <cell r="F1624">
            <v>0</v>
          </cell>
        </row>
        <row r="1625">
          <cell r="A1625" t="str">
            <v>GHINA</v>
          </cell>
          <cell r="B1625" t="str">
            <v>HINA CHANDRASEKHAR UPASANI</v>
          </cell>
          <cell r="C1625" t="str">
            <v>LSCRED</v>
          </cell>
          <cell r="D1625">
            <v>27540</v>
          </cell>
          <cell r="E1625">
            <v>27540</v>
          </cell>
          <cell r="F1625">
            <v>0</v>
          </cell>
        </row>
        <row r="1626">
          <cell r="A1626" t="str">
            <v>GHIRV</v>
          </cell>
          <cell r="B1626" t="str">
            <v>HIRVA AIDS</v>
          </cell>
          <cell r="C1626" t="str">
            <v>LSCRED</v>
          </cell>
          <cell r="D1626">
            <v>8135</v>
          </cell>
          <cell r="E1626">
            <v>8135</v>
          </cell>
          <cell r="F1626">
            <v>0</v>
          </cell>
        </row>
        <row r="1627">
          <cell r="A1627" t="str">
            <v>GHITP</v>
          </cell>
          <cell r="B1627" t="str">
            <v>HITENDRA P. DESAI</v>
          </cell>
          <cell r="C1627" t="str">
            <v>LSCRED</v>
          </cell>
          <cell r="D1627">
            <v>2805</v>
          </cell>
          <cell r="E1627">
            <v>2805</v>
          </cell>
          <cell r="F1627">
            <v>0</v>
          </cell>
        </row>
        <row r="1628">
          <cell r="A1628" t="str">
            <v>GHUKA</v>
          </cell>
          <cell r="B1628" t="str">
            <v>HUKAM CHAND BANSAL</v>
          </cell>
          <cell r="C1628" t="str">
            <v>LSCRED</v>
          </cell>
          <cell r="D1628">
            <v>76064</v>
          </cell>
          <cell r="E1628">
            <v>76064</v>
          </cell>
          <cell r="F1628">
            <v>0</v>
          </cell>
        </row>
        <row r="1629">
          <cell r="A1629" t="str">
            <v>GIDBI</v>
          </cell>
          <cell r="B1629" t="str">
            <v>IDBI LTD</v>
          </cell>
          <cell r="C1629" t="str">
            <v>LSCRED</v>
          </cell>
          <cell r="D1629">
            <v>44896</v>
          </cell>
          <cell r="E1629">
            <v>44896</v>
          </cell>
          <cell r="F1629">
            <v>0</v>
          </cell>
        </row>
        <row r="1630">
          <cell r="A1630" t="str">
            <v>GIDCL</v>
          </cell>
          <cell r="B1630" t="str">
            <v>IDEA CELLULAR LIMITED</v>
          </cell>
          <cell r="C1630" t="str">
            <v>LSCRED</v>
          </cell>
          <cell r="D1630">
            <v>978</v>
          </cell>
          <cell r="E1630">
            <v>978</v>
          </cell>
          <cell r="F1630">
            <v>0</v>
          </cell>
        </row>
        <row r="1631">
          <cell r="A1631" t="str">
            <v>GIKBA</v>
          </cell>
          <cell r="B1631" t="str">
            <v>IKBAL SINGH HORA &amp; THRILOCHAN SINGH HORA</v>
          </cell>
          <cell r="C1631" t="str">
            <v>LSCRED</v>
          </cell>
          <cell r="D1631">
            <v>57858</v>
          </cell>
          <cell r="E1631">
            <v>57858</v>
          </cell>
          <cell r="F1631">
            <v>0</v>
          </cell>
        </row>
        <row r="1632">
          <cell r="A1632" t="str">
            <v>GINBH</v>
          </cell>
          <cell r="B1632" t="str">
            <v>INDIA BOOK HOUSE PVT. LTD</v>
          </cell>
          <cell r="C1632" t="str">
            <v>LSCRED</v>
          </cell>
          <cell r="D1632">
            <v>3500</v>
          </cell>
          <cell r="E1632">
            <v>3500</v>
          </cell>
          <cell r="F1632">
            <v>0</v>
          </cell>
        </row>
        <row r="1633">
          <cell r="A1633" t="str">
            <v>GINHO</v>
          </cell>
          <cell r="B1633" t="str">
            <v>INDIA HOME</v>
          </cell>
          <cell r="C1633" t="str">
            <v>LSCRED</v>
          </cell>
          <cell r="D1633">
            <v>7001</v>
          </cell>
          <cell r="E1633">
            <v>7001</v>
          </cell>
          <cell r="F1633">
            <v>0</v>
          </cell>
        </row>
        <row r="1634">
          <cell r="A1634" t="str">
            <v>GINSC</v>
          </cell>
          <cell r="B1634" t="str">
            <v>INDIA SUPER COMPANY</v>
          </cell>
          <cell r="C1634" t="str">
            <v>LSCRED</v>
          </cell>
          <cell r="D1634">
            <v>149292</v>
          </cell>
          <cell r="E1634">
            <v>149292</v>
          </cell>
          <cell r="F1634">
            <v>0</v>
          </cell>
        </row>
        <row r="1635">
          <cell r="A1635" t="str">
            <v>GOTPL</v>
          </cell>
          <cell r="B1635" t="str">
            <v>INDIABULLS INSURANCE ADVISORS PVT. LTD.</v>
          </cell>
          <cell r="C1635" t="str">
            <v>LSCRED</v>
          </cell>
          <cell r="D1635">
            <v>348150</v>
          </cell>
          <cell r="E1635">
            <v>348150</v>
          </cell>
          <cell r="F1635">
            <v>0</v>
          </cell>
        </row>
        <row r="1636">
          <cell r="A1636" t="str">
            <v>GITEC</v>
          </cell>
          <cell r="B1636" t="str">
            <v>INFONET TECNOLOGIES</v>
          </cell>
          <cell r="C1636" t="str">
            <v>LSCRED</v>
          </cell>
          <cell r="D1636">
            <v>6061</v>
          </cell>
          <cell r="E1636">
            <v>6061</v>
          </cell>
          <cell r="F1636">
            <v>0</v>
          </cell>
        </row>
        <row r="1637">
          <cell r="A1637" t="str">
            <v>GIQBA</v>
          </cell>
          <cell r="B1637" t="str">
            <v>IQBAL CHAND MALHOTRA</v>
          </cell>
          <cell r="C1637" t="str">
            <v>LSCRED</v>
          </cell>
          <cell r="D1637">
            <v>65784</v>
          </cell>
          <cell r="E1637">
            <v>65784</v>
          </cell>
          <cell r="F1637">
            <v>0</v>
          </cell>
        </row>
        <row r="1638">
          <cell r="A1638" t="str">
            <v>GISKA</v>
          </cell>
          <cell r="B1638" t="str">
            <v>ISH KAPOOR</v>
          </cell>
          <cell r="C1638" t="str">
            <v>LSCRED</v>
          </cell>
          <cell r="D1638">
            <v>17901</v>
          </cell>
          <cell r="E1638">
            <v>17901</v>
          </cell>
          <cell r="F1638">
            <v>0</v>
          </cell>
        </row>
        <row r="1639">
          <cell r="A1639" t="str">
            <v>GISHK</v>
          </cell>
          <cell r="B1639" t="str">
            <v>ISH KUMAR ARYA</v>
          </cell>
          <cell r="C1639" t="str">
            <v>LSCRED</v>
          </cell>
          <cell r="D1639">
            <v>26375</v>
          </cell>
          <cell r="E1639">
            <v>26375</v>
          </cell>
          <cell r="F1639">
            <v>0</v>
          </cell>
        </row>
        <row r="1640">
          <cell r="A1640" t="str">
            <v>GISHA</v>
          </cell>
          <cell r="B1640" t="str">
            <v>ISHA KALRA</v>
          </cell>
          <cell r="C1640" t="str">
            <v>LSCRED</v>
          </cell>
          <cell r="D1640">
            <v>93445</v>
          </cell>
          <cell r="E1640">
            <v>93445</v>
          </cell>
          <cell r="F1640">
            <v>0</v>
          </cell>
        </row>
        <row r="1641">
          <cell r="A1641" t="str">
            <v>GISHW</v>
          </cell>
          <cell r="B1641" t="str">
            <v>ISHWAR DASS</v>
          </cell>
          <cell r="C1641" t="str">
            <v>LSCRED</v>
          </cell>
          <cell r="D1641">
            <v>48474</v>
          </cell>
          <cell r="E1641">
            <v>48474</v>
          </cell>
          <cell r="F1641">
            <v>0</v>
          </cell>
        </row>
        <row r="1642">
          <cell r="A1642" t="str">
            <v>GJANAN</v>
          </cell>
          <cell r="B1642" t="str">
            <v>J ANANDAN</v>
          </cell>
          <cell r="C1642" t="str">
            <v>LSCRED</v>
          </cell>
          <cell r="D1642">
            <v>80551</v>
          </cell>
          <cell r="E1642">
            <v>80551</v>
          </cell>
          <cell r="F1642">
            <v>0</v>
          </cell>
        </row>
        <row r="1643">
          <cell r="A1643" t="str">
            <v>GJJAU</v>
          </cell>
          <cell r="B1643" t="str">
            <v>J. J. AUTOMOTIVE LTD.</v>
          </cell>
          <cell r="C1643" t="str">
            <v>LSCRED</v>
          </cell>
          <cell r="D1643">
            <v>4000</v>
          </cell>
          <cell r="E1643">
            <v>4000</v>
          </cell>
          <cell r="F1643">
            <v>0</v>
          </cell>
        </row>
        <row r="1644">
          <cell r="A1644" t="str">
            <v>GJKSH</v>
          </cell>
          <cell r="B1644" t="str">
            <v>J.K. SHARMA</v>
          </cell>
          <cell r="C1644" t="str">
            <v>LSCRED</v>
          </cell>
          <cell r="D1644">
            <v>58270</v>
          </cell>
          <cell r="E1644">
            <v>58270</v>
          </cell>
          <cell r="F1644">
            <v>0</v>
          </cell>
        </row>
        <row r="1645">
          <cell r="A1645" t="str">
            <v>GJSAR</v>
          </cell>
          <cell r="B1645" t="str">
            <v>J.S.ARORA AND SONS (HUF)</v>
          </cell>
          <cell r="C1645" t="str">
            <v>LSCRED</v>
          </cell>
          <cell r="D1645">
            <v>105538</v>
          </cell>
          <cell r="E1645">
            <v>105538</v>
          </cell>
          <cell r="F1645">
            <v>0</v>
          </cell>
        </row>
        <row r="1646">
          <cell r="A1646" t="str">
            <v>GJADE</v>
          </cell>
          <cell r="B1646" t="str">
            <v>JADE ARCADE OWNERS ASSOCIATION</v>
          </cell>
          <cell r="C1646" t="str">
            <v>LSCRED</v>
          </cell>
          <cell r="D1646">
            <v>32403</v>
          </cell>
          <cell r="E1646">
            <v>32403</v>
          </cell>
          <cell r="F1646">
            <v>0</v>
          </cell>
        </row>
        <row r="1647">
          <cell r="A1647" t="str">
            <v>GJAGB</v>
          </cell>
          <cell r="B1647" t="str">
            <v>JAG BHUSHAN SANEJA</v>
          </cell>
          <cell r="C1647" t="str">
            <v>LSCRED</v>
          </cell>
          <cell r="D1647">
            <v>31671</v>
          </cell>
          <cell r="E1647">
            <v>31671</v>
          </cell>
          <cell r="F1647">
            <v>0</v>
          </cell>
        </row>
        <row r="1648">
          <cell r="A1648" t="str">
            <v>GJAGC</v>
          </cell>
          <cell r="B1648" t="str">
            <v>JAGDISH CHANDRA SAHA</v>
          </cell>
          <cell r="C1648" t="str">
            <v>LSCRED</v>
          </cell>
          <cell r="D1648">
            <v>168304</v>
          </cell>
          <cell r="E1648">
            <v>168304</v>
          </cell>
          <cell r="F1648">
            <v>0</v>
          </cell>
        </row>
        <row r="1649">
          <cell r="A1649" t="str">
            <v>GJAGI</v>
          </cell>
          <cell r="B1649" t="str">
            <v>JAGDISH PRASAD NAWARIYA</v>
          </cell>
          <cell r="C1649" t="str">
            <v>LSCRED</v>
          </cell>
          <cell r="D1649">
            <v>1500</v>
          </cell>
          <cell r="E1649">
            <v>1500</v>
          </cell>
          <cell r="F1649">
            <v>0</v>
          </cell>
        </row>
        <row r="1650">
          <cell r="A1650" t="str">
            <v>GJASI</v>
          </cell>
          <cell r="B1650" t="str">
            <v>JAGDISHSINGH AMRUTSINGH BINDRA</v>
          </cell>
          <cell r="C1650" t="str">
            <v>LSCRED</v>
          </cell>
          <cell r="D1650">
            <v>32136</v>
          </cell>
          <cell r="E1650">
            <v>32136</v>
          </cell>
          <cell r="F1650">
            <v>0</v>
          </cell>
        </row>
        <row r="1651">
          <cell r="A1651" t="str">
            <v>GJAGJ</v>
          </cell>
          <cell r="B1651" t="str">
            <v>JAGJIT SINGH BANGA</v>
          </cell>
          <cell r="C1651" t="str">
            <v>LSCRED</v>
          </cell>
          <cell r="D1651">
            <v>23535</v>
          </cell>
          <cell r="E1651">
            <v>23535</v>
          </cell>
          <cell r="F1651">
            <v>0</v>
          </cell>
        </row>
        <row r="1652">
          <cell r="A1652" t="str">
            <v>GJAGT</v>
          </cell>
          <cell r="B1652" t="str">
            <v>JAGTESHWAR SINGH HUF</v>
          </cell>
          <cell r="C1652" t="str">
            <v>LSCRED</v>
          </cell>
          <cell r="D1652">
            <v>20660</v>
          </cell>
          <cell r="E1652">
            <v>20660</v>
          </cell>
          <cell r="F1652">
            <v>0</v>
          </cell>
        </row>
        <row r="1653">
          <cell r="A1653" t="str">
            <v>GJAIKR</v>
          </cell>
          <cell r="B1653" t="str">
            <v>JAI KUMAR SHARMA</v>
          </cell>
          <cell r="C1653" t="str">
            <v>LSCRED</v>
          </cell>
          <cell r="D1653">
            <v>43898</v>
          </cell>
          <cell r="E1653">
            <v>43898</v>
          </cell>
          <cell r="F1653">
            <v>0</v>
          </cell>
        </row>
        <row r="1654">
          <cell r="A1654" t="str">
            <v>GJAIB</v>
          </cell>
          <cell r="B1654" t="str">
            <v>JAIBIR SINGH</v>
          </cell>
          <cell r="C1654" t="str">
            <v>LSCRED</v>
          </cell>
          <cell r="D1654">
            <v>38250</v>
          </cell>
          <cell r="E1654">
            <v>38250</v>
          </cell>
          <cell r="F1654">
            <v>0</v>
          </cell>
        </row>
        <row r="1655">
          <cell r="A1655" t="str">
            <v>GJASB</v>
          </cell>
          <cell r="B1655" t="str">
            <v>JASBIR SINGH M MAKHIJA (HUF)</v>
          </cell>
          <cell r="C1655" t="str">
            <v>LSCRED</v>
          </cell>
          <cell r="D1655">
            <v>62956</v>
          </cell>
          <cell r="E1655">
            <v>62956</v>
          </cell>
          <cell r="F1655">
            <v>0</v>
          </cell>
        </row>
        <row r="1656">
          <cell r="A1656" t="str">
            <v>GJAMM</v>
          </cell>
          <cell r="B1656" t="str">
            <v>JASBIRSINGH M MAKHIJA</v>
          </cell>
          <cell r="C1656" t="str">
            <v>LSCRED</v>
          </cell>
          <cell r="D1656">
            <v>30192</v>
          </cell>
          <cell r="E1656">
            <v>30192</v>
          </cell>
          <cell r="F1656">
            <v>0</v>
          </cell>
        </row>
        <row r="1657">
          <cell r="A1657" t="str">
            <v>GJATI</v>
          </cell>
          <cell r="B1657" t="str">
            <v>JATINDER PAL SINGH SEKHON</v>
          </cell>
          <cell r="C1657" t="str">
            <v>LSCRED</v>
          </cell>
          <cell r="D1657">
            <v>10350</v>
          </cell>
          <cell r="E1657">
            <v>10350</v>
          </cell>
          <cell r="F1657">
            <v>0</v>
          </cell>
        </row>
        <row r="1658">
          <cell r="A1658" t="str">
            <v>GJAYA</v>
          </cell>
          <cell r="B1658" t="str">
            <v>JAYANT LUNAWAT BUILDERS &amp; DEVELOPERS P. LTD.</v>
          </cell>
          <cell r="C1658" t="str">
            <v>LSCRED</v>
          </cell>
          <cell r="D1658">
            <v>75200</v>
          </cell>
          <cell r="E1658">
            <v>75200</v>
          </cell>
          <cell r="F1658">
            <v>0</v>
          </cell>
        </row>
        <row r="1659">
          <cell r="A1659" t="str">
            <v>GJYSH</v>
          </cell>
          <cell r="B1659" t="str">
            <v>JAYSHREE GIRISHCHANDRA PATEL</v>
          </cell>
          <cell r="C1659" t="str">
            <v>LSCRED</v>
          </cell>
          <cell r="D1659">
            <v>60480</v>
          </cell>
          <cell r="E1659">
            <v>60480</v>
          </cell>
          <cell r="F1659">
            <v>0</v>
          </cell>
        </row>
        <row r="1660">
          <cell r="A1660" t="str">
            <v>GJASH</v>
          </cell>
          <cell r="B1660" t="str">
            <v>JAYSUKHLAL SHAH &amp; SONS</v>
          </cell>
          <cell r="C1660" t="str">
            <v>LSCRED</v>
          </cell>
          <cell r="D1660">
            <v>2805</v>
          </cell>
          <cell r="E1660">
            <v>2805</v>
          </cell>
          <cell r="F1660">
            <v>0</v>
          </cell>
        </row>
        <row r="1661">
          <cell r="A1661" t="str">
            <v>GJHANW</v>
          </cell>
          <cell r="B1661" t="str">
            <v>JHANWAR PLASTIC INDUSTRIES</v>
          </cell>
          <cell r="C1661" t="str">
            <v>LSCRED</v>
          </cell>
          <cell r="D1661">
            <v>45271</v>
          </cell>
          <cell r="E1661">
            <v>45271</v>
          </cell>
          <cell r="F1661">
            <v>0</v>
          </cell>
        </row>
        <row r="1662">
          <cell r="A1662" t="str">
            <v>GJIGN</v>
          </cell>
          <cell r="B1662" t="str">
            <v>JIGNESH DESAI</v>
          </cell>
          <cell r="C1662" t="str">
            <v>LSCRED</v>
          </cell>
          <cell r="D1662">
            <v>6786</v>
          </cell>
          <cell r="E1662">
            <v>6786</v>
          </cell>
          <cell r="F1662">
            <v>0</v>
          </cell>
        </row>
        <row r="1663">
          <cell r="A1663" t="str">
            <v>GJITB</v>
          </cell>
          <cell r="B1663" t="str">
            <v>JITENDRA BAHADUR SINGH</v>
          </cell>
          <cell r="C1663" t="str">
            <v>LSCRED</v>
          </cell>
          <cell r="D1663">
            <v>21732</v>
          </cell>
          <cell r="E1663">
            <v>21732</v>
          </cell>
          <cell r="F1663">
            <v>0</v>
          </cell>
        </row>
        <row r="1664">
          <cell r="A1664" t="str">
            <v>GJITS</v>
          </cell>
          <cell r="B1664" t="str">
            <v>JITENDRA S. MEHTA (HUF)</v>
          </cell>
          <cell r="C1664" t="str">
            <v>LSCRED</v>
          </cell>
          <cell r="D1664">
            <v>19619</v>
          </cell>
          <cell r="E1664">
            <v>19619</v>
          </cell>
          <cell r="F1664">
            <v>0</v>
          </cell>
        </row>
        <row r="1665">
          <cell r="A1665" t="str">
            <v>GJOGI</v>
          </cell>
          <cell r="B1665" t="str">
            <v>JOGINDER S CHHABRA</v>
          </cell>
          <cell r="C1665" t="str">
            <v>LSCRED</v>
          </cell>
          <cell r="D1665">
            <v>28193</v>
          </cell>
          <cell r="E1665">
            <v>28193</v>
          </cell>
          <cell r="F1665">
            <v>0</v>
          </cell>
        </row>
        <row r="1666">
          <cell r="A1666" t="str">
            <v>GJYAT</v>
          </cell>
          <cell r="B1666" t="str">
            <v>JOYTOSH DEBBARMA</v>
          </cell>
          <cell r="C1666" t="str">
            <v>LSCRED</v>
          </cell>
          <cell r="D1666">
            <v>20433</v>
          </cell>
          <cell r="E1666">
            <v>20433</v>
          </cell>
          <cell r="F1666">
            <v>0</v>
          </cell>
        </row>
        <row r="1667">
          <cell r="A1667" t="str">
            <v>GJMBR</v>
          </cell>
          <cell r="B1667" t="str">
            <v>JUPUDI MADHU BABU</v>
          </cell>
          <cell r="C1667" t="str">
            <v>LSCRED</v>
          </cell>
          <cell r="D1667">
            <v>12339</v>
          </cell>
          <cell r="E1667">
            <v>12339</v>
          </cell>
          <cell r="F1667">
            <v>0</v>
          </cell>
        </row>
        <row r="1668">
          <cell r="A1668" t="str">
            <v>GJYDA</v>
          </cell>
          <cell r="B1668" t="str">
            <v>JYOTI DAWAR</v>
          </cell>
          <cell r="C1668" t="str">
            <v>LSCRED</v>
          </cell>
          <cell r="D1668">
            <v>48681</v>
          </cell>
          <cell r="E1668">
            <v>48681</v>
          </cell>
          <cell r="F1668">
            <v>0</v>
          </cell>
        </row>
        <row r="1669">
          <cell r="A1669" t="str">
            <v>GJYSE</v>
          </cell>
          <cell r="B1669" t="str">
            <v>JYOTI SETHI</v>
          </cell>
          <cell r="C1669" t="str">
            <v>LSCRED</v>
          </cell>
          <cell r="D1669">
            <v>27581</v>
          </cell>
          <cell r="E1669">
            <v>27581</v>
          </cell>
          <cell r="F1669">
            <v>0</v>
          </cell>
        </row>
        <row r="1670">
          <cell r="A1670" t="str">
            <v>GKANA</v>
          </cell>
          <cell r="B1670" t="str">
            <v>K A NANKANI</v>
          </cell>
          <cell r="C1670" t="str">
            <v>LSCRED</v>
          </cell>
          <cell r="D1670">
            <v>62215</v>
          </cell>
          <cell r="E1670">
            <v>62215</v>
          </cell>
          <cell r="F1670">
            <v>0</v>
          </cell>
        </row>
        <row r="1671">
          <cell r="A1671" t="str">
            <v>GKGCA</v>
          </cell>
          <cell r="B1671" t="str">
            <v>K G CARRIERS PRIVATE LIMITED</v>
          </cell>
          <cell r="C1671" t="str">
            <v>LSCRED</v>
          </cell>
          <cell r="D1671">
            <v>366493</v>
          </cell>
          <cell r="E1671">
            <v>366493</v>
          </cell>
          <cell r="F1671">
            <v>0</v>
          </cell>
        </row>
        <row r="1672">
          <cell r="A1672" t="str">
            <v>GKLAK</v>
          </cell>
          <cell r="B1672" t="str">
            <v>K LAKSHIMIKANTHAM</v>
          </cell>
          <cell r="C1672" t="str">
            <v>LSCRED</v>
          </cell>
          <cell r="D1672">
            <v>2145</v>
          </cell>
          <cell r="E1672">
            <v>2145</v>
          </cell>
          <cell r="F1672">
            <v>0</v>
          </cell>
        </row>
        <row r="1673">
          <cell r="A1673" t="str">
            <v>GKREN</v>
          </cell>
          <cell r="B1673" t="str">
            <v>K R ENTERPRISES</v>
          </cell>
          <cell r="C1673" t="str">
            <v>LSCRED</v>
          </cell>
          <cell r="D1673">
            <v>50368</v>
          </cell>
          <cell r="E1673">
            <v>50368</v>
          </cell>
          <cell r="F1673">
            <v>0</v>
          </cell>
        </row>
        <row r="1674">
          <cell r="A1674" t="str">
            <v>GKRRA</v>
          </cell>
          <cell r="B1674" t="str">
            <v>K R RAVI</v>
          </cell>
          <cell r="C1674" t="str">
            <v>LSCRED</v>
          </cell>
          <cell r="D1674">
            <v>16800</v>
          </cell>
          <cell r="E1674">
            <v>16800</v>
          </cell>
          <cell r="F1674">
            <v>0</v>
          </cell>
        </row>
        <row r="1675">
          <cell r="A1675" t="str">
            <v>GKRAVI</v>
          </cell>
          <cell r="B1675" t="str">
            <v>K RAVI KUMAR REDDY</v>
          </cell>
          <cell r="C1675" t="str">
            <v>LSCRED</v>
          </cell>
          <cell r="D1675">
            <v>82620</v>
          </cell>
          <cell r="E1675">
            <v>82620</v>
          </cell>
          <cell r="F1675">
            <v>0</v>
          </cell>
        </row>
        <row r="1676">
          <cell r="A1676" t="str">
            <v>GKANN</v>
          </cell>
          <cell r="B1676" t="str">
            <v>K. ANNAPOORNA</v>
          </cell>
          <cell r="C1676" t="str">
            <v>LSCRED</v>
          </cell>
          <cell r="D1676">
            <v>71023</v>
          </cell>
          <cell r="E1676">
            <v>71023</v>
          </cell>
          <cell r="F1676">
            <v>0</v>
          </cell>
        </row>
        <row r="1677">
          <cell r="A1677" t="str">
            <v>GKGMU</v>
          </cell>
          <cell r="B1677" t="str">
            <v>K. G. MUTHUKUMAR</v>
          </cell>
          <cell r="C1677" t="str">
            <v>LSCRED</v>
          </cell>
          <cell r="D1677">
            <v>337</v>
          </cell>
          <cell r="E1677">
            <v>337</v>
          </cell>
          <cell r="F1677">
            <v>0</v>
          </cell>
        </row>
        <row r="1678">
          <cell r="A1678" t="str">
            <v>GKVPR</v>
          </cell>
          <cell r="B1678" t="str">
            <v>K. V. PRASANNA</v>
          </cell>
          <cell r="C1678" t="str">
            <v>LSCRED</v>
          </cell>
          <cell r="D1678">
            <v>1451</v>
          </cell>
          <cell r="E1678">
            <v>1451</v>
          </cell>
          <cell r="F1678">
            <v>0</v>
          </cell>
        </row>
        <row r="1679">
          <cell r="A1679" t="str">
            <v>GKADS</v>
          </cell>
          <cell r="B1679" t="str">
            <v>KADAMBARI SHARMA</v>
          </cell>
          <cell r="C1679" t="str">
            <v>LSCRED</v>
          </cell>
          <cell r="D1679">
            <v>34428</v>
          </cell>
          <cell r="E1679">
            <v>34428</v>
          </cell>
          <cell r="F1679">
            <v>0</v>
          </cell>
        </row>
        <row r="1680">
          <cell r="A1680" t="str">
            <v>GKAIG</v>
          </cell>
          <cell r="B1680" t="str">
            <v>KAILASH GIRI</v>
          </cell>
          <cell r="C1680" t="str">
            <v>LSCRED</v>
          </cell>
          <cell r="D1680">
            <v>421</v>
          </cell>
          <cell r="E1680">
            <v>421</v>
          </cell>
          <cell r="F1680">
            <v>0</v>
          </cell>
        </row>
        <row r="1681">
          <cell r="A1681" t="str">
            <v>GKAIK</v>
          </cell>
          <cell r="B1681" t="str">
            <v>KAILASH KHANNA</v>
          </cell>
          <cell r="C1681" t="str">
            <v>LSCRED</v>
          </cell>
          <cell r="D1681">
            <v>30638</v>
          </cell>
          <cell r="E1681">
            <v>30638</v>
          </cell>
          <cell r="F1681">
            <v>0</v>
          </cell>
        </row>
        <row r="1682">
          <cell r="A1682" t="str">
            <v>GKAJA</v>
          </cell>
          <cell r="B1682" t="str">
            <v>KAJAL ARTWANI &amp; SANJAY ARTWANI</v>
          </cell>
          <cell r="C1682" t="str">
            <v>LSCRED</v>
          </cell>
          <cell r="D1682">
            <v>4626</v>
          </cell>
          <cell r="E1682">
            <v>4626</v>
          </cell>
          <cell r="F1682">
            <v>0</v>
          </cell>
        </row>
        <row r="1683">
          <cell r="A1683" t="str">
            <v>GKAAG</v>
          </cell>
          <cell r="B1683" t="str">
            <v>KALPANA AGARWAL</v>
          </cell>
          <cell r="C1683" t="str">
            <v>LSCRED</v>
          </cell>
          <cell r="D1683">
            <v>75735</v>
          </cell>
          <cell r="E1683">
            <v>75735</v>
          </cell>
          <cell r="F1683">
            <v>0</v>
          </cell>
        </row>
        <row r="1684">
          <cell r="A1684" t="str">
            <v>GKAHE</v>
          </cell>
          <cell r="B1684" t="str">
            <v>KALPANA HEMENDRA SHAH</v>
          </cell>
          <cell r="C1684" t="str">
            <v>LSCRED</v>
          </cell>
          <cell r="D1684">
            <v>19619</v>
          </cell>
          <cell r="E1684">
            <v>19619</v>
          </cell>
          <cell r="F1684">
            <v>0</v>
          </cell>
        </row>
        <row r="1685">
          <cell r="A1685" t="str">
            <v>GKALM</v>
          </cell>
          <cell r="B1685" t="str">
            <v>KALPANA MEHENDRA SHAH</v>
          </cell>
          <cell r="C1685" t="str">
            <v>LSCRED</v>
          </cell>
          <cell r="D1685">
            <v>25267</v>
          </cell>
          <cell r="E1685">
            <v>25267</v>
          </cell>
          <cell r="F1685">
            <v>0</v>
          </cell>
        </row>
        <row r="1686">
          <cell r="A1686" t="str">
            <v>GKALV</v>
          </cell>
          <cell r="B1686" t="str">
            <v>KALPANA NARAYAN VEDPATHAK</v>
          </cell>
          <cell r="C1686" t="str">
            <v>LSCRED</v>
          </cell>
          <cell r="D1686">
            <v>26406</v>
          </cell>
          <cell r="E1686">
            <v>26406</v>
          </cell>
          <cell r="F1686">
            <v>0</v>
          </cell>
        </row>
        <row r="1687">
          <cell r="A1687" t="str">
            <v>GKLWA</v>
          </cell>
          <cell r="B1687" t="str">
            <v>KALYANA LAKSHMI WELFARE ASSOCIATION</v>
          </cell>
          <cell r="C1687" t="str">
            <v>LSCRED</v>
          </cell>
          <cell r="D1687">
            <v>20090</v>
          </cell>
          <cell r="E1687">
            <v>20090</v>
          </cell>
          <cell r="F1687">
            <v>0</v>
          </cell>
        </row>
        <row r="1688">
          <cell r="A1688" t="str">
            <v>GKABA</v>
          </cell>
          <cell r="B1688" t="str">
            <v>KAMAL BABBAR</v>
          </cell>
          <cell r="C1688" t="str">
            <v>LSCRED</v>
          </cell>
          <cell r="D1688">
            <v>105481</v>
          </cell>
          <cell r="E1688">
            <v>105481</v>
          </cell>
          <cell r="F1688">
            <v>0</v>
          </cell>
        </row>
        <row r="1689">
          <cell r="A1689" t="str">
            <v>GKAMAA</v>
          </cell>
          <cell r="B1689" t="str">
            <v>KAMAL KUMAR AGARWAL (HUF)</v>
          </cell>
          <cell r="C1689" t="str">
            <v>LSCRED</v>
          </cell>
          <cell r="D1689">
            <v>48000</v>
          </cell>
          <cell r="E1689">
            <v>48000</v>
          </cell>
          <cell r="F1689">
            <v>0</v>
          </cell>
        </row>
        <row r="1690">
          <cell r="A1690" t="str">
            <v>GKAME</v>
          </cell>
          <cell r="B1690" t="str">
            <v>KAMESHWER KAPOOR</v>
          </cell>
          <cell r="C1690" t="str">
            <v>LSCRED</v>
          </cell>
          <cell r="D1690">
            <v>29139</v>
          </cell>
          <cell r="E1690">
            <v>29139</v>
          </cell>
          <cell r="F1690">
            <v>0</v>
          </cell>
        </row>
        <row r="1691">
          <cell r="A1691" t="str">
            <v>GKAML</v>
          </cell>
          <cell r="B1691" t="str">
            <v>KAMLA</v>
          </cell>
          <cell r="C1691" t="str">
            <v>LSCRED</v>
          </cell>
          <cell r="D1691">
            <v>18800</v>
          </cell>
          <cell r="E1691">
            <v>18800</v>
          </cell>
          <cell r="F1691">
            <v>0</v>
          </cell>
        </row>
        <row r="1692">
          <cell r="A1692" t="str">
            <v>GKAMI</v>
          </cell>
          <cell r="B1692" t="str">
            <v>KAMLESH KUMAR MISHRA</v>
          </cell>
          <cell r="C1692" t="str">
            <v>LSCRED</v>
          </cell>
          <cell r="D1692">
            <v>2448</v>
          </cell>
          <cell r="E1692">
            <v>2448</v>
          </cell>
          <cell r="F1692">
            <v>0</v>
          </cell>
        </row>
        <row r="1693">
          <cell r="A1693" t="str">
            <v>GKAMV</v>
          </cell>
          <cell r="B1693" t="str">
            <v>KAMLESH VERMA</v>
          </cell>
          <cell r="C1693" t="str">
            <v>LSCRED</v>
          </cell>
          <cell r="D1693">
            <v>23409</v>
          </cell>
          <cell r="E1693">
            <v>23409</v>
          </cell>
          <cell r="F1693">
            <v>0</v>
          </cell>
        </row>
        <row r="1694">
          <cell r="A1694" t="str">
            <v>GKANV</v>
          </cell>
          <cell r="B1694" t="str">
            <v>KANAV MOTORS</v>
          </cell>
          <cell r="C1694" t="str">
            <v>LSCRED</v>
          </cell>
          <cell r="D1694">
            <v>1100</v>
          </cell>
          <cell r="E1694">
            <v>1100</v>
          </cell>
          <cell r="F1694">
            <v>0</v>
          </cell>
        </row>
        <row r="1695">
          <cell r="A1695" t="str">
            <v>GKANI</v>
          </cell>
          <cell r="B1695" t="str">
            <v>KANIKA AGARWAL</v>
          </cell>
          <cell r="C1695" t="str">
            <v>LSCRED</v>
          </cell>
          <cell r="D1695">
            <v>87191</v>
          </cell>
          <cell r="E1695">
            <v>87191</v>
          </cell>
          <cell r="F1695">
            <v>0</v>
          </cell>
        </row>
        <row r="1696">
          <cell r="A1696" t="str">
            <v>GKARA</v>
          </cell>
          <cell r="B1696" t="str">
            <v>KANTA RANI NARANG</v>
          </cell>
          <cell r="C1696" t="str">
            <v>LSCRED</v>
          </cell>
          <cell r="D1696">
            <v>87403</v>
          </cell>
          <cell r="E1696">
            <v>87403</v>
          </cell>
          <cell r="F1696">
            <v>0</v>
          </cell>
        </row>
        <row r="1697">
          <cell r="A1697" t="str">
            <v>GKAPI</v>
          </cell>
          <cell r="B1697" t="str">
            <v>KAPIL SINGHAL</v>
          </cell>
          <cell r="C1697" t="str">
            <v>LSCRED</v>
          </cell>
          <cell r="D1697">
            <v>45110</v>
          </cell>
          <cell r="E1697">
            <v>45110</v>
          </cell>
          <cell r="F1697">
            <v>0</v>
          </cell>
        </row>
        <row r="1698">
          <cell r="A1698" t="str">
            <v>GKF01</v>
          </cell>
          <cell r="B1698" t="str">
            <v>KAUSHIK FURNITURES</v>
          </cell>
          <cell r="C1698" t="str">
            <v>LSCRED</v>
          </cell>
          <cell r="D1698">
            <v>8100</v>
          </cell>
          <cell r="E1698">
            <v>8100</v>
          </cell>
          <cell r="F1698">
            <v>0</v>
          </cell>
        </row>
        <row r="1699">
          <cell r="A1699" t="str">
            <v>GKAWA</v>
          </cell>
          <cell r="B1699" t="str">
            <v>KAWAL PREET SINGH MAKIN</v>
          </cell>
          <cell r="C1699" t="str">
            <v>LSCRED</v>
          </cell>
          <cell r="D1699">
            <v>2048</v>
          </cell>
          <cell r="E1699">
            <v>2048</v>
          </cell>
          <cell r="F1699">
            <v>0</v>
          </cell>
        </row>
        <row r="1700">
          <cell r="A1700" t="str">
            <v>GKAYK</v>
          </cell>
          <cell r="B1700" t="str">
            <v>KAY KAY FOODS LTD</v>
          </cell>
          <cell r="C1700" t="str">
            <v>LSCRED</v>
          </cell>
          <cell r="D1700">
            <v>43345</v>
          </cell>
          <cell r="E1700">
            <v>43345</v>
          </cell>
          <cell r="F1700">
            <v>0</v>
          </cell>
        </row>
        <row r="1701">
          <cell r="A1701" t="str">
            <v>GKAYP</v>
          </cell>
          <cell r="B1701" t="str">
            <v>KAYPEE MECHANICAL INDIA PVT. LTD.</v>
          </cell>
          <cell r="C1701" t="str">
            <v>LSCRED</v>
          </cell>
          <cell r="D1701">
            <v>38370</v>
          </cell>
          <cell r="E1701">
            <v>38370</v>
          </cell>
          <cell r="F1701">
            <v>0</v>
          </cell>
        </row>
        <row r="1702">
          <cell r="A1702" t="str">
            <v>GKEDA</v>
          </cell>
          <cell r="B1702" t="str">
            <v>KEDAR MAL PALSANIA</v>
          </cell>
          <cell r="C1702" t="str">
            <v>LSCRED</v>
          </cell>
          <cell r="D1702">
            <v>120126</v>
          </cell>
          <cell r="E1702">
            <v>120126</v>
          </cell>
          <cell r="F1702">
            <v>0</v>
          </cell>
        </row>
        <row r="1703">
          <cell r="A1703" t="str">
            <v>GKEPR</v>
          </cell>
          <cell r="B1703" t="str">
            <v>KEDAR PRASAD MAHAWAR</v>
          </cell>
          <cell r="C1703" t="str">
            <v>LSCRED</v>
          </cell>
          <cell r="D1703">
            <v>24480</v>
          </cell>
          <cell r="E1703">
            <v>24480</v>
          </cell>
          <cell r="F1703">
            <v>0</v>
          </cell>
        </row>
        <row r="1704">
          <cell r="A1704" t="str">
            <v>GKEKR</v>
          </cell>
          <cell r="B1704" t="str">
            <v>KEWAL KRISHAN NARANG</v>
          </cell>
          <cell r="C1704" t="str">
            <v>LSCRED</v>
          </cell>
          <cell r="D1704">
            <v>87403</v>
          </cell>
          <cell r="E1704">
            <v>87403</v>
          </cell>
          <cell r="F1704">
            <v>0</v>
          </cell>
        </row>
        <row r="1705">
          <cell r="A1705" t="str">
            <v>GKGKI</v>
          </cell>
          <cell r="B1705" t="str">
            <v>KGK INNOVATIVE PVT. LTD.</v>
          </cell>
          <cell r="C1705" t="str">
            <v>LSCRED</v>
          </cell>
          <cell r="D1705">
            <v>104241</v>
          </cell>
          <cell r="E1705">
            <v>104241</v>
          </cell>
          <cell r="F1705">
            <v>0</v>
          </cell>
        </row>
        <row r="1706">
          <cell r="A1706" t="str">
            <v>GKHAL</v>
          </cell>
          <cell r="B1706" t="str">
            <v>KHALEELULLAH KHAN &amp; HASHMATH KHALEEL</v>
          </cell>
          <cell r="C1706" t="str">
            <v>LSCRED</v>
          </cell>
          <cell r="D1706">
            <v>227181</v>
          </cell>
          <cell r="E1706">
            <v>227181</v>
          </cell>
          <cell r="F1706">
            <v>0</v>
          </cell>
        </row>
        <row r="1707">
          <cell r="A1707" t="str">
            <v>GKHER</v>
          </cell>
          <cell r="B1707" t="str">
            <v>KHEROON SHABBIR</v>
          </cell>
          <cell r="C1707" t="str">
            <v>LSCRED</v>
          </cell>
          <cell r="D1707">
            <v>41575</v>
          </cell>
          <cell r="E1707">
            <v>41575</v>
          </cell>
          <cell r="F1707">
            <v>0</v>
          </cell>
        </row>
        <row r="1708">
          <cell r="A1708" t="str">
            <v>GKHUS</v>
          </cell>
          <cell r="B1708" t="str">
            <v>KHUSH DAYAL</v>
          </cell>
          <cell r="C1708" t="str">
            <v>LSCRED</v>
          </cell>
          <cell r="D1708">
            <v>36886</v>
          </cell>
          <cell r="E1708">
            <v>36886</v>
          </cell>
          <cell r="F1708">
            <v>0</v>
          </cell>
        </row>
        <row r="1709">
          <cell r="A1709" t="str">
            <v>GKINJ</v>
          </cell>
          <cell r="B1709" t="str">
            <v>KINJAL CORPORATION</v>
          </cell>
          <cell r="C1709" t="str">
            <v>LSCRED</v>
          </cell>
          <cell r="D1709">
            <v>131016</v>
          </cell>
          <cell r="E1709">
            <v>131016</v>
          </cell>
          <cell r="F1709">
            <v>0</v>
          </cell>
        </row>
        <row r="1710">
          <cell r="A1710" t="str">
            <v>GKIRC</v>
          </cell>
          <cell r="B1710" t="str">
            <v>KIRAN COMPUTTERS FORMS</v>
          </cell>
          <cell r="C1710" t="str">
            <v>LSCRED</v>
          </cell>
          <cell r="D1710">
            <v>32890</v>
          </cell>
          <cell r="E1710">
            <v>32890</v>
          </cell>
          <cell r="F1710">
            <v>0</v>
          </cell>
        </row>
        <row r="1711">
          <cell r="A1711" t="str">
            <v>GKIMA</v>
          </cell>
          <cell r="B1711" t="str">
            <v>KIRAN MADAN</v>
          </cell>
          <cell r="C1711" t="str">
            <v>LSCRED</v>
          </cell>
          <cell r="D1711">
            <v>33825</v>
          </cell>
          <cell r="E1711">
            <v>33825</v>
          </cell>
          <cell r="F1711">
            <v>0</v>
          </cell>
        </row>
        <row r="1712">
          <cell r="A1712" t="str">
            <v>GKIRAN</v>
          </cell>
          <cell r="B1712" t="str">
            <v>KIRAN OCHANEY</v>
          </cell>
          <cell r="C1712" t="str">
            <v>LSCRED</v>
          </cell>
          <cell r="D1712">
            <v>165300</v>
          </cell>
          <cell r="E1712">
            <v>165300</v>
          </cell>
          <cell r="F1712">
            <v>0</v>
          </cell>
        </row>
        <row r="1713">
          <cell r="A1713" t="str">
            <v>GKILA</v>
          </cell>
          <cell r="B1713" t="str">
            <v>KIRITBHAI LALJIBHAI TILVA</v>
          </cell>
          <cell r="C1713" t="str">
            <v>LSCRED</v>
          </cell>
          <cell r="D1713">
            <v>227092</v>
          </cell>
          <cell r="E1713">
            <v>227092</v>
          </cell>
          <cell r="F1713">
            <v>0</v>
          </cell>
        </row>
        <row r="1714">
          <cell r="A1714" t="str">
            <v>GKIRP</v>
          </cell>
          <cell r="B1714" t="str">
            <v>KIRPAL SINGH</v>
          </cell>
          <cell r="C1714" t="str">
            <v>LSCRED</v>
          </cell>
          <cell r="D1714">
            <v>29835</v>
          </cell>
          <cell r="E1714">
            <v>29835</v>
          </cell>
          <cell r="F1714">
            <v>0</v>
          </cell>
        </row>
        <row r="1715">
          <cell r="A1715" t="str">
            <v>GKIJA</v>
          </cell>
          <cell r="B1715" t="str">
            <v>KIRTENDRA JAIN</v>
          </cell>
          <cell r="C1715" t="str">
            <v>LSCRED</v>
          </cell>
          <cell r="D1715">
            <v>3647</v>
          </cell>
          <cell r="E1715">
            <v>3647</v>
          </cell>
          <cell r="F1715">
            <v>0</v>
          </cell>
        </row>
        <row r="1716">
          <cell r="A1716" t="str">
            <v>GKIRD</v>
          </cell>
          <cell r="B1716" t="str">
            <v>KIRTI DATTATRAY KELKAR</v>
          </cell>
          <cell r="C1716" t="str">
            <v>LSCRED</v>
          </cell>
          <cell r="D1716">
            <v>68850</v>
          </cell>
          <cell r="E1716">
            <v>68850</v>
          </cell>
          <cell r="F1716">
            <v>0</v>
          </cell>
        </row>
        <row r="1717">
          <cell r="A1717" t="str">
            <v>GKIRS</v>
          </cell>
          <cell r="B1717" t="str">
            <v>KIRTI SHAH &amp; ASSOCIATES</v>
          </cell>
          <cell r="C1717" t="str">
            <v>LSCRED</v>
          </cell>
          <cell r="D1717">
            <v>42743</v>
          </cell>
          <cell r="E1717">
            <v>42743</v>
          </cell>
          <cell r="F1717">
            <v>0</v>
          </cell>
        </row>
        <row r="1718">
          <cell r="A1718" t="str">
            <v>GKISH</v>
          </cell>
          <cell r="B1718" t="str">
            <v>KISHORE NARANG</v>
          </cell>
          <cell r="C1718" t="str">
            <v>LSCRED</v>
          </cell>
          <cell r="D1718">
            <v>111142</v>
          </cell>
          <cell r="E1718">
            <v>111142</v>
          </cell>
          <cell r="F1718">
            <v>0</v>
          </cell>
        </row>
        <row r="1719">
          <cell r="A1719" t="str">
            <v>GKOKI</v>
          </cell>
          <cell r="B1719" t="str">
            <v>KOKILA VINUBHAI THAKKAR</v>
          </cell>
          <cell r="C1719" t="str">
            <v>LSCRED</v>
          </cell>
          <cell r="D1719">
            <v>24932</v>
          </cell>
          <cell r="E1719">
            <v>24932</v>
          </cell>
          <cell r="F1719">
            <v>0</v>
          </cell>
        </row>
        <row r="1720">
          <cell r="A1720" t="str">
            <v>GKOMA</v>
          </cell>
          <cell r="B1720" t="str">
            <v>KOMALBEN RAJESHBHAI CHOKSHI</v>
          </cell>
          <cell r="C1720" t="str">
            <v>LSCRED</v>
          </cell>
          <cell r="D1720">
            <v>17100</v>
          </cell>
          <cell r="E1720">
            <v>17100</v>
          </cell>
          <cell r="F1720">
            <v>0</v>
          </cell>
        </row>
        <row r="1721">
          <cell r="A1721" t="str">
            <v>GKOTT</v>
          </cell>
          <cell r="B1721" t="str">
            <v>KOTTA CHIDAMBARA RAO</v>
          </cell>
          <cell r="C1721" t="str">
            <v>LSCRED</v>
          </cell>
          <cell r="D1721">
            <v>77000</v>
          </cell>
          <cell r="E1721">
            <v>77000</v>
          </cell>
          <cell r="F1721">
            <v>0</v>
          </cell>
        </row>
        <row r="1722">
          <cell r="A1722" t="str">
            <v>GKRBA</v>
          </cell>
          <cell r="B1722" t="str">
            <v>KRISHAN KUMAR BAJAJ</v>
          </cell>
          <cell r="C1722" t="str">
            <v>LSCRED</v>
          </cell>
          <cell r="D1722">
            <v>52958</v>
          </cell>
          <cell r="E1722">
            <v>52958</v>
          </cell>
          <cell r="F1722">
            <v>0</v>
          </cell>
        </row>
        <row r="1723">
          <cell r="A1723" t="str">
            <v>GKRSE</v>
          </cell>
          <cell r="B1723" t="str">
            <v>KRISHAN KUMAR SETHI</v>
          </cell>
          <cell r="C1723" t="str">
            <v>LSCRED</v>
          </cell>
          <cell r="D1723">
            <v>91331</v>
          </cell>
          <cell r="E1723">
            <v>91331</v>
          </cell>
          <cell r="F1723">
            <v>0</v>
          </cell>
        </row>
        <row r="1724">
          <cell r="A1724" t="str">
            <v>GKRISN</v>
          </cell>
          <cell r="B1724" t="str">
            <v>KRISHAN S PATIL</v>
          </cell>
          <cell r="C1724" t="str">
            <v>LSCRED</v>
          </cell>
          <cell r="D1724">
            <v>24423</v>
          </cell>
          <cell r="E1724">
            <v>24423</v>
          </cell>
          <cell r="F1724">
            <v>0</v>
          </cell>
        </row>
        <row r="1725">
          <cell r="A1725" t="str">
            <v>GKRISH</v>
          </cell>
          <cell r="B1725" t="str">
            <v>KRISHNA TOWER OCCUPANTS ASSOCIATION</v>
          </cell>
          <cell r="C1725" t="str">
            <v>LSCRED</v>
          </cell>
          <cell r="D1725">
            <v>13545.36</v>
          </cell>
          <cell r="E1725">
            <v>13545.36</v>
          </cell>
          <cell r="F1725">
            <v>0</v>
          </cell>
        </row>
        <row r="1726">
          <cell r="A1726" t="str">
            <v>GKTCI</v>
          </cell>
          <cell r="B1726" t="str">
            <v>KTC (INDIA) PRIVATE LIMITED</v>
          </cell>
          <cell r="C1726" t="str">
            <v>LSCRED</v>
          </cell>
          <cell r="D1726">
            <v>5959</v>
          </cell>
          <cell r="E1726">
            <v>5959</v>
          </cell>
          <cell r="F1726">
            <v>0</v>
          </cell>
        </row>
        <row r="1727">
          <cell r="A1727" t="str">
            <v>GKULW</v>
          </cell>
          <cell r="B1727" t="str">
            <v>KULWANT BIR SINGH MAKIN</v>
          </cell>
          <cell r="C1727" t="str">
            <v>LSCRED</v>
          </cell>
          <cell r="D1727">
            <v>2048</v>
          </cell>
          <cell r="E1727">
            <v>2048</v>
          </cell>
          <cell r="F1727">
            <v>0</v>
          </cell>
        </row>
        <row r="1728">
          <cell r="A1728" t="str">
            <v>GKUHO</v>
          </cell>
          <cell r="B1728" t="str">
            <v>KUMAR HOUSING</v>
          </cell>
          <cell r="C1728" t="str">
            <v>LSCRED</v>
          </cell>
          <cell r="D1728">
            <v>109712</v>
          </cell>
          <cell r="E1728">
            <v>109712</v>
          </cell>
          <cell r="F1728">
            <v>0</v>
          </cell>
        </row>
        <row r="1729">
          <cell r="A1729" t="str">
            <v>GKUND</v>
          </cell>
          <cell r="B1729" t="str">
            <v>KUNDAN LAL &amp; CO</v>
          </cell>
          <cell r="C1729" t="str">
            <v>LSCRED</v>
          </cell>
          <cell r="D1729">
            <v>551</v>
          </cell>
          <cell r="E1729">
            <v>551</v>
          </cell>
          <cell r="F1729">
            <v>0</v>
          </cell>
        </row>
        <row r="1730">
          <cell r="A1730" t="str">
            <v>GLNNA</v>
          </cell>
          <cell r="B1730" t="str">
            <v>L. N. NAGPAL (HUF)</v>
          </cell>
          <cell r="C1730" t="str">
            <v>LSCRED</v>
          </cell>
          <cell r="D1730">
            <v>64005</v>
          </cell>
          <cell r="E1730">
            <v>64005</v>
          </cell>
          <cell r="F1730">
            <v>0</v>
          </cell>
        </row>
        <row r="1731">
          <cell r="A1731" t="str">
            <v>GLALB</v>
          </cell>
          <cell r="B1731" t="str">
            <v>LALBHAI R SHAH</v>
          </cell>
          <cell r="C1731" t="str">
            <v>LSCRED</v>
          </cell>
          <cell r="D1731">
            <v>180003</v>
          </cell>
          <cell r="E1731">
            <v>180003</v>
          </cell>
          <cell r="F1731">
            <v>0</v>
          </cell>
        </row>
        <row r="1732">
          <cell r="A1732" t="str">
            <v>GLALC</v>
          </cell>
          <cell r="B1732" t="str">
            <v>LALI CHAUDHARY</v>
          </cell>
          <cell r="C1732" t="str">
            <v>LSCRED</v>
          </cell>
          <cell r="D1732">
            <v>38250</v>
          </cell>
          <cell r="E1732">
            <v>38250</v>
          </cell>
          <cell r="F1732">
            <v>0</v>
          </cell>
        </row>
        <row r="1733">
          <cell r="A1733" t="str">
            <v>GLALI</v>
          </cell>
          <cell r="B1733" t="str">
            <v>LALIT B SANGHVI</v>
          </cell>
          <cell r="C1733" t="str">
            <v>LSCRED</v>
          </cell>
          <cell r="D1733">
            <v>160561</v>
          </cell>
          <cell r="E1733">
            <v>160561</v>
          </cell>
          <cell r="F1733">
            <v>0</v>
          </cell>
        </row>
        <row r="1734">
          <cell r="A1734" t="str">
            <v>GLEEL</v>
          </cell>
          <cell r="B1734" t="str">
            <v>LEELA RAGHAVAN</v>
          </cell>
          <cell r="C1734" t="str">
            <v>LSCRED</v>
          </cell>
          <cell r="D1734">
            <v>32510</v>
          </cell>
          <cell r="E1734">
            <v>32510</v>
          </cell>
          <cell r="F1734">
            <v>0</v>
          </cell>
        </row>
        <row r="1735">
          <cell r="A1735" t="str">
            <v>GLMA/C</v>
          </cell>
          <cell r="B1735" t="str">
            <v>LM A/C FORTUNE</v>
          </cell>
          <cell r="C1735" t="str">
            <v>LSCRED</v>
          </cell>
          <cell r="D1735">
            <v>2340</v>
          </cell>
          <cell r="E1735">
            <v>2340</v>
          </cell>
          <cell r="F1735">
            <v>0</v>
          </cell>
        </row>
        <row r="1736">
          <cell r="A1736" t="str">
            <v>GLOMC</v>
          </cell>
          <cell r="B1736" t="str">
            <v>LOCAL MUNICIPAL CORPORATION</v>
          </cell>
          <cell r="C1736" t="str">
            <v>LSCRED</v>
          </cell>
          <cell r="D1736">
            <v>50</v>
          </cell>
          <cell r="E1736">
            <v>50</v>
          </cell>
          <cell r="F1736">
            <v>0</v>
          </cell>
        </row>
        <row r="1737">
          <cell r="A1737" t="str">
            <v>GMDOR</v>
          </cell>
          <cell r="B1737" t="str">
            <v>M DORAISWAMY NAIDU</v>
          </cell>
          <cell r="C1737" t="str">
            <v>LSCRED</v>
          </cell>
          <cell r="D1737">
            <v>224458</v>
          </cell>
          <cell r="E1737">
            <v>224458</v>
          </cell>
          <cell r="F1737">
            <v>0</v>
          </cell>
        </row>
        <row r="1738">
          <cell r="A1738" t="str">
            <v>GMHAR</v>
          </cell>
          <cell r="B1738" t="str">
            <v>M HARIGOVIND</v>
          </cell>
          <cell r="C1738" t="str">
            <v>LSCRED</v>
          </cell>
          <cell r="D1738">
            <v>141485</v>
          </cell>
          <cell r="E1738">
            <v>141485</v>
          </cell>
          <cell r="F1738">
            <v>0</v>
          </cell>
        </row>
        <row r="1739">
          <cell r="A1739" t="str">
            <v>GMIND</v>
          </cell>
          <cell r="B1739" t="str">
            <v>M. INDUPRIYA</v>
          </cell>
          <cell r="C1739" t="str">
            <v>LSCRED</v>
          </cell>
          <cell r="D1739">
            <v>20583</v>
          </cell>
          <cell r="E1739">
            <v>20583</v>
          </cell>
          <cell r="F1739">
            <v>0</v>
          </cell>
        </row>
        <row r="1740">
          <cell r="A1740" t="str">
            <v>GMPSO</v>
          </cell>
          <cell r="B1740" t="str">
            <v>M. P SOMASEKHARAN PILLAI</v>
          </cell>
          <cell r="C1740" t="str">
            <v>LSCRED</v>
          </cell>
          <cell r="D1740">
            <v>32698</v>
          </cell>
          <cell r="E1740">
            <v>32698</v>
          </cell>
          <cell r="F1740">
            <v>0</v>
          </cell>
        </row>
        <row r="1741">
          <cell r="A1741" t="str">
            <v>GMSAR</v>
          </cell>
          <cell r="B1741" t="str">
            <v>M. S. ARORA (HUF)</v>
          </cell>
          <cell r="C1741" t="str">
            <v>LSCRED</v>
          </cell>
          <cell r="D1741">
            <v>10000</v>
          </cell>
          <cell r="E1741">
            <v>10000</v>
          </cell>
          <cell r="F1741">
            <v>0</v>
          </cell>
        </row>
        <row r="1742">
          <cell r="A1742" t="str">
            <v>GMVTH</v>
          </cell>
          <cell r="B1742" t="str">
            <v>M. V. THAKKER</v>
          </cell>
          <cell r="C1742" t="str">
            <v>LSCRED</v>
          </cell>
          <cell r="D1742">
            <v>4208</v>
          </cell>
          <cell r="E1742">
            <v>4208</v>
          </cell>
          <cell r="F1742">
            <v>0</v>
          </cell>
        </row>
        <row r="1743">
          <cell r="A1743" t="str">
            <v>GHOCL</v>
          </cell>
          <cell r="B1743" t="str">
            <v>M/S HOTEL CLASSIC</v>
          </cell>
          <cell r="C1743" t="str">
            <v>LSCRED</v>
          </cell>
          <cell r="D1743">
            <v>76372</v>
          </cell>
          <cell r="E1743">
            <v>76372</v>
          </cell>
          <cell r="F1743">
            <v>0</v>
          </cell>
        </row>
        <row r="1744">
          <cell r="A1744" t="str">
            <v>GRUKM</v>
          </cell>
          <cell r="B1744" t="str">
            <v>M/S RUKMANI</v>
          </cell>
          <cell r="C1744" t="str">
            <v>LSCRED</v>
          </cell>
          <cell r="D1744">
            <v>5662</v>
          </cell>
          <cell r="E1744">
            <v>5662</v>
          </cell>
          <cell r="F1744">
            <v>0</v>
          </cell>
        </row>
        <row r="1745">
          <cell r="A1745" t="str">
            <v>GSANW</v>
          </cell>
          <cell r="B1745" t="str">
            <v>M/S SANWAL CHADHA &amp; OTHERS</v>
          </cell>
          <cell r="C1745" t="str">
            <v>LSCRED</v>
          </cell>
          <cell r="D1745">
            <v>4500</v>
          </cell>
          <cell r="E1745">
            <v>4500</v>
          </cell>
          <cell r="F1745">
            <v>0</v>
          </cell>
        </row>
        <row r="1746">
          <cell r="A1746" t="str">
            <v>GMSSH</v>
          </cell>
          <cell r="B1746" t="str">
            <v>M/S SHRI KRISHNA SERVICES</v>
          </cell>
          <cell r="C1746" t="str">
            <v>LSCRED</v>
          </cell>
          <cell r="D1746">
            <v>45804</v>
          </cell>
          <cell r="E1746">
            <v>45804</v>
          </cell>
          <cell r="F1746">
            <v>0</v>
          </cell>
        </row>
        <row r="1747">
          <cell r="A1747" t="str">
            <v>GVATI</v>
          </cell>
          <cell r="B1747" t="str">
            <v>M/S VATIKA MARKETING LIMITED</v>
          </cell>
          <cell r="C1747" t="str">
            <v>LSCRED</v>
          </cell>
          <cell r="D1747">
            <v>10355</v>
          </cell>
          <cell r="E1747">
            <v>10355</v>
          </cell>
          <cell r="F1747">
            <v>0</v>
          </cell>
        </row>
        <row r="1748">
          <cell r="A1748" t="str">
            <v>GMAFO</v>
          </cell>
          <cell r="B1748" t="str">
            <v>MA FOI MANAGEMENT CONSULTANTS LTD</v>
          </cell>
          <cell r="C1748" t="str">
            <v>LSCRED</v>
          </cell>
          <cell r="D1748">
            <v>360</v>
          </cell>
          <cell r="E1748">
            <v>360</v>
          </cell>
          <cell r="F1748">
            <v>0</v>
          </cell>
        </row>
        <row r="1749">
          <cell r="A1749" t="str">
            <v>GMADE</v>
          </cell>
          <cell r="B1749" t="str">
            <v>MADAN ELECTRIC WORKS</v>
          </cell>
          <cell r="C1749" t="str">
            <v>LSCRED</v>
          </cell>
          <cell r="D1749">
            <v>15864</v>
          </cell>
          <cell r="E1749">
            <v>15864</v>
          </cell>
          <cell r="F1749">
            <v>0</v>
          </cell>
        </row>
        <row r="1750">
          <cell r="A1750" t="str">
            <v>GMADA</v>
          </cell>
          <cell r="B1750" t="str">
            <v>MADHAV DARSHAN NON TRADING CORPORATION</v>
          </cell>
          <cell r="C1750" t="str">
            <v>LSCRED</v>
          </cell>
          <cell r="D1750">
            <v>2142</v>
          </cell>
          <cell r="E1750">
            <v>2142</v>
          </cell>
          <cell r="F1750">
            <v>0</v>
          </cell>
        </row>
        <row r="1751">
          <cell r="A1751" t="str">
            <v>GMAAG</v>
          </cell>
          <cell r="B1751" t="str">
            <v>MADHU AGARWAL</v>
          </cell>
          <cell r="C1751" t="str">
            <v>LSCRED</v>
          </cell>
          <cell r="D1751">
            <v>22716</v>
          </cell>
          <cell r="E1751">
            <v>22716</v>
          </cell>
          <cell r="F1751">
            <v>0</v>
          </cell>
        </row>
        <row r="1752">
          <cell r="A1752" t="str">
            <v>GMADH</v>
          </cell>
          <cell r="B1752" t="str">
            <v>MADHU AGARWALA</v>
          </cell>
          <cell r="C1752" t="str">
            <v>LSCRED</v>
          </cell>
          <cell r="D1752">
            <v>120454</v>
          </cell>
          <cell r="E1752">
            <v>120454</v>
          </cell>
          <cell r="F1752">
            <v>0</v>
          </cell>
        </row>
        <row r="1753">
          <cell r="A1753" t="str">
            <v>GMADP</v>
          </cell>
          <cell r="B1753" t="str">
            <v>MADHU PROPERTY DEALERS</v>
          </cell>
          <cell r="C1753" t="str">
            <v>LSCRED</v>
          </cell>
          <cell r="D1753">
            <v>1478</v>
          </cell>
          <cell r="E1753">
            <v>1478</v>
          </cell>
          <cell r="F1753">
            <v>0</v>
          </cell>
        </row>
        <row r="1754">
          <cell r="A1754" t="str">
            <v>GMADB</v>
          </cell>
          <cell r="B1754" t="str">
            <v>MADHUKAR BABURAO TAWDE</v>
          </cell>
          <cell r="C1754" t="str">
            <v>LSCRED</v>
          </cell>
          <cell r="D1754">
            <v>52122</v>
          </cell>
          <cell r="E1754">
            <v>52122</v>
          </cell>
          <cell r="F1754">
            <v>0</v>
          </cell>
        </row>
        <row r="1755">
          <cell r="A1755" t="str">
            <v>GMADV</v>
          </cell>
          <cell r="B1755" t="str">
            <v>MADUPALLI VIJAY KUMAR</v>
          </cell>
          <cell r="C1755" t="str">
            <v>LSCRED</v>
          </cell>
          <cell r="D1755">
            <v>105048</v>
          </cell>
          <cell r="E1755">
            <v>105048</v>
          </cell>
          <cell r="F1755">
            <v>0</v>
          </cell>
        </row>
        <row r="1756">
          <cell r="A1756" t="str">
            <v>GMAKU</v>
          </cell>
          <cell r="B1756" t="str">
            <v>MAHENDER KUMAR GANDHI &amp; SONS (HUF)</v>
          </cell>
          <cell r="C1756" t="str">
            <v>LSCRED</v>
          </cell>
          <cell r="D1756">
            <v>28193</v>
          </cell>
          <cell r="E1756">
            <v>28193</v>
          </cell>
          <cell r="F1756">
            <v>0</v>
          </cell>
        </row>
        <row r="1757">
          <cell r="A1757" t="str">
            <v>GMAHR</v>
          </cell>
          <cell r="B1757" t="str">
            <v>MAHENDRA RATILAL SHAH (HUF)</v>
          </cell>
          <cell r="C1757" t="str">
            <v>LSCRED</v>
          </cell>
          <cell r="D1757">
            <v>25267</v>
          </cell>
          <cell r="E1757">
            <v>25267</v>
          </cell>
          <cell r="F1757">
            <v>0</v>
          </cell>
        </row>
        <row r="1758">
          <cell r="A1758" t="str">
            <v>GMATH</v>
          </cell>
          <cell r="B1758" t="str">
            <v>MAHESH L THAKKAR</v>
          </cell>
          <cell r="C1758" t="str">
            <v>LSCRED</v>
          </cell>
          <cell r="D1758">
            <v>36720</v>
          </cell>
          <cell r="E1758">
            <v>36720</v>
          </cell>
          <cell r="F1758">
            <v>0</v>
          </cell>
        </row>
        <row r="1759">
          <cell r="A1759" t="str">
            <v>GMAIL</v>
          </cell>
          <cell r="B1759" t="str">
            <v>MAILEX INDIA INC.</v>
          </cell>
          <cell r="C1759" t="str">
            <v>LSCRED</v>
          </cell>
          <cell r="D1759">
            <v>115922</v>
          </cell>
          <cell r="E1759">
            <v>115922</v>
          </cell>
          <cell r="F1759">
            <v>0</v>
          </cell>
        </row>
        <row r="1760">
          <cell r="A1760" t="str">
            <v>GMALH</v>
          </cell>
          <cell r="B1760" t="str">
            <v>MALHOTRA AIRCONDITIONING CORPORATION</v>
          </cell>
          <cell r="C1760" t="str">
            <v>LSCRED</v>
          </cell>
          <cell r="D1760">
            <v>10945</v>
          </cell>
          <cell r="E1760">
            <v>10945</v>
          </cell>
          <cell r="F1760">
            <v>0</v>
          </cell>
        </row>
        <row r="1761">
          <cell r="A1761" t="str">
            <v>GMANN</v>
          </cell>
          <cell r="B1761" t="str">
            <v>MANDHANA INDUSTRIES LTD.</v>
          </cell>
          <cell r="C1761" t="str">
            <v>LSCRED</v>
          </cell>
          <cell r="D1761">
            <v>80784</v>
          </cell>
          <cell r="E1761">
            <v>80784</v>
          </cell>
          <cell r="F1761">
            <v>0</v>
          </cell>
        </row>
        <row r="1762">
          <cell r="A1762" t="str">
            <v>GMAAR</v>
          </cell>
          <cell r="B1762" t="str">
            <v>MANGALA ARUN KESBEKAR</v>
          </cell>
          <cell r="C1762" t="str">
            <v>LSCRED</v>
          </cell>
          <cell r="D1762">
            <v>202198</v>
          </cell>
          <cell r="E1762">
            <v>202198</v>
          </cell>
          <cell r="F1762">
            <v>0</v>
          </cell>
        </row>
        <row r="1763">
          <cell r="A1763" t="str">
            <v>GMANA</v>
          </cell>
          <cell r="B1763" t="str">
            <v>MANGALAM PLACEMENT PRIVATE LIMITED</v>
          </cell>
          <cell r="C1763" t="str">
            <v>LSCRED</v>
          </cell>
          <cell r="D1763">
            <v>28927</v>
          </cell>
          <cell r="E1763">
            <v>28927</v>
          </cell>
          <cell r="F1763">
            <v>0</v>
          </cell>
        </row>
        <row r="1764">
          <cell r="A1764" t="str">
            <v>GMARES</v>
          </cell>
          <cell r="B1764" t="str">
            <v>MANGALAM REAL ESTATE</v>
          </cell>
          <cell r="C1764" t="str">
            <v>LSCRED</v>
          </cell>
          <cell r="D1764">
            <v>3198</v>
          </cell>
          <cell r="E1764">
            <v>3198</v>
          </cell>
          <cell r="F1764">
            <v>0</v>
          </cell>
        </row>
        <row r="1765">
          <cell r="A1765" t="str">
            <v>GMADG</v>
          </cell>
          <cell r="B1765" t="str">
            <v>MANI DEVI GUPTA</v>
          </cell>
          <cell r="C1765" t="str">
            <v>LSCRED</v>
          </cell>
          <cell r="D1765">
            <v>150316</v>
          </cell>
          <cell r="E1765">
            <v>150316</v>
          </cell>
          <cell r="F1765">
            <v>0</v>
          </cell>
        </row>
        <row r="1766">
          <cell r="A1766" t="str">
            <v>GMSON</v>
          </cell>
          <cell r="B1766" t="str">
            <v>MANI SONI</v>
          </cell>
          <cell r="C1766" t="str">
            <v>LSCRED</v>
          </cell>
          <cell r="D1766">
            <v>19097</v>
          </cell>
          <cell r="E1766">
            <v>19097</v>
          </cell>
          <cell r="F1766">
            <v>0</v>
          </cell>
        </row>
        <row r="1767">
          <cell r="A1767" t="str">
            <v>GMANIS</v>
          </cell>
          <cell r="B1767" t="str">
            <v>MANINDER SINGH</v>
          </cell>
          <cell r="C1767" t="str">
            <v>LSCRED</v>
          </cell>
          <cell r="D1767">
            <v>7023</v>
          </cell>
          <cell r="E1767">
            <v>7023</v>
          </cell>
          <cell r="F1767">
            <v>0</v>
          </cell>
        </row>
        <row r="1768">
          <cell r="A1768" t="str">
            <v>GMACH</v>
          </cell>
          <cell r="B1768" t="str">
            <v>MANISH CHANDRA GOENKA</v>
          </cell>
          <cell r="C1768" t="str">
            <v>LSCRED</v>
          </cell>
          <cell r="D1768">
            <v>10531</v>
          </cell>
          <cell r="E1768">
            <v>10531</v>
          </cell>
          <cell r="F1768">
            <v>0</v>
          </cell>
        </row>
        <row r="1769">
          <cell r="A1769" t="str">
            <v>GMANJE</v>
          </cell>
          <cell r="B1769" t="str">
            <v>MANJEET SINGH ARORA</v>
          </cell>
          <cell r="C1769" t="str">
            <v>LSCRED</v>
          </cell>
          <cell r="D1769">
            <v>2244</v>
          </cell>
          <cell r="E1769">
            <v>2244</v>
          </cell>
          <cell r="F1769">
            <v>0</v>
          </cell>
        </row>
        <row r="1770">
          <cell r="A1770" t="str">
            <v>GMANK</v>
          </cell>
          <cell r="B1770" t="str">
            <v>MANJIT KAUR DEOL</v>
          </cell>
          <cell r="C1770" t="str">
            <v>LSCRED</v>
          </cell>
          <cell r="D1770">
            <v>64412</v>
          </cell>
          <cell r="E1770">
            <v>64412</v>
          </cell>
          <cell r="F1770">
            <v>0</v>
          </cell>
        </row>
        <row r="1771">
          <cell r="A1771" t="str">
            <v>GMANJ</v>
          </cell>
          <cell r="B1771" t="str">
            <v>MANJIT SINGH MAKIN</v>
          </cell>
          <cell r="C1771" t="str">
            <v>LSCRED</v>
          </cell>
          <cell r="D1771">
            <v>2047</v>
          </cell>
          <cell r="E1771">
            <v>2047</v>
          </cell>
          <cell r="F1771">
            <v>0</v>
          </cell>
        </row>
        <row r="1772">
          <cell r="A1772" t="str">
            <v>GMANJU</v>
          </cell>
          <cell r="B1772" t="str">
            <v>MANJULA KAPOOR</v>
          </cell>
          <cell r="C1772" t="str">
            <v>LSCRED</v>
          </cell>
          <cell r="D1772">
            <v>39477</v>
          </cell>
          <cell r="E1772">
            <v>39477</v>
          </cell>
          <cell r="F1772">
            <v>0</v>
          </cell>
        </row>
        <row r="1773">
          <cell r="A1773" t="str">
            <v>GMANO</v>
          </cell>
          <cell r="B1773" t="str">
            <v>MANOJ KUMAR AGARWAL</v>
          </cell>
          <cell r="C1773" t="str">
            <v>LSCRED</v>
          </cell>
          <cell r="D1773">
            <v>74816</v>
          </cell>
          <cell r="E1773">
            <v>74816</v>
          </cell>
          <cell r="F1773">
            <v>0</v>
          </cell>
        </row>
        <row r="1774">
          <cell r="A1774" t="str">
            <v>GMNAG</v>
          </cell>
          <cell r="B1774" t="str">
            <v>MANOJ KUMAR AGARWAL</v>
          </cell>
          <cell r="C1774" t="str">
            <v>LSCRED</v>
          </cell>
          <cell r="D1774">
            <v>17217</v>
          </cell>
          <cell r="E1774">
            <v>17217</v>
          </cell>
          <cell r="F1774">
            <v>0</v>
          </cell>
        </row>
        <row r="1775">
          <cell r="A1775" t="str">
            <v>GMSRI</v>
          </cell>
          <cell r="B1775" t="str">
            <v>MANOJ SRIVASTAVA</v>
          </cell>
          <cell r="C1775" t="str">
            <v>LSCRED</v>
          </cell>
          <cell r="D1775">
            <v>8300</v>
          </cell>
          <cell r="E1775">
            <v>8300</v>
          </cell>
          <cell r="F1775">
            <v>0</v>
          </cell>
        </row>
        <row r="1776">
          <cell r="A1776" t="str">
            <v>GMANOR</v>
          </cell>
          <cell r="B1776" t="str">
            <v>MANORMA DEVI</v>
          </cell>
          <cell r="C1776" t="str">
            <v>LSCRED</v>
          </cell>
          <cell r="D1776">
            <v>22032</v>
          </cell>
          <cell r="E1776">
            <v>22032</v>
          </cell>
          <cell r="F1776">
            <v>0</v>
          </cell>
        </row>
        <row r="1777">
          <cell r="A1777" t="str">
            <v>GMANP</v>
          </cell>
          <cell r="B1777" t="str">
            <v>MANPOWER SERVICES INDIA PVT LTD</v>
          </cell>
          <cell r="C1777" t="str">
            <v>LSCRED</v>
          </cell>
          <cell r="D1777">
            <v>45833</v>
          </cell>
          <cell r="E1777">
            <v>45833</v>
          </cell>
          <cell r="F1777">
            <v>0</v>
          </cell>
        </row>
        <row r="1778">
          <cell r="A1778" t="str">
            <v>GMVRK</v>
          </cell>
          <cell r="B1778" t="str">
            <v>MANTENA VENKATA RAMA KRISHANAM RAJU</v>
          </cell>
          <cell r="C1778" t="str">
            <v>LSCRED</v>
          </cell>
          <cell r="D1778">
            <v>16560</v>
          </cell>
          <cell r="E1778">
            <v>16560</v>
          </cell>
          <cell r="F1778">
            <v>0</v>
          </cell>
        </row>
        <row r="1779">
          <cell r="A1779" t="str">
            <v>GMVSS</v>
          </cell>
          <cell r="B1779" t="str">
            <v>MANTENA VENKATA SATYA SURYA NARAYANA</v>
          </cell>
          <cell r="C1779" t="str">
            <v>LSCRED</v>
          </cell>
          <cell r="D1779">
            <v>50514</v>
          </cell>
          <cell r="E1779">
            <v>50514</v>
          </cell>
          <cell r="F1779">
            <v>0</v>
          </cell>
        </row>
        <row r="1780">
          <cell r="A1780" t="str">
            <v>GMAES</v>
          </cell>
          <cell r="B1780" t="str">
            <v>MARUTI ESTATE CONSULTANT</v>
          </cell>
          <cell r="C1780" t="str">
            <v>LSCRED</v>
          </cell>
          <cell r="D1780">
            <v>9369</v>
          </cell>
          <cell r="E1780">
            <v>9369</v>
          </cell>
          <cell r="F1780">
            <v>0</v>
          </cell>
        </row>
        <row r="1781">
          <cell r="A1781" t="str">
            <v>GMATA</v>
          </cell>
          <cell r="B1781" t="str">
            <v>MASTER TAHER KUTUBUDDIN DHUNDIYAWALA</v>
          </cell>
          <cell r="C1781" t="str">
            <v>LSCRED</v>
          </cell>
          <cell r="D1781">
            <v>26816</v>
          </cell>
          <cell r="E1781">
            <v>26816</v>
          </cell>
          <cell r="F1781">
            <v>0</v>
          </cell>
        </row>
        <row r="1782">
          <cell r="A1782" t="str">
            <v>GMAUL</v>
          </cell>
          <cell r="B1782" t="str">
            <v>MAULY SHARMA</v>
          </cell>
          <cell r="C1782" t="str">
            <v>LSCRED</v>
          </cell>
          <cell r="D1782">
            <v>43158</v>
          </cell>
          <cell r="E1782">
            <v>43158</v>
          </cell>
          <cell r="F1782">
            <v>0</v>
          </cell>
        </row>
        <row r="1783">
          <cell r="A1783" t="str">
            <v>GMAYU</v>
          </cell>
          <cell r="B1783" t="str">
            <v>MAYUR AGRAWAL</v>
          </cell>
          <cell r="C1783" t="str">
            <v>LSCRED</v>
          </cell>
          <cell r="D1783">
            <v>842</v>
          </cell>
          <cell r="E1783">
            <v>842</v>
          </cell>
          <cell r="F1783">
            <v>0</v>
          </cell>
        </row>
        <row r="1784">
          <cell r="A1784" t="str">
            <v>GMEKU</v>
          </cell>
          <cell r="B1784" t="str">
            <v>MEENA KUMARI PAL</v>
          </cell>
          <cell r="C1784" t="str">
            <v>LSCRED</v>
          </cell>
          <cell r="D1784">
            <v>114424</v>
          </cell>
          <cell r="E1784">
            <v>114424</v>
          </cell>
          <cell r="F1784">
            <v>0</v>
          </cell>
        </row>
        <row r="1785">
          <cell r="A1785" t="str">
            <v>GMEPA</v>
          </cell>
          <cell r="B1785" t="str">
            <v>MEENABEN PANKAJBHAI PATEL</v>
          </cell>
          <cell r="C1785" t="str">
            <v>LSCRED</v>
          </cell>
          <cell r="D1785">
            <v>16266</v>
          </cell>
          <cell r="E1785">
            <v>16266</v>
          </cell>
          <cell r="F1785">
            <v>0</v>
          </cell>
        </row>
        <row r="1786">
          <cell r="A1786" t="str">
            <v>GMEPH</v>
          </cell>
          <cell r="B1786" t="str">
            <v>MEENU PHOTOSTAT</v>
          </cell>
          <cell r="C1786" t="str">
            <v>LSCRED</v>
          </cell>
          <cell r="D1786">
            <v>5656</v>
          </cell>
          <cell r="E1786">
            <v>5656</v>
          </cell>
          <cell r="F1786">
            <v>0</v>
          </cell>
        </row>
        <row r="1787">
          <cell r="A1787" t="str">
            <v>GMENU</v>
          </cell>
          <cell r="B1787" t="str">
            <v>MEENU SINGH</v>
          </cell>
          <cell r="C1787" t="str">
            <v>LSCRED</v>
          </cell>
          <cell r="D1787">
            <v>36630</v>
          </cell>
          <cell r="E1787">
            <v>36630</v>
          </cell>
          <cell r="F1787">
            <v>0</v>
          </cell>
        </row>
        <row r="1788">
          <cell r="A1788" t="str">
            <v>GMEER</v>
          </cell>
          <cell r="B1788" t="str">
            <v>MEERA KISANCHAND JAMNANI</v>
          </cell>
          <cell r="C1788" t="str">
            <v>LSCRED</v>
          </cell>
          <cell r="D1788">
            <v>7000</v>
          </cell>
          <cell r="E1788">
            <v>7000</v>
          </cell>
          <cell r="F1788">
            <v>0</v>
          </cell>
        </row>
        <row r="1789">
          <cell r="A1789" t="str">
            <v>GMEMO</v>
          </cell>
          <cell r="B1789" t="str">
            <v>MEMO DEVI</v>
          </cell>
          <cell r="C1789" t="str">
            <v>LSCRED</v>
          </cell>
          <cell r="D1789">
            <v>16065</v>
          </cell>
          <cell r="E1789">
            <v>16065</v>
          </cell>
          <cell r="F1789">
            <v>0</v>
          </cell>
        </row>
        <row r="1790">
          <cell r="A1790" t="str">
            <v>GMILA</v>
          </cell>
          <cell r="B1790" t="str">
            <v>MILAN CORPORATION</v>
          </cell>
          <cell r="C1790" t="str">
            <v>LSCRED</v>
          </cell>
          <cell r="D1790">
            <v>82969</v>
          </cell>
          <cell r="E1790">
            <v>82969</v>
          </cell>
          <cell r="F1790">
            <v>0</v>
          </cell>
        </row>
        <row r="1791">
          <cell r="A1791" t="str">
            <v>GMINA</v>
          </cell>
          <cell r="B1791" t="str">
            <v>MINAL D. GOYAL</v>
          </cell>
          <cell r="C1791" t="str">
            <v>LSCRED</v>
          </cell>
          <cell r="D1791">
            <v>145755</v>
          </cell>
          <cell r="E1791">
            <v>145755</v>
          </cell>
          <cell r="F1791">
            <v>0</v>
          </cell>
        </row>
        <row r="1792">
          <cell r="A1792" t="str">
            <v>GMITHL</v>
          </cell>
          <cell r="B1792" t="str">
            <v>MITHLESH KUMAR MISHRA</v>
          </cell>
          <cell r="C1792" t="str">
            <v>LSCRED</v>
          </cell>
          <cell r="D1792">
            <v>36000</v>
          </cell>
          <cell r="E1792">
            <v>36000</v>
          </cell>
          <cell r="F1792">
            <v>0</v>
          </cell>
        </row>
        <row r="1793">
          <cell r="A1793" t="str">
            <v>GMITM</v>
          </cell>
          <cell r="B1793" t="str">
            <v>MITHLESH MISHRA</v>
          </cell>
          <cell r="C1793" t="str">
            <v>LSCRED</v>
          </cell>
          <cell r="D1793">
            <v>18360</v>
          </cell>
          <cell r="E1793">
            <v>18360</v>
          </cell>
          <cell r="F1793">
            <v>0</v>
          </cell>
        </row>
        <row r="1794">
          <cell r="A1794" t="str">
            <v>GMITL</v>
          </cell>
          <cell r="B1794" t="str">
            <v>MITLESH GOEL</v>
          </cell>
          <cell r="C1794" t="str">
            <v>LSCRED</v>
          </cell>
          <cell r="D1794">
            <v>34425</v>
          </cell>
          <cell r="E1794">
            <v>34425</v>
          </cell>
          <cell r="F1794">
            <v>0</v>
          </cell>
        </row>
        <row r="1795">
          <cell r="A1795" t="str">
            <v>GMODE</v>
          </cell>
          <cell r="B1795" t="str">
            <v>MODERN DESIGNS</v>
          </cell>
          <cell r="C1795" t="str">
            <v>LSCRED</v>
          </cell>
          <cell r="D1795">
            <v>48900</v>
          </cell>
          <cell r="E1795">
            <v>48900</v>
          </cell>
          <cell r="F1795">
            <v>0</v>
          </cell>
        </row>
        <row r="1796">
          <cell r="A1796" t="str">
            <v>GMOHA</v>
          </cell>
          <cell r="B1796" t="str">
            <v>MOHAMMAD AZAM ALI</v>
          </cell>
          <cell r="C1796" t="str">
            <v>LSCRED</v>
          </cell>
          <cell r="D1796">
            <v>148362</v>
          </cell>
          <cell r="E1796">
            <v>148362</v>
          </cell>
          <cell r="F1796">
            <v>0</v>
          </cell>
        </row>
        <row r="1797">
          <cell r="A1797" t="str">
            <v>GMRAI</v>
          </cell>
          <cell r="B1797" t="str">
            <v>MOHAMMED RAFIQUE ISMAIL KAZI</v>
          </cell>
          <cell r="C1797" t="str">
            <v>LSCRED</v>
          </cell>
          <cell r="D1797">
            <v>50193</v>
          </cell>
          <cell r="E1797">
            <v>50193</v>
          </cell>
          <cell r="F1797">
            <v>0</v>
          </cell>
        </row>
        <row r="1798">
          <cell r="A1798" t="str">
            <v>GMISM</v>
          </cell>
          <cell r="B1798" t="str">
            <v>MOHD. ISMAIL SHAIKH</v>
          </cell>
          <cell r="C1798" t="str">
            <v>LSCRED</v>
          </cell>
          <cell r="D1798">
            <v>30294</v>
          </cell>
          <cell r="E1798">
            <v>30294</v>
          </cell>
          <cell r="F1798">
            <v>0</v>
          </cell>
        </row>
        <row r="1799">
          <cell r="A1799" t="str">
            <v>GMDEW</v>
          </cell>
          <cell r="B1799" t="str">
            <v>MOHINDER DEWAN</v>
          </cell>
          <cell r="C1799" t="str">
            <v>LSCRED</v>
          </cell>
          <cell r="D1799">
            <v>58752</v>
          </cell>
          <cell r="E1799">
            <v>58752</v>
          </cell>
          <cell r="F1799">
            <v>0</v>
          </cell>
        </row>
        <row r="1800">
          <cell r="A1800" t="str">
            <v>GMOSI</v>
          </cell>
          <cell r="B1800" t="str">
            <v>MOHINDER SINGH AHLAWAT</v>
          </cell>
          <cell r="C1800" t="str">
            <v>LSCRED</v>
          </cell>
          <cell r="D1800">
            <v>42075</v>
          </cell>
          <cell r="E1800">
            <v>42075</v>
          </cell>
          <cell r="F1800">
            <v>0</v>
          </cell>
        </row>
        <row r="1801">
          <cell r="A1801" t="str">
            <v>GMOHN</v>
          </cell>
          <cell r="B1801" t="str">
            <v>MOHINDER SINGH DEOL</v>
          </cell>
          <cell r="C1801" t="str">
            <v>LSCRED</v>
          </cell>
          <cell r="D1801">
            <v>61117</v>
          </cell>
          <cell r="E1801">
            <v>61117</v>
          </cell>
          <cell r="F1801">
            <v>0</v>
          </cell>
        </row>
        <row r="1802">
          <cell r="A1802" t="str">
            <v>GMOHB</v>
          </cell>
          <cell r="B1802" t="str">
            <v>MOHON BISWAS</v>
          </cell>
          <cell r="C1802" t="str">
            <v>LSCRED</v>
          </cell>
          <cell r="D1802">
            <v>5610</v>
          </cell>
          <cell r="E1802">
            <v>5610</v>
          </cell>
          <cell r="F1802">
            <v>0</v>
          </cell>
        </row>
        <row r="1803">
          <cell r="A1803" t="str">
            <v>GMOGU</v>
          </cell>
          <cell r="B1803" t="str">
            <v>MONIKA GUPTA</v>
          </cell>
          <cell r="C1803" t="str">
            <v>LSCRED</v>
          </cell>
          <cell r="D1803">
            <v>27540</v>
          </cell>
          <cell r="E1803">
            <v>27540</v>
          </cell>
          <cell r="F1803">
            <v>0</v>
          </cell>
        </row>
        <row r="1804">
          <cell r="A1804" t="str">
            <v>GMOOL</v>
          </cell>
          <cell r="B1804" t="str">
            <v>MOOL CHAND BOTHRA</v>
          </cell>
          <cell r="C1804" t="str">
            <v>LSCRED</v>
          </cell>
          <cell r="D1804">
            <v>11767</v>
          </cell>
          <cell r="E1804">
            <v>11767</v>
          </cell>
          <cell r="F1804">
            <v>0</v>
          </cell>
        </row>
        <row r="1805">
          <cell r="A1805" t="str">
            <v>GMOONT</v>
          </cell>
          <cell r="B1805" t="str">
            <v>MOON TIMES - SPMS</v>
          </cell>
          <cell r="C1805" t="str">
            <v>LSCRED</v>
          </cell>
          <cell r="D1805">
            <v>15506</v>
          </cell>
          <cell r="E1805">
            <v>15506</v>
          </cell>
          <cell r="F1805">
            <v>0</v>
          </cell>
        </row>
        <row r="1806">
          <cell r="A1806" t="str">
            <v>GMOON</v>
          </cell>
          <cell r="B1806" t="str">
            <v>MOONLIGHT ADVERTISING PVT LTD</v>
          </cell>
          <cell r="C1806" t="str">
            <v>LSCRED</v>
          </cell>
          <cell r="D1806">
            <v>258253</v>
          </cell>
          <cell r="E1806">
            <v>258253</v>
          </cell>
          <cell r="F1806">
            <v>0</v>
          </cell>
        </row>
        <row r="1807">
          <cell r="A1807" t="str">
            <v>GMPOW</v>
          </cell>
          <cell r="B1807" t="str">
            <v>MPOWER STAFFING SERVICES PVT LTD</v>
          </cell>
          <cell r="C1807" t="str">
            <v>LSCRED</v>
          </cell>
          <cell r="D1807">
            <v>1030</v>
          </cell>
          <cell r="E1807">
            <v>1030</v>
          </cell>
          <cell r="F1807">
            <v>0</v>
          </cell>
        </row>
        <row r="1808">
          <cell r="A1808" t="str">
            <v>GMRSA</v>
          </cell>
          <cell r="B1808" t="str">
            <v>MRS. SANTOSH</v>
          </cell>
          <cell r="C1808" t="str">
            <v>LSCRED</v>
          </cell>
          <cell r="D1808">
            <v>105345</v>
          </cell>
          <cell r="E1808">
            <v>105345</v>
          </cell>
          <cell r="F1808">
            <v>0</v>
          </cell>
        </row>
        <row r="1809">
          <cell r="A1809" t="str">
            <v>GMUBA</v>
          </cell>
          <cell r="B1809" t="str">
            <v>MUHAMMED BASHEER K. P.</v>
          </cell>
          <cell r="C1809" t="str">
            <v>LSCRED</v>
          </cell>
          <cell r="D1809">
            <v>15399</v>
          </cell>
          <cell r="E1809">
            <v>15399</v>
          </cell>
          <cell r="F1809">
            <v>0</v>
          </cell>
        </row>
        <row r="1810">
          <cell r="A1810" t="str">
            <v>GMUKUN</v>
          </cell>
          <cell r="B1810" t="str">
            <v>MUKUNDRARAO S P HOLKAR</v>
          </cell>
          <cell r="C1810" t="str">
            <v>LSCRED</v>
          </cell>
          <cell r="D1810">
            <v>114423</v>
          </cell>
          <cell r="E1810">
            <v>114423</v>
          </cell>
          <cell r="F1810">
            <v>0</v>
          </cell>
        </row>
        <row r="1811">
          <cell r="A1811" t="str">
            <v>GMULL</v>
          </cell>
          <cell r="B1811" t="str">
            <v>MULLA JABIR ALI</v>
          </cell>
          <cell r="C1811" t="str">
            <v>LSCRED</v>
          </cell>
          <cell r="D1811">
            <v>27594</v>
          </cell>
          <cell r="E1811">
            <v>27594</v>
          </cell>
          <cell r="F1811">
            <v>0</v>
          </cell>
        </row>
        <row r="1812">
          <cell r="A1812" t="str">
            <v>GMULT</v>
          </cell>
          <cell r="B1812" t="str">
            <v>MULTI CHANNEL ELECTRONICS LIMITED</v>
          </cell>
          <cell r="C1812" t="str">
            <v>LSCRED</v>
          </cell>
          <cell r="D1812">
            <v>50980</v>
          </cell>
          <cell r="E1812">
            <v>50980</v>
          </cell>
          <cell r="F1812">
            <v>0</v>
          </cell>
        </row>
        <row r="1813">
          <cell r="A1813" t="str">
            <v>GMUND</v>
          </cell>
          <cell r="B1813" t="str">
            <v>MUNDRA FINANCIAL SERVICES PVT. LTD.</v>
          </cell>
          <cell r="C1813" t="str">
            <v>LSCRED</v>
          </cell>
          <cell r="D1813">
            <v>5606</v>
          </cell>
          <cell r="E1813">
            <v>5606</v>
          </cell>
          <cell r="F1813">
            <v>0</v>
          </cell>
        </row>
        <row r="1814">
          <cell r="A1814" t="str">
            <v>GMYTH</v>
          </cell>
          <cell r="B1814" t="str">
            <v>MYTHILY  RAMACHANDRAN</v>
          </cell>
          <cell r="C1814" t="str">
            <v>LSCRED</v>
          </cell>
          <cell r="D1814">
            <v>31945</v>
          </cell>
          <cell r="E1814">
            <v>31945</v>
          </cell>
          <cell r="F1814">
            <v>0</v>
          </cell>
        </row>
        <row r="1815">
          <cell r="A1815" t="str">
            <v>GNVVI</v>
          </cell>
          <cell r="B1815" t="str">
            <v>N V VISHNU MURTHY &amp; N V KRISHNA KISHORE</v>
          </cell>
          <cell r="C1815" t="str">
            <v>LSCRED</v>
          </cell>
          <cell r="D1815">
            <v>3600</v>
          </cell>
          <cell r="E1815">
            <v>3600</v>
          </cell>
          <cell r="F1815">
            <v>0</v>
          </cell>
        </row>
        <row r="1816">
          <cell r="A1816" t="str">
            <v>GNAGT</v>
          </cell>
          <cell r="B1816" t="str">
            <v>NAGPAL TRADING CORP.</v>
          </cell>
          <cell r="C1816" t="str">
            <v>LSCRED</v>
          </cell>
          <cell r="D1816">
            <v>96268</v>
          </cell>
          <cell r="E1816">
            <v>96268</v>
          </cell>
          <cell r="F1816">
            <v>0</v>
          </cell>
        </row>
        <row r="1817">
          <cell r="A1817" t="str">
            <v>GNABO</v>
          </cell>
          <cell r="B1817" t="str">
            <v>NAND BOOK STALL</v>
          </cell>
          <cell r="C1817" t="str">
            <v>LSCRED</v>
          </cell>
          <cell r="D1817">
            <v>1012</v>
          </cell>
          <cell r="E1817">
            <v>1012</v>
          </cell>
          <cell r="F1817">
            <v>0</v>
          </cell>
        </row>
        <row r="1818">
          <cell r="A1818" t="str">
            <v>GNAND</v>
          </cell>
          <cell r="B1818" t="str">
            <v>NAND KISHORE GARG</v>
          </cell>
          <cell r="C1818" t="str">
            <v>LSCRED</v>
          </cell>
          <cell r="D1818">
            <v>126042</v>
          </cell>
          <cell r="E1818">
            <v>126042</v>
          </cell>
          <cell r="F1818">
            <v>0</v>
          </cell>
        </row>
        <row r="1819">
          <cell r="A1819" t="str">
            <v>GNAMA</v>
          </cell>
          <cell r="B1819" t="str">
            <v>NANDKUMAR MANILAL PAPAIYA</v>
          </cell>
          <cell r="C1819" t="str">
            <v>LSCRED</v>
          </cell>
          <cell r="D1819">
            <v>36257</v>
          </cell>
          <cell r="E1819">
            <v>36257</v>
          </cell>
          <cell r="F1819">
            <v>0</v>
          </cell>
        </row>
        <row r="1820">
          <cell r="A1820" t="str">
            <v>GAHKF</v>
          </cell>
          <cell r="B1820" t="str">
            <v>NANDU CHARKARI</v>
          </cell>
          <cell r="C1820" t="str">
            <v>LSCRED</v>
          </cell>
          <cell r="D1820">
            <v>228750</v>
          </cell>
          <cell r="E1820">
            <v>228750</v>
          </cell>
          <cell r="F1820">
            <v>0</v>
          </cell>
        </row>
        <row r="1821">
          <cell r="A1821" t="str">
            <v>GNAES</v>
          </cell>
          <cell r="B1821" t="str">
            <v>NARAYAN ESTATE CONSULTANTS</v>
          </cell>
          <cell r="C1821" t="str">
            <v>LSCRED</v>
          </cell>
          <cell r="D1821">
            <v>18500</v>
          </cell>
          <cell r="E1821">
            <v>18500</v>
          </cell>
          <cell r="F1821">
            <v>0</v>
          </cell>
        </row>
        <row r="1822">
          <cell r="A1822" t="str">
            <v>GNARP</v>
          </cell>
          <cell r="B1822" t="str">
            <v>NARENDRA P. GANATRA</v>
          </cell>
          <cell r="C1822" t="str">
            <v>LSCRED</v>
          </cell>
          <cell r="D1822">
            <v>36720</v>
          </cell>
          <cell r="E1822">
            <v>36720</v>
          </cell>
          <cell r="F1822">
            <v>0</v>
          </cell>
        </row>
        <row r="1823">
          <cell r="A1823" t="str">
            <v>GNCHA</v>
          </cell>
          <cell r="B1823" t="str">
            <v>NARESH CHAND</v>
          </cell>
          <cell r="C1823" t="str">
            <v>LSCRED</v>
          </cell>
          <cell r="D1823">
            <v>15561</v>
          </cell>
          <cell r="E1823">
            <v>15561</v>
          </cell>
          <cell r="F1823">
            <v>0</v>
          </cell>
        </row>
        <row r="1824">
          <cell r="A1824" t="str">
            <v>GNAKA</v>
          </cell>
          <cell r="B1824" t="str">
            <v>NARINDER KAUR</v>
          </cell>
          <cell r="C1824" t="str">
            <v>LSCRED</v>
          </cell>
          <cell r="D1824">
            <v>28193</v>
          </cell>
          <cell r="E1824">
            <v>28193</v>
          </cell>
          <cell r="F1824">
            <v>0</v>
          </cell>
        </row>
        <row r="1825">
          <cell r="A1825" t="str">
            <v>GNASH</v>
          </cell>
          <cell r="B1825" t="str">
            <v>NASHIK WAREHOUSING COMPANY (PVT) LTD</v>
          </cell>
          <cell r="C1825" t="str">
            <v>LSCRED</v>
          </cell>
          <cell r="D1825">
            <v>5453</v>
          </cell>
          <cell r="E1825">
            <v>5453</v>
          </cell>
          <cell r="F1825">
            <v>0</v>
          </cell>
        </row>
        <row r="1826">
          <cell r="A1826" t="str">
            <v>GNAPA</v>
          </cell>
          <cell r="B1826" t="str">
            <v>NAVINKUMAR PARASMALJI CHORDIYA (HUF)</v>
          </cell>
          <cell r="C1826" t="str">
            <v>LSCRED</v>
          </cell>
          <cell r="D1826">
            <v>39006</v>
          </cell>
          <cell r="E1826">
            <v>39006</v>
          </cell>
          <cell r="F1826">
            <v>0</v>
          </cell>
        </row>
        <row r="1827">
          <cell r="A1827" t="str">
            <v>GNELI</v>
          </cell>
          <cell r="B1827" t="str">
            <v>NEELIMA ASHOK DHAKE</v>
          </cell>
          <cell r="C1827" t="str">
            <v>LSCRED</v>
          </cell>
          <cell r="D1827">
            <v>161632</v>
          </cell>
          <cell r="E1827">
            <v>161632</v>
          </cell>
          <cell r="F1827">
            <v>0</v>
          </cell>
        </row>
        <row r="1828">
          <cell r="A1828" t="str">
            <v>GNEEN</v>
          </cell>
          <cell r="B1828" t="str">
            <v>NEENA PAHUJA</v>
          </cell>
          <cell r="C1828" t="str">
            <v>LSCRED</v>
          </cell>
          <cell r="D1828">
            <v>50150</v>
          </cell>
          <cell r="E1828">
            <v>50150</v>
          </cell>
          <cell r="F1828">
            <v>0</v>
          </cell>
        </row>
        <row r="1829">
          <cell r="A1829" t="str">
            <v>GNEEW</v>
          </cell>
          <cell r="B1829" t="str">
            <v>NEERU WALIA</v>
          </cell>
          <cell r="C1829" t="str">
            <v>LSCRED</v>
          </cell>
          <cell r="D1829">
            <v>149298</v>
          </cell>
          <cell r="E1829">
            <v>149298</v>
          </cell>
          <cell r="F1829">
            <v>0</v>
          </cell>
        </row>
        <row r="1830">
          <cell r="A1830" t="str">
            <v>GNEHE</v>
          </cell>
          <cell r="B1830" t="str">
            <v>NEHA HEMANT SURATWALA</v>
          </cell>
          <cell r="C1830" t="str">
            <v>LSCRED</v>
          </cell>
          <cell r="D1830">
            <v>4972</v>
          </cell>
          <cell r="E1830">
            <v>4972</v>
          </cell>
          <cell r="F1830">
            <v>0</v>
          </cell>
        </row>
        <row r="1831">
          <cell r="A1831" t="str">
            <v>GNECJ</v>
          </cell>
          <cell r="B1831" t="str">
            <v>NEMI CHAND JAIN</v>
          </cell>
          <cell r="C1831" t="str">
            <v>LSCRED</v>
          </cell>
          <cell r="D1831">
            <v>15771</v>
          </cell>
          <cell r="E1831">
            <v>15771</v>
          </cell>
          <cell r="F1831">
            <v>0</v>
          </cell>
        </row>
        <row r="1832">
          <cell r="A1832" t="str">
            <v>GNETP</v>
          </cell>
          <cell r="B1832" t="str">
            <v>NETPRO SYSTEMS &amp; SERVICES</v>
          </cell>
          <cell r="C1832" t="str">
            <v>LSCRED</v>
          </cell>
          <cell r="D1832">
            <v>11250</v>
          </cell>
          <cell r="E1832">
            <v>11250</v>
          </cell>
          <cell r="F1832">
            <v>0</v>
          </cell>
        </row>
        <row r="1833">
          <cell r="A1833" t="str">
            <v>GNEWG</v>
          </cell>
          <cell r="B1833" t="str">
            <v>NEW GOLDEN FURNITURE WORKS</v>
          </cell>
          <cell r="C1833" t="str">
            <v>LSCRED</v>
          </cell>
          <cell r="D1833">
            <v>2098</v>
          </cell>
          <cell r="E1833">
            <v>2098</v>
          </cell>
          <cell r="F1833">
            <v>0</v>
          </cell>
        </row>
        <row r="1834">
          <cell r="A1834" t="str">
            <v>GNITE</v>
          </cell>
          <cell r="B1834" t="str">
            <v>NILESH KESARIA</v>
          </cell>
          <cell r="C1834" t="str">
            <v>LSCRED</v>
          </cell>
          <cell r="D1834">
            <v>381416</v>
          </cell>
          <cell r="E1834">
            <v>381416</v>
          </cell>
          <cell r="F1834">
            <v>0</v>
          </cell>
        </row>
        <row r="1835">
          <cell r="A1835" t="str">
            <v>GNIRM</v>
          </cell>
          <cell r="B1835" t="str">
            <v>NIRMAL KALRA</v>
          </cell>
          <cell r="C1835" t="str">
            <v>LSCRED</v>
          </cell>
          <cell r="D1835">
            <v>121043</v>
          </cell>
          <cell r="E1835">
            <v>121043</v>
          </cell>
          <cell r="F1835">
            <v>0</v>
          </cell>
        </row>
        <row r="1836">
          <cell r="A1836" t="str">
            <v>GNCAR</v>
          </cell>
          <cell r="B1836" t="str">
            <v>NISHA ARORA</v>
          </cell>
          <cell r="C1836" t="str">
            <v>LSCRED</v>
          </cell>
          <cell r="D1836">
            <v>155888</v>
          </cell>
          <cell r="E1836">
            <v>155888</v>
          </cell>
          <cell r="F1836">
            <v>0</v>
          </cell>
        </row>
        <row r="1837">
          <cell r="A1837" t="str">
            <v>GNISA</v>
          </cell>
          <cell r="B1837" t="str">
            <v>NISHA PRINTING WORKS</v>
          </cell>
          <cell r="C1837" t="str">
            <v>LSCRED</v>
          </cell>
          <cell r="D1837">
            <v>144597</v>
          </cell>
          <cell r="E1837">
            <v>144597</v>
          </cell>
          <cell r="F1837">
            <v>0</v>
          </cell>
        </row>
        <row r="1838">
          <cell r="A1838" t="str">
            <v>GNIJI</v>
          </cell>
          <cell r="B1838" t="str">
            <v>NITA JITENDRA MEHTA</v>
          </cell>
          <cell r="C1838" t="str">
            <v>LSCRED</v>
          </cell>
          <cell r="D1838">
            <v>19619</v>
          </cell>
          <cell r="E1838">
            <v>19619</v>
          </cell>
          <cell r="F1838">
            <v>0</v>
          </cell>
        </row>
        <row r="1839">
          <cell r="A1839" t="str">
            <v>GNOIDA</v>
          </cell>
          <cell r="B1839" t="str">
            <v>NOIDA SYNTEX PVT. LTD.</v>
          </cell>
          <cell r="C1839" t="str">
            <v>LSCRED</v>
          </cell>
          <cell r="D1839">
            <v>200512</v>
          </cell>
          <cell r="E1839">
            <v>200512</v>
          </cell>
          <cell r="F1839">
            <v>0</v>
          </cell>
        </row>
        <row r="1840">
          <cell r="A1840" t="str">
            <v>GNOSH</v>
          </cell>
          <cell r="B1840" t="str">
            <v>NOSHIR M IRANI</v>
          </cell>
          <cell r="C1840" t="str">
            <v>LSCRED</v>
          </cell>
          <cell r="D1840">
            <v>305961</v>
          </cell>
          <cell r="E1840">
            <v>305961</v>
          </cell>
          <cell r="F1840">
            <v>0</v>
          </cell>
        </row>
        <row r="1841">
          <cell r="A1841" t="str">
            <v>GOMOW</v>
          </cell>
          <cell r="B1841" t="str">
            <v>OM OWNERS ASSOCIATION</v>
          </cell>
          <cell r="C1841" t="str">
            <v>LSCRED</v>
          </cell>
          <cell r="D1841">
            <v>14323</v>
          </cell>
          <cell r="E1841">
            <v>14323</v>
          </cell>
          <cell r="F1841">
            <v>0</v>
          </cell>
        </row>
        <row r="1842">
          <cell r="A1842" t="str">
            <v>GOSHU</v>
          </cell>
          <cell r="B1842" t="str">
            <v>OM SHUBHAM HOUSING &amp; CONSTRUCTION CO. PVT. LTD.</v>
          </cell>
          <cell r="C1842" t="str">
            <v>LSCRED</v>
          </cell>
          <cell r="D1842">
            <v>183974</v>
          </cell>
          <cell r="E1842">
            <v>183974</v>
          </cell>
          <cell r="F1842">
            <v>0</v>
          </cell>
        </row>
        <row r="1843">
          <cell r="A1843" t="str">
            <v>GPPRI</v>
          </cell>
          <cell r="B1843" t="str">
            <v>P PRINCE MOSES</v>
          </cell>
          <cell r="C1843" t="str">
            <v>LSCRED</v>
          </cell>
          <cell r="D1843">
            <v>35676</v>
          </cell>
          <cell r="E1843">
            <v>35676</v>
          </cell>
          <cell r="F1843">
            <v>0</v>
          </cell>
        </row>
        <row r="1844">
          <cell r="A1844" t="str">
            <v>GPRAI</v>
          </cell>
          <cell r="B1844" t="str">
            <v>P RAVINDER REDDY</v>
          </cell>
          <cell r="C1844" t="str">
            <v>LSCRED</v>
          </cell>
          <cell r="D1844">
            <v>20000</v>
          </cell>
          <cell r="E1844">
            <v>20000</v>
          </cell>
          <cell r="F1844">
            <v>0</v>
          </cell>
        </row>
        <row r="1845">
          <cell r="A1845" t="str">
            <v>GPVEN</v>
          </cell>
          <cell r="B1845" t="str">
            <v>P VENKATA SATYA SUBBA RAO</v>
          </cell>
          <cell r="C1845" t="str">
            <v>LSCRED</v>
          </cell>
          <cell r="D1845">
            <v>12000</v>
          </cell>
          <cell r="E1845">
            <v>12000</v>
          </cell>
          <cell r="F1845">
            <v>0</v>
          </cell>
        </row>
        <row r="1846">
          <cell r="A1846" t="str">
            <v>GPINA</v>
          </cell>
          <cell r="B1846" t="str">
            <v>P. A.INAMDAR</v>
          </cell>
          <cell r="C1846" t="str">
            <v>LSCRED</v>
          </cell>
          <cell r="D1846">
            <v>20196</v>
          </cell>
          <cell r="E1846">
            <v>20196</v>
          </cell>
          <cell r="F1846">
            <v>0</v>
          </cell>
        </row>
        <row r="1847">
          <cell r="A1847" t="str">
            <v>GPVTE</v>
          </cell>
          <cell r="B1847" t="str">
            <v>P. VENKATESHWAR</v>
          </cell>
          <cell r="C1847" t="str">
            <v>LSCRED</v>
          </cell>
          <cell r="D1847">
            <v>2710</v>
          </cell>
          <cell r="E1847">
            <v>2710</v>
          </cell>
          <cell r="F1847">
            <v>0</v>
          </cell>
        </row>
        <row r="1848">
          <cell r="A1848" t="str">
            <v>GPVER</v>
          </cell>
          <cell r="B1848" t="str">
            <v>P. VENKATESWARA RAO</v>
          </cell>
          <cell r="C1848" t="str">
            <v>LSCRED</v>
          </cell>
          <cell r="D1848">
            <v>2087</v>
          </cell>
          <cell r="E1848">
            <v>2087</v>
          </cell>
          <cell r="F1848">
            <v>0</v>
          </cell>
        </row>
        <row r="1849">
          <cell r="A1849" t="str">
            <v>GPADA</v>
          </cell>
          <cell r="B1849" t="str">
            <v>PADAM KANT MISHRA</v>
          </cell>
          <cell r="C1849" t="str">
            <v>LSCRED</v>
          </cell>
          <cell r="D1849">
            <v>66556</v>
          </cell>
          <cell r="E1849">
            <v>66556</v>
          </cell>
          <cell r="F1849">
            <v>0</v>
          </cell>
        </row>
        <row r="1850">
          <cell r="A1850" t="str">
            <v>GPRAW</v>
          </cell>
          <cell r="B1850" t="str">
            <v>PADAMDEEP MAINTENANCE &amp; WELFARE SOCIETY</v>
          </cell>
          <cell r="C1850" t="str">
            <v>LSCRED</v>
          </cell>
          <cell r="D1850">
            <v>19885</v>
          </cell>
          <cell r="E1850">
            <v>19885</v>
          </cell>
          <cell r="F1850">
            <v>0</v>
          </cell>
        </row>
        <row r="1851">
          <cell r="A1851" t="str">
            <v>GPADM</v>
          </cell>
          <cell r="B1851" t="str">
            <v>PADMAVATI RAM JAMNANI</v>
          </cell>
          <cell r="C1851" t="str">
            <v>LSCRED</v>
          </cell>
          <cell r="D1851">
            <v>7000</v>
          </cell>
          <cell r="E1851">
            <v>7000</v>
          </cell>
          <cell r="F1851">
            <v>0</v>
          </cell>
        </row>
        <row r="1852">
          <cell r="A1852" t="str">
            <v>GPAND</v>
          </cell>
          <cell r="B1852" t="str">
            <v>PANDIT AUTOMOTIVE PVT LTD</v>
          </cell>
          <cell r="C1852" t="str">
            <v>LSCRED</v>
          </cell>
          <cell r="D1852">
            <v>82532</v>
          </cell>
          <cell r="E1852">
            <v>82532</v>
          </cell>
          <cell r="F1852">
            <v>0</v>
          </cell>
        </row>
        <row r="1853">
          <cell r="A1853" t="str">
            <v>GAPANK</v>
          </cell>
          <cell r="B1853" t="str">
            <v>PANKAJ KUMAR SINGH</v>
          </cell>
          <cell r="C1853" t="str">
            <v>LSCRED</v>
          </cell>
          <cell r="D1853">
            <v>306233</v>
          </cell>
          <cell r="E1853">
            <v>306233</v>
          </cell>
          <cell r="F1853">
            <v>0</v>
          </cell>
        </row>
        <row r="1854">
          <cell r="A1854" t="str">
            <v>GPAJA</v>
          </cell>
          <cell r="B1854" t="str">
            <v>PANKAJBHAI JAYANTIBHAI PATEL</v>
          </cell>
          <cell r="C1854" t="str">
            <v>LSCRED</v>
          </cell>
          <cell r="D1854">
            <v>16266</v>
          </cell>
          <cell r="E1854">
            <v>16266</v>
          </cell>
          <cell r="F1854">
            <v>0</v>
          </cell>
        </row>
        <row r="1855">
          <cell r="A1855" t="str">
            <v>GPAPP</v>
          </cell>
          <cell r="B1855" t="str">
            <v>PAPPU</v>
          </cell>
          <cell r="C1855" t="str">
            <v>LSCRED</v>
          </cell>
          <cell r="D1855">
            <v>1182</v>
          </cell>
          <cell r="E1855">
            <v>1182</v>
          </cell>
          <cell r="F1855">
            <v>0</v>
          </cell>
        </row>
        <row r="1856">
          <cell r="A1856" t="str">
            <v>GPDEEP</v>
          </cell>
          <cell r="B1856" t="str">
            <v>PARAM DEEP SINGH</v>
          </cell>
          <cell r="C1856" t="str">
            <v>LSCRED</v>
          </cell>
          <cell r="D1856">
            <v>3693</v>
          </cell>
          <cell r="E1856">
            <v>3693</v>
          </cell>
          <cell r="F1856">
            <v>0</v>
          </cell>
        </row>
        <row r="1857">
          <cell r="A1857" t="str">
            <v>GPDEE</v>
          </cell>
          <cell r="B1857" t="str">
            <v>PARAM DEEP SINGH (HUF)</v>
          </cell>
          <cell r="C1857" t="str">
            <v>LSCRED</v>
          </cell>
          <cell r="D1857">
            <v>22940</v>
          </cell>
          <cell r="E1857">
            <v>22940</v>
          </cell>
          <cell r="F1857">
            <v>0</v>
          </cell>
        </row>
        <row r="1858">
          <cell r="A1858" t="str">
            <v>GPARM</v>
          </cell>
          <cell r="B1858" t="str">
            <v>PARAMJIT KAUR</v>
          </cell>
          <cell r="C1858" t="str">
            <v>LSCRED</v>
          </cell>
          <cell r="D1858">
            <v>53776</v>
          </cell>
          <cell r="E1858">
            <v>53776</v>
          </cell>
          <cell r="F1858">
            <v>0</v>
          </cell>
        </row>
        <row r="1859">
          <cell r="A1859" t="str">
            <v>GPARR</v>
          </cell>
          <cell r="B1859" t="str">
            <v>PARAS SHRIMAL</v>
          </cell>
          <cell r="C1859" t="str">
            <v>LSCRED</v>
          </cell>
          <cell r="D1859">
            <v>27540</v>
          </cell>
          <cell r="E1859">
            <v>27540</v>
          </cell>
          <cell r="F1859">
            <v>0</v>
          </cell>
        </row>
        <row r="1860">
          <cell r="A1860" t="str">
            <v>GPARAS</v>
          </cell>
          <cell r="B1860" t="str">
            <v>PARAS SHRIYA TRAVEL LINES</v>
          </cell>
          <cell r="C1860" t="str">
            <v>LSCRED</v>
          </cell>
          <cell r="D1860">
            <v>11756</v>
          </cell>
          <cell r="E1860">
            <v>11756</v>
          </cell>
          <cell r="F1860">
            <v>0</v>
          </cell>
        </row>
        <row r="1861">
          <cell r="A1861" t="str">
            <v>GPASI</v>
          </cell>
          <cell r="B1861" t="str">
            <v>PARDAMAN SINGH</v>
          </cell>
          <cell r="C1861" t="str">
            <v>LSCRED</v>
          </cell>
          <cell r="D1861">
            <v>21076</v>
          </cell>
          <cell r="E1861">
            <v>21076</v>
          </cell>
          <cell r="F1861">
            <v>0</v>
          </cell>
        </row>
        <row r="1862">
          <cell r="A1862" t="str">
            <v>GPASA</v>
          </cell>
          <cell r="B1862" t="str">
            <v>PARESH SACHDEV</v>
          </cell>
          <cell r="C1862" t="str">
            <v>LSCRED</v>
          </cell>
          <cell r="D1862">
            <v>947</v>
          </cell>
          <cell r="E1862">
            <v>947</v>
          </cell>
          <cell r="F1862">
            <v>0</v>
          </cell>
        </row>
        <row r="1863">
          <cell r="A1863" t="str">
            <v>GPABA</v>
          </cell>
          <cell r="B1863" t="str">
            <v>PARIMALA BAI</v>
          </cell>
          <cell r="C1863" t="str">
            <v>LSCRED</v>
          </cell>
          <cell r="D1863">
            <v>73962</v>
          </cell>
          <cell r="E1863">
            <v>73962</v>
          </cell>
          <cell r="F1863">
            <v>0</v>
          </cell>
        </row>
        <row r="1864">
          <cell r="A1864" t="str">
            <v>GPARC</v>
          </cell>
          <cell r="B1864" t="str">
            <v>PARIMALAM COMPANY</v>
          </cell>
          <cell r="C1864" t="str">
            <v>LSCRED</v>
          </cell>
          <cell r="D1864">
            <v>25583</v>
          </cell>
          <cell r="E1864">
            <v>25583</v>
          </cell>
          <cell r="F1864">
            <v>0</v>
          </cell>
        </row>
        <row r="1865">
          <cell r="A1865" t="str">
            <v>GPARTH</v>
          </cell>
          <cell r="B1865" t="str">
            <v>PARITOSH GAUR</v>
          </cell>
          <cell r="C1865" t="str">
            <v>LSCRED</v>
          </cell>
          <cell r="D1865">
            <v>37230</v>
          </cell>
          <cell r="E1865">
            <v>37230</v>
          </cell>
          <cell r="F1865">
            <v>0</v>
          </cell>
        </row>
        <row r="1866">
          <cell r="A1866" t="str">
            <v>GPARH</v>
          </cell>
          <cell r="B1866" t="str">
            <v>PARKASH AUTOMOBILES</v>
          </cell>
          <cell r="C1866" t="str">
            <v>LSCRED</v>
          </cell>
          <cell r="D1866">
            <v>14400</v>
          </cell>
          <cell r="E1866">
            <v>14400</v>
          </cell>
          <cell r="F1866">
            <v>0</v>
          </cell>
        </row>
        <row r="1867">
          <cell r="A1867" t="str">
            <v>GPAKU</v>
          </cell>
          <cell r="B1867" t="str">
            <v>PARMOD KUMAR</v>
          </cell>
          <cell r="C1867" t="str">
            <v>LSCRED</v>
          </cell>
          <cell r="D1867">
            <v>1309</v>
          </cell>
          <cell r="E1867">
            <v>1309</v>
          </cell>
          <cell r="F1867">
            <v>0</v>
          </cell>
        </row>
        <row r="1868">
          <cell r="A1868" t="str">
            <v>GPARG</v>
          </cell>
          <cell r="B1868" t="str">
            <v>PARSHURAM GUPTA</v>
          </cell>
          <cell r="C1868" t="str">
            <v>LSCRED</v>
          </cell>
          <cell r="D1868">
            <v>13391</v>
          </cell>
          <cell r="E1868">
            <v>13391</v>
          </cell>
          <cell r="F1868">
            <v>0</v>
          </cell>
        </row>
        <row r="1869">
          <cell r="A1869" t="str">
            <v>GPARW</v>
          </cell>
          <cell r="B1869" t="str">
            <v>PARWATHGOUDA CHANNAVEERGOUDA SIDDANGOUDAR</v>
          </cell>
          <cell r="C1869" t="str">
            <v>LSCRED</v>
          </cell>
          <cell r="D1869">
            <v>17726</v>
          </cell>
          <cell r="E1869">
            <v>17726</v>
          </cell>
          <cell r="F1869">
            <v>0</v>
          </cell>
        </row>
        <row r="1870">
          <cell r="A1870" t="str">
            <v>GPATEL</v>
          </cell>
          <cell r="B1870" t="str">
            <v>PATEL GENERAL STORE</v>
          </cell>
          <cell r="C1870" t="str">
            <v>LSCRED</v>
          </cell>
          <cell r="D1870">
            <v>9474</v>
          </cell>
          <cell r="E1870">
            <v>9474</v>
          </cell>
          <cell r="F1870">
            <v>0</v>
          </cell>
        </row>
        <row r="1871">
          <cell r="A1871" t="str">
            <v>GPATF</v>
          </cell>
          <cell r="B1871" t="str">
            <v>PATHFINDERS</v>
          </cell>
          <cell r="C1871" t="str">
            <v>LSCRED</v>
          </cell>
          <cell r="D1871">
            <v>1122</v>
          </cell>
          <cell r="E1871">
            <v>1122</v>
          </cell>
          <cell r="F1871">
            <v>0</v>
          </cell>
        </row>
        <row r="1872">
          <cell r="A1872" t="str">
            <v>GPAWD</v>
          </cell>
          <cell r="B1872" t="str">
            <v>PAWAN DAWAR</v>
          </cell>
          <cell r="C1872" t="str">
            <v>LSCRED</v>
          </cell>
          <cell r="D1872">
            <v>48681</v>
          </cell>
          <cell r="E1872">
            <v>48681</v>
          </cell>
          <cell r="F1872">
            <v>0</v>
          </cell>
        </row>
        <row r="1873">
          <cell r="A1873" t="str">
            <v>GPAJH</v>
          </cell>
          <cell r="B1873" t="str">
            <v>PAYAL JHAWAR</v>
          </cell>
          <cell r="C1873" t="str">
            <v>LSCRED</v>
          </cell>
          <cell r="D1873">
            <v>232958</v>
          </cell>
          <cell r="E1873">
            <v>232958</v>
          </cell>
          <cell r="F1873">
            <v>0</v>
          </cell>
        </row>
        <row r="1874">
          <cell r="A1874" t="str">
            <v>GPERP</v>
          </cell>
          <cell r="B1874" t="str">
            <v>PERPETUAL REAL ESTATE</v>
          </cell>
          <cell r="C1874" t="str">
            <v>LSCRED</v>
          </cell>
          <cell r="D1874">
            <v>104018</v>
          </cell>
          <cell r="E1874">
            <v>104018</v>
          </cell>
          <cell r="F1874">
            <v>0</v>
          </cell>
        </row>
        <row r="1875">
          <cell r="A1875" t="str">
            <v>GPINI</v>
          </cell>
          <cell r="B1875" t="str">
            <v>PINIKA KETAN SHAH</v>
          </cell>
          <cell r="C1875" t="str">
            <v>LSCRED</v>
          </cell>
          <cell r="D1875">
            <v>24418.5</v>
          </cell>
          <cell r="E1875">
            <v>24418.5</v>
          </cell>
          <cell r="F1875">
            <v>0</v>
          </cell>
        </row>
        <row r="1876">
          <cell r="A1876" t="str">
            <v>GPOMA</v>
          </cell>
          <cell r="B1876" t="str">
            <v>POOJA MANCHANDA</v>
          </cell>
          <cell r="C1876" t="str">
            <v>LSCRED</v>
          </cell>
          <cell r="D1876">
            <v>32650</v>
          </cell>
          <cell r="E1876">
            <v>32650</v>
          </cell>
          <cell r="F1876">
            <v>0</v>
          </cell>
        </row>
        <row r="1877">
          <cell r="A1877" t="str">
            <v>GPOSI</v>
          </cell>
          <cell r="B1877" t="str">
            <v>POSITIVE HR CONSULTANTS</v>
          </cell>
          <cell r="C1877" t="str">
            <v>LSCRED</v>
          </cell>
          <cell r="D1877">
            <v>15974</v>
          </cell>
          <cell r="E1877">
            <v>15974</v>
          </cell>
          <cell r="F1877">
            <v>0</v>
          </cell>
        </row>
        <row r="1878">
          <cell r="A1878" t="str">
            <v>GPOTE</v>
          </cell>
          <cell r="B1878" t="str">
            <v>POTENTIAL BUILDERS PVT. LTD.</v>
          </cell>
          <cell r="C1878" t="str">
            <v>LSCRED</v>
          </cell>
          <cell r="D1878">
            <v>1081043</v>
          </cell>
          <cell r="E1878">
            <v>1081043</v>
          </cell>
          <cell r="F1878">
            <v>0</v>
          </cell>
        </row>
        <row r="1879">
          <cell r="A1879" t="str">
            <v>GPRADH</v>
          </cell>
          <cell r="B1879" t="str">
            <v>PRAMOD KR DHANDHANIA</v>
          </cell>
          <cell r="C1879" t="str">
            <v>LSCRED</v>
          </cell>
          <cell r="D1879">
            <v>11108</v>
          </cell>
          <cell r="E1879">
            <v>11108</v>
          </cell>
          <cell r="F1879">
            <v>0</v>
          </cell>
        </row>
        <row r="1880">
          <cell r="A1880" t="str">
            <v>GPRJH</v>
          </cell>
          <cell r="B1880" t="str">
            <v>PRAMOD KUMAR JHUNJHUNWALA</v>
          </cell>
          <cell r="C1880" t="str">
            <v>LSCRED</v>
          </cell>
          <cell r="D1880">
            <v>820000</v>
          </cell>
          <cell r="E1880">
            <v>820000</v>
          </cell>
          <cell r="F1880">
            <v>0</v>
          </cell>
        </row>
        <row r="1881">
          <cell r="A1881" t="str">
            <v>GPTEL</v>
          </cell>
          <cell r="B1881" t="str">
            <v>PRANAV TRADING ENTERPRISES LIMITED</v>
          </cell>
          <cell r="C1881" t="str">
            <v>LSCRED</v>
          </cell>
          <cell r="D1881">
            <v>113094</v>
          </cell>
          <cell r="E1881">
            <v>113094</v>
          </cell>
          <cell r="F1881">
            <v>0</v>
          </cell>
        </row>
        <row r="1882">
          <cell r="A1882" t="str">
            <v>GPRASS</v>
          </cell>
          <cell r="B1882" t="str">
            <v>PRASAD ASSOCIATES</v>
          </cell>
          <cell r="C1882" t="str">
            <v>LSCRED</v>
          </cell>
          <cell r="D1882">
            <v>26253</v>
          </cell>
          <cell r="E1882">
            <v>26253</v>
          </cell>
          <cell r="F1882">
            <v>0</v>
          </cell>
        </row>
        <row r="1883">
          <cell r="A1883" t="str">
            <v>GPRRA</v>
          </cell>
          <cell r="B1883" t="str">
            <v>PRASHANT RAJ SHARMA</v>
          </cell>
          <cell r="C1883" t="str">
            <v>LSCRED</v>
          </cell>
          <cell r="D1883">
            <v>27584</v>
          </cell>
          <cell r="E1883">
            <v>27584</v>
          </cell>
          <cell r="F1883">
            <v>0</v>
          </cell>
        </row>
        <row r="1884">
          <cell r="A1884" t="str">
            <v>GPRSHAN</v>
          </cell>
          <cell r="B1884" t="str">
            <v>PRATIBHABEN SHANTILAL SURATWALA</v>
          </cell>
          <cell r="C1884" t="str">
            <v>LSCRED</v>
          </cell>
          <cell r="D1884">
            <v>4972</v>
          </cell>
          <cell r="E1884">
            <v>4972</v>
          </cell>
          <cell r="F1884">
            <v>0</v>
          </cell>
        </row>
        <row r="1885">
          <cell r="A1885" t="str">
            <v>GPRPA</v>
          </cell>
          <cell r="B1885" t="str">
            <v>PRAVINKUMAR PARASMALJI CHORDIYA (HUF)</v>
          </cell>
          <cell r="C1885" t="str">
            <v>LSCRED</v>
          </cell>
          <cell r="D1885">
            <v>38997</v>
          </cell>
          <cell r="E1885">
            <v>38997</v>
          </cell>
          <cell r="F1885">
            <v>0</v>
          </cell>
        </row>
        <row r="1886">
          <cell r="A1886" t="str">
            <v>GPRET</v>
          </cell>
          <cell r="B1886" t="str">
            <v>PREETI JHUNJHUNWALA</v>
          </cell>
          <cell r="C1886" t="str">
            <v>LSCRED</v>
          </cell>
          <cell r="D1886">
            <v>9437</v>
          </cell>
          <cell r="E1886">
            <v>9437</v>
          </cell>
          <cell r="F1886">
            <v>0</v>
          </cell>
        </row>
        <row r="1887">
          <cell r="A1887" t="str">
            <v>GPAMA</v>
          </cell>
          <cell r="B1887" t="str">
            <v>PREM ASSOCIATES ADVERTISING &amp; MARKETING</v>
          </cell>
          <cell r="C1887" t="str">
            <v>LSCRED</v>
          </cell>
          <cell r="D1887">
            <v>151650</v>
          </cell>
          <cell r="E1887">
            <v>151650</v>
          </cell>
          <cell r="F1887">
            <v>0</v>
          </cell>
        </row>
        <row r="1888">
          <cell r="A1888" t="str">
            <v>GPMEN</v>
          </cell>
          <cell r="B1888" t="str">
            <v>PREM ENTERPRISES</v>
          </cell>
          <cell r="C1888" t="str">
            <v>LSCRED</v>
          </cell>
          <cell r="D1888">
            <v>25250</v>
          </cell>
          <cell r="E1888">
            <v>25250</v>
          </cell>
          <cell r="F1888">
            <v>0</v>
          </cell>
        </row>
        <row r="1889">
          <cell r="A1889" t="str">
            <v>GPREM</v>
          </cell>
          <cell r="B1889" t="str">
            <v>PREM LATA BANSAL</v>
          </cell>
          <cell r="C1889" t="str">
            <v>LSCRED</v>
          </cell>
          <cell r="D1889">
            <v>502940</v>
          </cell>
          <cell r="E1889">
            <v>502940</v>
          </cell>
          <cell r="F1889">
            <v>0</v>
          </cell>
        </row>
        <row r="1890">
          <cell r="A1890" t="str">
            <v>GPREI</v>
          </cell>
          <cell r="B1890" t="str">
            <v>PREMIER CONSULTANTS</v>
          </cell>
          <cell r="C1890" t="str">
            <v>LSCRED</v>
          </cell>
          <cell r="D1890">
            <v>1505</v>
          </cell>
          <cell r="E1890">
            <v>1505</v>
          </cell>
          <cell r="F1890">
            <v>0</v>
          </cell>
        </row>
        <row r="1891">
          <cell r="A1891" t="str">
            <v>GPRIMR</v>
          </cell>
          <cell r="B1891" t="str">
            <v>PRIMROSE AGRI INVESTMENTS &amp; AGENCIES PVT LTD</v>
          </cell>
          <cell r="C1891" t="str">
            <v>LSCRED</v>
          </cell>
          <cell r="D1891">
            <v>432454</v>
          </cell>
          <cell r="E1891">
            <v>432454</v>
          </cell>
          <cell r="F1891">
            <v>0</v>
          </cell>
        </row>
        <row r="1892">
          <cell r="A1892" t="str">
            <v>GPRIH</v>
          </cell>
          <cell r="B1892" t="str">
            <v>PRITIBEN HARDIKBHAI KARELIA</v>
          </cell>
          <cell r="C1892" t="str">
            <v>LSCRED</v>
          </cell>
          <cell r="D1892">
            <v>14200</v>
          </cell>
          <cell r="E1892">
            <v>14200</v>
          </cell>
          <cell r="F1892">
            <v>0</v>
          </cell>
        </row>
        <row r="1893">
          <cell r="A1893" t="str">
            <v>GPRIA</v>
          </cell>
          <cell r="B1893" t="str">
            <v>PRIYANKA ARORA CHANDRA MOHAN ARORA RAM KRISHAN ARORA</v>
          </cell>
          <cell r="C1893" t="str">
            <v>LSCRED</v>
          </cell>
          <cell r="D1893">
            <v>35506</v>
          </cell>
          <cell r="E1893">
            <v>35506</v>
          </cell>
          <cell r="F1893">
            <v>0</v>
          </cell>
        </row>
        <row r="1894">
          <cell r="A1894" t="str">
            <v>GPRIY</v>
          </cell>
          <cell r="B1894" t="str">
            <v>PRIYANKA SINGH</v>
          </cell>
          <cell r="C1894" t="str">
            <v>LSCRED</v>
          </cell>
          <cell r="D1894">
            <v>64071</v>
          </cell>
          <cell r="E1894">
            <v>64071</v>
          </cell>
          <cell r="F1894">
            <v>0</v>
          </cell>
        </row>
        <row r="1895">
          <cell r="A1895" t="str">
            <v>GPRMA</v>
          </cell>
          <cell r="B1895" t="str">
            <v>PROVISION FOR MARKETING ASSOCIATES</v>
          </cell>
          <cell r="C1895" t="str">
            <v>LSCRED</v>
          </cell>
          <cell r="D1895">
            <v>1291449</v>
          </cell>
          <cell r="E1895">
            <v>1291449</v>
          </cell>
          <cell r="F1895">
            <v>0</v>
          </cell>
        </row>
        <row r="1896">
          <cell r="A1896" t="str">
            <v>GPUNT</v>
          </cell>
          <cell r="B1896" t="str">
            <v>PUNEET JAIN</v>
          </cell>
          <cell r="C1896" t="str">
            <v>LSCRED</v>
          </cell>
          <cell r="D1896">
            <v>28917</v>
          </cell>
          <cell r="E1896">
            <v>28917</v>
          </cell>
          <cell r="F1896">
            <v>0</v>
          </cell>
        </row>
        <row r="1897">
          <cell r="A1897" t="str">
            <v>GPUKH</v>
          </cell>
          <cell r="B1897" t="str">
            <v>PUNEET KHANNA</v>
          </cell>
          <cell r="C1897" t="str">
            <v>LSCRED</v>
          </cell>
          <cell r="D1897">
            <v>1983</v>
          </cell>
          <cell r="E1897">
            <v>1983</v>
          </cell>
          <cell r="F1897">
            <v>0</v>
          </cell>
        </row>
        <row r="1898">
          <cell r="A1898" t="str">
            <v>GPUSP</v>
          </cell>
          <cell r="B1898" t="str">
            <v>PUSHPA PATHAK</v>
          </cell>
          <cell r="C1898" t="str">
            <v>LSCRED</v>
          </cell>
          <cell r="D1898">
            <v>21393</v>
          </cell>
          <cell r="E1898">
            <v>21393</v>
          </cell>
          <cell r="F1898">
            <v>0</v>
          </cell>
        </row>
        <row r="1899">
          <cell r="A1899" t="str">
            <v>GQUIC</v>
          </cell>
          <cell r="B1899" t="str">
            <v>QUICK - N - FLY COURIER (P) LTD</v>
          </cell>
          <cell r="C1899" t="str">
            <v>LSCRED</v>
          </cell>
          <cell r="D1899">
            <v>411533</v>
          </cell>
          <cell r="E1899">
            <v>411533</v>
          </cell>
          <cell r="F1899">
            <v>0</v>
          </cell>
        </row>
        <row r="1900">
          <cell r="A1900" t="str">
            <v>GQFLY</v>
          </cell>
          <cell r="B1900" t="str">
            <v>QUICK - N - FLY EXPRESS</v>
          </cell>
          <cell r="C1900" t="str">
            <v>LSCRED</v>
          </cell>
          <cell r="D1900">
            <v>4557</v>
          </cell>
          <cell r="E1900">
            <v>4557</v>
          </cell>
          <cell r="F1900">
            <v>0</v>
          </cell>
        </row>
        <row r="1901">
          <cell r="A1901" t="str">
            <v>GRASM</v>
          </cell>
          <cell r="B1901" t="str">
            <v>R A SANTANA MARKETING SERVICES PVT LTD</v>
          </cell>
          <cell r="C1901" t="str">
            <v>LSCRED</v>
          </cell>
          <cell r="D1901">
            <v>22500</v>
          </cell>
          <cell r="E1901">
            <v>22500</v>
          </cell>
          <cell r="F1901">
            <v>0</v>
          </cell>
        </row>
        <row r="1902">
          <cell r="A1902" t="str">
            <v>GRCHAB</v>
          </cell>
          <cell r="B1902" t="str">
            <v>R CHAMPAVATHY BAI</v>
          </cell>
          <cell r="C1902" t="str">
            <v>LSCRED</v>
          </cell>
          <cell r="D1902">
            <v>10500</v>
          </cell>
          <cell r="E1902">
            <v>10500</v>
          </cell>
          <cell r="F1902">
            <v>0</v>
          </cell>
        </row>
        <row r="1903">
          <cell r="A1903" t="str">
            <v>GRDMO</v>
          </cell>
          <cell r="B1903" t="str">
            <v>R D MOTORS PRIVATE LIMITED</v>
          </cell>
          <cell r="C1903" t="str">
            <v>LSCRED</v>
          </cell>
          <cell r="D1903">
            <v>402733</v>
          </cell>
          <cell r="E1903">
            <v>402733</v>
          </cell>
          <cell r="F1903">
            <v>0</v>
          </cell>
        </row>
        <row r="1904">
          <cell r="A1904" t="str">
            <v>GRKAG</v>
          </cell>
          <cell r="B1904" t="str">
            <v>R K AGARWAL ESTATE PVT LTD</v>
          </cell>
          <cell r="C1904" t="str">
            <v>LSCRED</v>
          </cell>
          <cell r="D1904">
            <v>181635</v>
          </cell>
          <cell r="E1904">
            <v>181635</v>
          </cell>
          <cell r="F1904">
            <v>0</v>
          </cell>
        </row>
        <row r="1905">
          <cell r="A1905" t="str">
            <v>GRSBU</v>
          </cell>
          <cell r="B1905" t="str">
            <v>R S BUILDERS</v>
          </cell>
          <cell r="C1905" t="str">
            <v>LSCRED</v>
          </cell>
          <cell r="D1905">
            <v>187088</v>
          </cell>
          <cell r="E1905">
            <v>187088</v>
          </cell>
          <cell r="F1905">
            <v>0</v>
          </cell>
        </row>
        <row r="1906">
          <cell r="A1906" t="str">
            <v>GRALAG</v>
          </cell>
          <cell r="B1906" t="str">
            <v>R. ALAGESWARI</v>
          </cell>
          <cell r="C1906" t="str">
            <v>LSCRED</v>
          </cell>
          <cell r="D1906">
            <v>17136</v>
          </cell>
          <cell r="E1906">
            <v>17136</v>
          </cell>
          <cell r="F1906">
            <v>0</v>
          </cell>
        </row>
        <row r="1907">
          <cell r="A1907" t="str">
            <v>GRMUT</v>
          </cell>
          <cell r="B1907" t="str">
            <v>R. MUTHU KUMAR</v>
          </cell>
          <cell r="C1907" t="str">
            <v>LSCRED</v>
          </cell>
          <cell r="D1907">
            <v>37214</v>
          </cell>
          <cell r="E1907">
            <v>37214</v>
          </cell>
          <cell r="F1907">
            <v>0</v>
          </cell>
        </row>
        <row r="1908">
          <cell r="A1908" t="str">
            <v>GRNAC</v>
          </cell>
          <cell r="B1908" t="str">
            <v>R. NACHIYAR</v>
          </cell>
          <cell r="C1908" t="str">
            <v>LSCRED</v>
          </cell>
          <cell r="D1908">
            <v>37214</v>
          </cell>
          <cell r="E1908">
            <v>37214</v>
          </cell>
          <cell r="F1908">
            <v>0</v>
          </cell>
        </row>
        <row r="1909">
          <cell r="A1909" t="str">
            <v>GRRPA</v>
          </cell>
          <cell r="B1909" t="str">
            <v>R. R. PAINTS PVT. LTD</v>
          </cell>
          <cell r="C1909" t="str">
            <v>LSCRED</v>
          </cell>
          <cell r="D1909">
            <v>216602</v>
          </cell>
          <cell r="E1909">
            <v>216602</v>
          </cell>
          <cell r="F1909">
            <v>0</v>
          </cell>
        </row>
        <row r="1910">
          <cell r="A1910" t="str">
            <v>GRRSA</v>
          </cell>
          <cell r="B1910" t="str">
            <v>R. R. SATHYA NARAYANAN</v>
          </cell>
          <cell r="C1910" t="str">
            <v>LSCRED</v>
          </cell>
          <cell r="D1910">
            <v>15147</v>
          </cell>
          <cell r="E1910">
            <v>15147</v>
          </cell>
          <cell r="F1910">
            <v>0</v>
          </cell>
        </row>
        <row r="1911">
          <cell r="A1911" t="str">
            <v>GRRAM</v>
          </cell>
          <cell r="B1911" t="str">
            <v>R. RAMIAH</v>
          </cell>
          <cell r="C1911" t="str">
            <v>LSCRED</v>
          </cell>
          <cell r="D1911">
            <v>20256</v>
          </cell>
          <cell r="E1911">
            <v>20256</v>
          </cell>
          <cell r="F1911">
            <v>0</v>
          </cell>
        </row>
        <row r="1912">
          <cell r="A1912" t="str">
            <v>GRKAS</v>
          </cell>
          <cell r="B1912" t="str">
            <v>R.K. ASSOCIATES</v>
          </cell>
          <cell r="C1912" t="str">
            <v>LSCRED</v>
          </cell>
          <cell r="D1912">
            <v>14297</v>
          </cell>
          <cell r="E1912">
            <v>14297</v>
          </cell>
          <cell r="F1912">
            <v>0</v>
          </cell>
        </row>
        <row r="1913">
          <cell r="A1913" t="str">
            <v>GRNSM</v>
          </cell>
          <cell r="B1913" t="str">
            <v>R.N.S. MOTORS</v>
          </cell>
          <cell r="C1913" t="str">
            <v>LSCRED</v>
          </cell>
          <cell r="D1913">
            <v>70963</v>
          </cell>
          <cell r="E1913">
            <v>70963</v>
          </cell>
          <cell r="F1913">
            <v>0</v>
          </cell>
        </row>
        <row r="1914">
          <cell r="A1914" t="str">
            <v>GRTEA</v>
          </cell>
          <cell r="B1914" t="str">
            <v>R.R.TEA CENTER</v>
          </cell>
          <cell r="C1914" t="str">
            <v>LSCRED</v>
          </cell>
          <cell r="D1914">
            <v>6190</v>
          </cell>
          <cell r="E1914">
            <v>6190</v>
          </cell>
          <cell r="F1914">
            <v>0</v>
          </cell>
        </row>
        <row r="1915">
          <cell r="A1915" t="str">
            <v>GRACS</v>
          </cell>
          <cell r="B1915" t="str">
            <v>RACHNA SETH</v>
          </cell>
          <cell r="C1915" t="str">
            <v>LSCRED</v>
          </cell>
          <cell r="D1915">
            <v>28826</v>
          </cell>
          <cell r="E1915">
            <v>28826</v>
          </cell>
          <cell r="F1915">
            <v>0</v>
          </cell>
        </row>
        <row r="1916">
          <cell r="A1916" t="str">
            <v>GRAGS</v>
          </cell>
          <cell r="B1916" t="str">
            <v>RAGHUVIR SINGH SODHA</v>
          </cell>
          <cell r="C1916" t="str">
            <v>LSCRED</v>
          </cell>
          <cell r="D1916">
            <v>26160</v>
          </cell>
          <cell r="E1916">
            <v>26160</v>
          </cell>
          <cell r="F1916">
            <v>0</v>
          </cell>
        </row>
        <row r="1917">
          <cell r="A1917" t="str">
            <v>GRAHE</v>
          </cell>
          <cell r="B1917" t="str">
            <v>RAHEJA ESTATE AGENCY</v>
          </cell>
          <cell r="C1917" t="str">
            <v>LSCRED</v>
          </cell>
          <cell r="D1917">
            <v>60610</v>
          </cell>
          <cell r="E1917">
            <v>60610</v>
          </cell>
          <cell r="F1917">
            <v>0</v>
          </cell>
        </row>
        <row r="1918">
          <cell r="A1918" t="str">
            <v>GRAHP</v>
          </cell>
          <cell r="B1918" t="str">
            <v>RAHUL PAUL</v>
          </cell>
          <cell r="C1918" t="str">
            <v>LSCRED</v>
          </cell>
          <cell r="D1918">
            <v>1515</v>
          </cell>
          <cell r="E1918">
            <v>1515</v>
          </cell>
          <cell r="F1918">
            <v>0</v>
          </cell>
        </row>
        <row r="1919">
          <cell r="A1919" t="str">
            <v>GRAKA</v>
          </cell>
          <cell r="B1919" t="str">
            <v>RAJ KAMAL ELECTRICALS</v>
          </cell>
          <cell r="C1919" t="str">
            <v>LSCRED</v>
          </cell>
          <cell r="D1919">
            <v>4575</v>
          </cell>
          <cell r="E1919">
            <v>4575</v>
          </cell>
          <cell r="F1919">
            <v>0</v>
          </cell>
        </row>
        <row r="1920">
          <cell r="A1920" t="str">
            <v>GRAJL</v>
          </cell>
          <cell r="B1920" t="str">
            <v>RAJ PAL ARORA</v>
          </cell>
          <cell r="C1920" t="str">
            <v>LSCRED</v>
          </cell>
          <cell r="D1920">
            <v>74816</v>
          </cell>
          <cell r="E1920">
            <v>74816</v>
          </cell>
          <cell r="F1920">
            <v>0</v>
          </cell>
        </row>
        <row r="1921">
          <cell r="A1921" t="str">
            <v>GRARS</v>
          </cell>
          <cell r="B1921" t="str">
            <v>RAJASHREE RAMESH SHAH</v>
          </cell>
          <cell r="C1921" t="str">
            <v>LSCRED</v>
          </cell>
          <cell r="D1921">
            <v>31011</v>
          </cell>
          <cell r="E1921">
            <v>31011</v>
          </cell>
          <cell r="F1921">
            <v>0</v>
          </cell>
        </row>
        <row r="1922">
          <cell r="A1922" t="str">
            <v>GRAMO</v>
          </cell>
          <cell r="B1922" t="str">
            <v>RAJENDER MOHAN SHARMA</v>
          </cell>
          <cell r="C1922" t="str">
            <v>LSCRED</v>
          </cell>
          <cell r="D1922">
            <v>61965</v>
          </cell>
          <cell r="E1922">
            <v>61965</v>
          </cell>
          <cell r="F1922">
            <v>0</v>
          </cell>
        </row>
        <row r="1923">
          <cell r="A1923" t="str">
            <v>GRAPM</v>
          </cell>
          <cell r="B1923" t="str">
            <v>RAJENDRA P MASURKAR</v>
          </cell>
          <cell r="C1923" t="str">
            <v>LSCRED</v>
          </cell>
          <cell r="D1923">
            <v>1571</v>
          </cell>
          <cell r="E1923">
            <v>1571</v>
          </cell>
          <cell r="F1923">
            <v>0</v>
          </cell>
        </row>
        <row r="1924">
          <cell r="A1924" t="str">
            <v>GRAJEA</v>
          </cell>
          <cell r="B1924" t="str">
            <v>RAJESH AGARWAL</v>
          </cell>
          <cell r="C1924" t="str">
            <v>LSCRED</v>
          </cell>
          <cell r="D1924">
            <v>27220</v>
          </cell>
          <cell r="E1924">
            <v>27220</v>
          </cell>
          <cell r="F1924">
            <v>0</v>
          </cell>
        </row>
        <row r="1925">
          <cell r="A1925" t="str">
            <v>GRPAR</v>
          </cell>
          <cell r="B1925" t="str">
            <v>RAJESHKUMAR PARASMALJI CHORDIYA (HUF)</v>
          </cell>
          <cell r="C1925" t="str">
            <v>LSCRED</v>
          </cell>
          <cell r="D1925">
            <v>38997</v>
          </cell>
          <cell r="E1925">
            <v>38997</v>
          </cell>
          <cell r="F1925">
            <v>0</v>
          </cell>
        </row>
        <row r="1926">
          <cell r="A1926" t="str">
            <v>GRADE</v>
          </cell>
          <cell r="B1926" t="str">
            <v>RAJINDER DEWAN</v>
          </cell>
          <cell r="C1926" t="str">
            <v>LSCRED</v>
          </cell>
          <cell r="D1926">
            <v>60595</v>
          </cell>
          <cell r="E1926">
            <v>60595</v>
          </cell>
          <cell r="F1926">
            <v>0</v>
          </cell>
        </row>
        <row r="1927">
          <cell r="A1927" t="str">
            <v>GRAJI</v>
          </cell>
          <cell r="B1927" t="str">
            <v>RAJINDER SINGH TOKAS</v>
          </cell>
          <cell r="C1927" t="str">
            <v>LSCRED</v>
          </cell>
          <cell r="D1927">
            <v>39800</v>
          </cell>
          <cell r="E1927">
            <v>39800</v>
          </cell>
          <cell r="F1927">
            <v>0</v>
          </cell>
        </row>
        <row r="1928">
          <cell r="A1928" t="str">
            <v>GRAJV</v>
          </cell>
          <cell r="B1928" t="str">
            <v>RAJIV MITTAL</v>
          </cell>
          <cell r="C1928" t="str">
            <v>LSCRED</v>
          </cell>
          <cell r="D1928">
            <v>13000</v>
          </cell>
          <cell r="E1928">
            <v>13000</v>
          </cell>
          <cell r="F1928">
            <v>0</v>
          </cell>
        </row>
        <row r="1929">
          <cell r="A1929" t="str">
            <v>GRAJS</v>
          </cell>
          <cell r="B1929" t="str">
            <v>RAJIV SHARMA</v>
          </cell>
          <cell r="C1929" t="str">
            <v>LSCRED</v>
          </cell>
          <cell r="D1929">
            <v>113178</v>
          </cell>
          <cell r="E1929">
            <v>113178</v>
          </cell>
          <cell r="F1929">
            <v>0</v>
          </cell>
        </row>
        <row r="1930">
          <cell r="A1930" t="str">
            <v>GRAPL</v>
          </cell>
          <cell r="B1930" t="str">
            <v>RAJPAL ARORA</v>
          </cell>
          <cell r="C1930" t="str">
            <v>LSCRED</v>
          </cell>
          <cell r="D1930">
            <v>17217</v>
          </cell>
          <cell r="E1930">
            <v>17217</v>
          </cell>
          <cell r="F1930">
            <v>0</v>
          </cell>
        </row>
        <row r="1931">
          <cell r="A1931" t="str">
            <v>GRAJRA</v>
          </cell>
          <cell r="B1931" t="str">
            <v>RAJRANI AGRAWAL</v>
          </cell>
          <cell r="C1931" t="str">
            <v>LSCRED</v>
          </cell>
          <cell r="D1931">
            <v>27343</v>
          </cell>
          <cell r="E1931">
            <v>27343</v>
          </cell>
          <cell r="F1931">
            <v>0</v>
          </cell>
        </row>
        <row r="1932">
          <cell r="A1932" t="str">
            <v>GRARA</v>
          </cell>
          <cell r="B1932" t="str">
            <v>RAJU NARANG</v>
          </cell>
          <cell r="C1932" t="str">
            <v>LSCRED</v>
          </cell>
          <cell r="D1932">
            <v>110974</v>
          </cell>
          <cell r="E1932">
            <v>110974</v>
          </cell>
          <cell r="F1932">
            <v>0</v>
          </cell>
        </row>
        <row r="1933">
          <cell r="A1933" t="str">
            <v>GRAKG</v>
          </cell>
          <cell r="B1933" t="str">
            <v>RAKESH GUPTA</v>
          </cell>
          <cell r="C1933" t="str">
            <v>LSCRED</v>
          </cell>
          <cell r="D1933">
            <v>13464</v>
          </cell>
          <cell r="E1933">
            <v>13464</v>
          </cell>
          <cell r="F1933">
            <v>0</v>
          </cell>
        </row>
        <row r="1934">
          <cell r="A1934" t="str">
            <v>GRAMI</v>
          </cell>
          <cell r="B1934" t="str">
            <v>RAM KISHAN CHAND JAMNANI</v>
          </cell>
          <cell r="C1934" t="str">
            <v>LSCRED</v>
          </cell>
          <cell r="D1934">
            <v>7000</v>
          </cell>
          <cell r="E1934">
            <v>7000</v>
          </cell>
          <cell r="F1934">
            <v>0</v>
          </cell>
        </row>
        <row r="1935">
          <cell r="A1935" t="str">
            <v>GRAMN</v>
          </cell>
          <cell r="B1935" t="str">
            <v>RAM NARYAN SHARMA</v>
          </cell>
          <cell r="C1935" t="str">
            <v>LSCRED</v>
          </cell>
          <cell r="D1935">
            <v>47500</v>
          </cell>
          <cell r="E1935">
            <v>47500</v>
          </cell>
          <cell r="F1935">
            <v>0</v>
          </cell>
        </row>
        <row r="1936">
          <cell r="A1936" t="str">
            <v>GRAMA</v>
          </cell>
          <cell r="B1936" t="str">
            <v>RAMA BHAVAN COMPLEX CONDOMINIUM</v>
          </cell>
          <cell r="C1936" t="str">
            <v>LSCRED</v>
          </cell>
          <cell r="D1936">
            <v>13200</v>
          </cell>
          <cell r="E1936">
            <v>13200</v>
          </cell>
          <cell r="F1936">
            <v>0</v>
          </cell>
        </row>
        <row r="1937">
          <cell r="A1937" t="str">
            <v>GRAMR</v>
          </cell>
          <cell r="B1937" t="str">
            <v>RAMEE RESOURCES</v>
          </cell>
          <cell r="C1937" t="str">
            <v>LSCRED</v>
          </cell>
          <cell r="D1937">
            <v>1</v>
          </cell>
          <cell r="E1937">
            <v>1</v>
          </cell>
          <cell r="F1937">
            <v>0</v>
          </cell>
        </row>
        <row r="1938">
          <cell r="A1938" t="str">
            <v>GRASH</v>
          </cell>
          <cell r="B1938" t="str">
            <v>RAMESH G. SHAH (HUF)</v>
          </cell>
          <cell r="C1938" t="str">
            <v>LSCRED</v>
          </cell>
          <cell r="D1938">
            <v>225845</v>
          </cell>
          <cell r="E1938">
            <v>225845</v>
          </cell>
          <cell r="F1938">
            <v>0</v>
          </cell>
        </row>
        <row r="1939">
          <cell r="A1939" t="str">
            <v>GRANR</v>
          </cell>
          <cell r="B1939" t="str">
            <v>RAMESH N RATHI</v>
          </cell>
          <cell r="C1939" t="str">
            <v>LSCRED</v>
          </cell>
          <cell r="D1939">
            <v>533</v>
          </cell>
          <cell r="E1939">
            <v>533</v>
          </cell>
          <cell r="F1939">
            <v>0</v>
          </cell>
        </row>
        <row r="1940">
          <cell r="A1940" t="str">
            <v>GRASAC</v>
          </cell>
          <cell r="B1940" t="str">
            <v>RAMESH SACHDEVA</v>
          </cell>
          <cell r="C1940" t="str">
            <v>LSCRED</v>
          </cell>
          <cell r="D1940">
            <v>56979</v>
          </cell>
          <cell r="E1940">
            <v>56979</v>
          </cell>
          <cell r="F1940">
            <v>0</v>
          </cell>
        </row>
        <row r="1941">
          <cell r="A1941" t="str">
            <v>GRANS</v>
          </cell>
          <cell r="B1941" t="str">
            <v>RANJANA SINGHI</v>
          </cell>
          <cell r="C1941" t="str">
            <v>LSCRED</v>
          </cell>
          <cell r="D1941">
            <v>6950</v>
          </cell>
          <cell r="E1941">
            <v>6950</v>
          </cell>
          <cell r="F1941">
            <v>0</v>
          </cell>
        </row>
        <row r="1942">
          <cell r="A1942" t="str">
            <v>GRATL</v>
          </cell>
          <cell r="B1942" t="str">
            <v>RATAN LAL GOENKA &amp; OTHERS HUF</v>
          </cell>
          <cell r="C1942" t="str">
            <v>LSCRED</v>
          </cell>
          <cell r="D1942">
            <v>245320</v>
          </cell>
          <cell r="E1942">
            <v>245320</v>
          </cell>
          <cell r="F1942">
            <v>0</v>
          </cell>
        </row>
        <row r="1943">
          <cell r="A1943" t="str">
            <v>GRATH</v>
          </cell>
          <cell r="B1943" t="str">
            <v>RATHI DISTRIBUTORS</v>
          </cell>
          <cell r="C1943" t="str">
            <v>LSCRED</v>
          </cell>
          <cell r="D1943">
            <v>360629</v>
          </cell>
          <cell r="E1943">
            <v>360629</v>
          </cell>
          <cell r="F1943">
            <v>0</v>
          </cell>
        </row>
        <row r="1944">
          <cell r="A1944" t="str">
            <v>GRVEN</v>
          </cell>
          <cell r="B1944" t="str">
            <v>RAVENDRA KUMAR SINGH</v>
          </cell>
          <cell r="C1944" t="str">
            <v>LSCRED</v>
          </cell>
          <cell r="D1944">
            <v>505</v>
          </cell>
          <cell r="E1944">
            <v>505</v>
          </cell>
          <cell r="F1944">
            <v>0</v>
          </cell>
        </row>
        <row r="1945">
          <cell r="A1945" t="str">
            <v>GRAPS</v>
          </cell>
          <cell r="B1945" t="str">
            <v>RAVINDER PAL SINGH</v>
          </cell>
          <cell r="C1945" t="str">
            <v>LSCRED</v>
          </cell>
          <cell r="D1945">
            <v>15426</v>
          </cell>
          <cell r="E1945">
            <v>15426</v>
          </cell>
          <cell r="F1945">
            <v>0</v>
          </cell>
        </row>
        <row r="1946">
          <cell r="A1946" t="str">
            <v>GRAVIN</v>
          </cell>
          <cell r="B1946" t="str">
            <v>RAVINDER SINGH</v>
          </cell>
          <cell r="C1946" t="str">
            <v>LSCRED</v>
          </cell>
          <cell r="D1946">
            <v>30294</v>
          </cell>
          <cell r="E1946">
            <v>30294</v>
          </cell>
          <cell r="F1946">
            <v>0</v>
          </cell>
        </row>
        <row r="1947">
          <cell r="A1947" t="str">
            <v>GRAVI</v>
          </cell>
          <cell r="B1947" t="str">
            <v>RAVIRAJ ASSOCIATES</v>
          </cell>
          <cell r="C1947" t="str">
            <v>LSCRED</v>
          </cell>
          <cell r="D1947">
            <v>38828</v>
          </cell>
          <cell r="E1947">
            <v>38828</v>
          </cell>
          <cell r="F1947">
            <v>0</v>
          </cell>
        </row>
        <row r="1948">
          <cell r="A1948" t="str">
            <v>GRED</v>
          </cell>
          <cell r="B1948" t="str">
            <v>RED HAT INDIA PRIVATE LIMITED</v>
          </cell>
          <cell r="C1948" t="str">
            <v>LSCRED</v>
          </cell>
          <cell r="D1948">
            <v>275000</v>
          </cell>
          <cell r="E1948">
            <v>275000</v>
          </cell>
          <cell r="F1948">
            <v>0</v>
          </cell>
        </row>
        <row r="1949">
          <cell r="A1949" t="str">
            <v>GREKH</v>
          </cell>
          <cell r="B1949" t="str">
            <v>REKHA NARANG</v>
          </cell>
          <cell r="C1949" t="str">
            <v>LSCRED</v>
          </cell>
          <cell r="D1949">
            <v>110974</v>
          </cell>
          <cell r="E1949">
            <v>110974</v>
          </cell>
          <cell r="F1949">
            <v>0</v>
          </cell>
        </row>
        <row r="1950">
          <cell r="A1950" t="str">
            <v>GIRGIC</v>
          </cell>
          <cell r="B1950" t="str">
            <v>RELIANCE GENERAL INSURANCE CO. LTD.</v>
          </cell>
          <cell r="C1950" t="str">
            <v>LSCRED</v>
          </cell>
          <cell r="D1950">
            <v>12719</v>
          </cell>
          <cell r="E1950">
            <v>12719</v>
          </cell>
          <cell r="F1950">
            <v>0</v>
          </cell>
        </row>
        <row r="1951">
          <cell r="A1951" t="str">
            <v>GREMS</v>
          </cell>
          <cell r="B1951" t="str">
            <v>REMSON COMPUTERS PVT. LTD.</v>
          </cell>
          <cell r="C1951" t="str">
            <v>LSCRED</v>
          </cell>
          <cell r="D1951">
            <v>7998</v>
          </cell>
          <cell r="E1951">
            <v>7998</v>
          </cell>
          <cell r="F1951">
            <v>0</v>
          </cell>
        </row>
        <row r="1952">
          <cell r="A1952" t="str">
            <v>GRENJ</v>
          </cell>
          <cell r="B1952" t="str">
            <v>RENU JAIN</v>
          </cell>
          <cell r="C1952" t="str">
            <v>LSCRED</v>
          </cell>
          <cell r="D1952">
            <v>83204</v>
          </cell>
          <cell r="E1952">
            <v>83204</v>
          </cell>
          <cell r="F1952">
            <v>0</v>
          </cell>
        </row>
        <row r="1953">
          <cell r="A1953" t="str">
            <v>GRENS</v>
          </cell>
          <cell r="B1953" t="str">
            <v>RENU SINGH</v>
          </cell>
          <cell r="C1953" t="str">
            <v>LSCRED</v>
          </cell>
          <cell r="D1953">
            <v>270810</v>
          </cell>
          <cell r="E1953">
            <v>270810</v>
          </cell>
          <cell r="F1953">
            <v>0</v>
          </cell>
        </row>
        <row r="1954">
          <cell r="A1954" t="str">
            <v>GRENU</v>
          </cell>
          <cell r="B1954" t="str">
            <v>RENUKA SHESHACHALAM</v>
          </cell>
          <cell r="C1954" t="str">
            <v>LSCRED</v>
          </cell>
          <cell r="D1954">
            <v>16000</v>
          </cell>
          <cell r="E1954">
            <v>16000</v>
          </cell>
          <cell r="F1954">
            <v>0</v>
          </cell>
        </row>
        <row r="1955">
          <cell r="A1955" t="str">
            <v>GRMGP</v>
          </cell>
          <cell r="B1955" t="str">
            <v>RESOURCE MANAGEMENT GROUP PLUS (P) LTD</v>
          </cell>
          <cell r="C1955" t="str">
            <v>LSCRED</v>
          </cell>
          <cell r="D1955">
            <v>145</v>
          </cell>
          <cell r="E1955">
            <v>145</v>
          </cell>
          <cell r="F1955">
            <v>0</v>
          </cell>
        </row>
        <row r="1956">
          <cell r="A1956" t="str">
            <v>GRICHM</v>
          </cell>
          <cell r="B1956" t="str">
            <v>RICHMNZ (PROPERTY SOLUTIONS)</v>
          </cell>
          <cell r="C1956" t="str">
            <v>LSCRED</v>
          </cell>
          <cell r="D1956">
            <v>11734</v>
          </cell>
          <cell r="E1956">
            <v>11734</v>
          </cell>
          <cell r="F1956">
            <v>0</v>
          </cell>
        </row>
        <row r="1957">
          <cell r="A1957" t="str">
            <v>GRIDD</v>
          </cell>
          <cell r="B1957" t="str">
            <v>RIDDHI INDUSTRIES</v>
          </cell>
          <cell r="C1957" t="str">
            <v>LSCRED</v>
          </cell>
          <cell r="D1957">
            <v>11100</v>
          </cell>
          <cell r="E1957">
            <v>11100</v>
          </cell>
          <cell r="F1957">
            <v>0</v>
          </cell>
        </row>
        <row r="1958">
          <cell r="A1958" t="str">
            <v>GRISA</v>
          </cell>
          <cell r="B1958" t="str">
            <v>RISHAB ASSOCIATES</v>
          </cell>
          <cell r="C1958" t="str">
            <v>LSCRED</v>
          </cell>
          <cell r="D1958">
            <v>16260</v>
          </cell>
          <cell r="E1958">
            <v>16260</v>
          </cell>
          <cell r="F1958">
            <v>0</v>
          </cell>
        </row>
        <row r="1959">
          <cell r="A1959" t="str">
            <v>GRKBK</v>
          </cell>
          <cell r="B1959" t="str">
            <v>RKBK AUTOMOBILES PVT LTD</v>
          </cell>
          <cell r="C1959" t="str">
            <v>LSCRED</v>
          </cell>
          <cell r="D1959">
            <v>27994</v>
          </cell>
          <cell r="E1959">
            <v>27994</v>
          </cell>
          <cell r="F1959">
            <v>0</v>
          </cell>
        </row>
        <row r="1960">
          <cell r="A1960" t="str">
            <v>GROOT</v>
          </cell>
          <cell r="B1960" t="str">
            <v>ROOTS CONSTRUCTIONS PVT LTD</v>
          </cell>
          <cell r="C1960" t="str">
            <v>LSCRED</v>
          </cell>
          <cell r="D1960">
            <v>119031</v>
          </cell>
          <cell r="E1960">
            <v>119031</v>
          </cell>
          <cell r="F1960">
            <v>0</v>
          </cell>
        </row>
        <row r="1961">
          <cell r="A1961" t="str">
            <v>GROLA</v>
          </cell>
          <cell r="B1961" t="str">
            <v>ROYAL LAND ASSOCIATES</v>
          </cell>
          <cell r="C1961" t="str">
            <v>LSCRED</v>
          </cell>
          <cell r="D1961">
            <v>106434</v>
          </cell>
          <cell r="E1961">
            <v>106434</v>
          </cell>
          <cell r="F1961">
            <v>0</v>
          </cell>
        </row>
        <row r="1962">
          <cell r="A1962" t="str">
            <v>GRUDE</v>
          </cell>
          <cell r="B1962" t="str">
            <v>RUBEE BHAGAT &amp; DESH BHAGAT</v>
          </cell>
          <cell r="C1962" t="str">
            <v>LSCRED</v>
          </cell>
          <cell r="D1962">
            <v>47748</v>
          </cell>
          <cell r="E1962">
            <v>47748</v>
          </cell>
          <cell r="F1962">
            <v>0</v>
          </cell>
        </row>
        <row r="1963">
          <cell r="A1963" t="str">
            <v>GRUTU</v>
          </cell>
          <cell r="B1963" t="str">
            <v>RUTUKALASH PREMISES OWNER COOPERATIVE  SERVICES  SOCIETY LTD</v>
          </cell>
          <cell r="C1963" t="str">
            <v>LSCRED</v>
          </cell>
          <cell r="D1963">
            <v>2100</v>
          </cell>
          <cell r="E1963">
            <v>2100</v>
          </cell>
          <cell r="F1963">
            <v>0</v>
          </cell>
        </row>
        <row r="1964">
          <cell r="A1964" t="str">
            <v>GSPUS</v>
          </cell>
          <cell r="B1964" t="str">
            <v>S PUSHPARANI</v>
          </cell>
          <cell r="C1964" t="str">
            <v>LSCRED</v>
          </cell>
          <cell r="D1964">
            <v>53497</v>
          </cell>
          <cell r="E1964">
            <v>53497</v>
          </cell>
          <cell r="F1964">
            <v>0</v>
          </cell>
        </row>
        <row r="1965">
          <cell r="A1965" t="str">
            <v>GSSIN</v>
          </cell>
          <cell r="B1965" t="str">
            <v>S S INFOCOM</v>
          </cell>
          <cell r="C1965" t="str">
            <v>LSCRED</v>
          </cell>
          <cell r="D1965">
            <v>20800</v>
          </cell>
          <cell r="E1965">
            <v>20800</v>
          </cell>
          <cell r="F1965">
            <v>0</v>
          </cell>
        </row>
        <row r="1966">
          <cell r="A1966" t="str">
            <v>GSUJI</v>
          </cell>
          <cell r="B1966" t="str">
            <v>S SUJI KUMAR</v>
          </cell>
          <cell r="C1966" t="str">
            <v>LSCRED</v>
          </cell>
          <cell r="D1966">
            <v>954</v>
          </cell>
          <cell r="E1966">
            <v>954</v>
          </cell>
          <cell r="F1966">
            <v>0</v>
          </cell>
        </row>
        <row r="1967">
          <cell r="A1967" t="str">
            <v>GSAYY</v>
          </cell>
          <cell r="B1967" t="str">
            <v>S. AYYAPPAN / A. MAHALAKSHMI</v>
          </cell>
          <cell r="C1967" t="str">
            <v>LSCRED</v>
          </cell>
          <cell r="D1967">
            <v>30600</v>
          </cell>
          <cell r="E1967">
            <v>30600</v>
          </cell>
          <cell r="F1967">
            <v>0</v>
          </cell>
        </row>
        <row r="1968">
          <cell r="A1968" t="str">
            <v>GSPARI</v>
          </cell>
          <cell r="B1968" t="str">
            <v>S. PARIMALA</v>
          </cell>
          <cell r="C1968" t="str">
            <v>LSCRED</v>
          </cell>
          <cell r="D1968">
            <v>36483</v>
          </cell>
          <cell r="E1968">
            <v>36483</v>
          </cell>
          <cell r="F1968">
            <v>0</v>
          </cell>
        </row>
        <row r="1969">
          <cell r="A1969" t="str">
            <v>GNIMM</v>
          </cell>
          <cell r="B1969" t="str">
            <v>S.B.B.&amp; J. A/C SUMAN CHANDRA KHANNA</v>
          </cell>
          <cell r="C1969" t="str">
            <v>LSCRED</v>
          </cell>
          <cell r="D1969">
            <v>134140</v>
          </cell>
          <cell r="E1969">
            <v>134140</v>
          </cell>
          <cell r="F1969">
            <v>0</v>
          </cell>
        </row>
        <row r="1970">
          <cell r="A1970" t="str">
            <v>GSDPA</v>
          </cell>
          <cell r="B1970" t="str">
            <v>S.D.PANDEY</v>
          </cell>
          <cell r="C1970" t="str">
            <v>LSCRED</v>
          </cell>
          <cell r="D1970">
            <v>3551</v>
          </cell>
          <cell r="E1970">
            <v>3551</v>
          </cell>
          <cell r="F1970">
            <v>0</v>
          </cell>
        </row>
        <row r="1971">
          <cell r="A1971" t="str">
            <v>GSKEN</v>
          </cell>
          <cell r="B1971" t="str">
            <v>S.K. ENGINEERING</v>
          </cell>
          <cell r="C1971" t="str">
            <v>LSCRED</v>
          </cell>
          <cell r="D1971">
            <v>58577</v>
          </cell>
          <cell r="E1971">
            <v>58577</v>
          </cell>
          <cell r="F1971">
            <v>0</v>
          </cell>
        </row>
        <row r="1972">
          <cell r="A1972" t="str">
            <v>GSVRA</v>
          </cell>
          <cell r="B1972" t="str">
            <v>S.V.RAGHAVAN</v>
          </cell>
          <cell r="C1972" t="str">
            <v>LSCRED</v>
          </cell>
          <cell r="D1972">
            <v>33769</v>
          </cell>
          <cell r="E1972">
            <v>33769</v>
          </cell>
          <cell r="F1972">
            <v>0</v>
          </cell>
        </row>
        <row r="1973">
          <cell r="A1973" t="str">
            <v>GSACE</v>
          </cell>
          <cell r="B1973" t="str">
            <v>SACHAN ESTATE</v>
          </cell>
          <cell r="C1973" t="str">
            <v>LSCRED</v>
          </cell>
          <cell r="D1973">
            <v>1102</v>
          </cell>
          <cell r="E1973">
            <v>1102</v>
          </cell>
          <cell r="F1973">
            <v>0</v>
          </cell>
        </row>
        <row r="1974">
          <cell r="A1974" t="str">
            <v>GSABS</v>
          </cell>
          <cell r="B1974" t="str">
            <v>SACHIN BALKRISHNA SHETE</v>
          </cell>
          <cell r="C1974" t="str">
            <v>LSCRED</v>
          </cell>
          <cell r="D1974">
            <v>533</v>
          </cell>
          <cell r="E1974">
            <v>533</v>
          </cell>
          <cell r="F1974">
            <v>0</v>
          </cell>
        </row>
        <row r="1975">
          <cell r="A1975" t="str">
            <v>GSAGI</v>
          </cell>
          <cell r="B1975" t="str">
            <v>SAGAR INFORMATION TECHNOLOGIES</v>
          </cell>
          <cell r="C1975" t="str">
            <v>LSCRED</v>
          </cell>
          <cell r="D1975">
            <v>561</v>
          </cell>
          <cell r="E1975">
            <v>561</v>
          </cell>
          <cell r="F1975">
            <v>0</v>
          </cell>
        </row>
        <row r="1976">
          <cell r="A1976" t="str">
            <v>GSAHAR</v>
          </cell>
          <cell r="B1976" t="str">
            <v>SAHARRA REALTORS</v>
          </cell>
          <cell r="C1976" t="str">
            <v>LSCRED</v>
          </cell>
          <cell r="D1976">
            <v>3425</v>
          </cell>
          <cell r="E1976">
            <v>3425</v>
          </cell>
          <cell r="F1976">
            <v>0</v>
          </cell>
        </row>
        <row r="1977">
          <cell r="A1977" t="str">
            <v>GSAHA</v>
          </cell>
          <cell r="B1977" t="str">
            <v>SAHASHI BHUSHAN</v>
          </cell>
          <cell r="C1977" t="str">
            <v>LSCRED</v>
          </cell>
          <cell r="D1977">
            <v>146304</v>
          </cell>
          <cell r="E1977">
            <v>146304</v>
          </cell>
          <cell r="F1977">
            <v>0</v>
          </cell>
        </row>
        <row r="1978">
          <cell r="A1978" t="str">
            <v>GSAINA</v>
          </cell>
          <cell r="B1978" t="str">
            <v>SAINATH APPAREL</v>
          </cell>
          <cell r="C1978" t="str">
            <v>LSCRED</v>
          </cell>
          <cell r="D1978">
            <v>131016</v>
          </cell>
          <cell r="E1978">
            <v>131016</v>
          </cell>
          <cell r="F1978">
            <v>0</v>
          </cell>
        </row>
        <row r="1979">
          <cell r="A1979" t="str">
            <v>GSAIN</v>
          </cell>
          <cell r="B1979" t="str">
            <v>SAINATH COMPUTER SERVICES</v>
          </cell>
          <cell r="C1979" t="str">
            <v>LSCRED</v>
          </cell>
          <cell r="D1979">
            <v>11963</v>
          </cell>
          <cell r="E1979">
            <v>11963</v>
          </cell>
          <cell r="F1979">
            <v>0</v>
          </cell>
        </row>
        <row r="1980">
          <cell r="A1980" t="str">
            <v>GSALP</v>
          </cell>
          <cell r="B1980" t="str">
            <v>SALIM PATEL</v>
          </cell>
          <cell r="C1980" t="str">
            <v>LSCRED</v>
          </cell>
          <cell r="D1980">
            <v>3899</v>
          </cell>
          <cell r="E1980">
            <v>3899</v>
          </cell>
          <cell r="F1980">
            <v>0</v>
          </cell>
        </row>
        <row r="1981">
          <cell r="A1981" t="str">
            <v>GSALLY</v>
          </cell>
          <cell r="B1981" t="str">
            <v>SALLY JACOB</v>
          </cell>
          <cell r="C1981" t="str">
            <v>LSCRED</v>
          </cell>
          <cell r="D1981">
            <v>45900</v>
          </cell>
          <cell r="E1981">
            <v>45900</v>
          </cell>
          <cell r="F1981">
            <v>0</v>
          </cell>
        </row>
        <row r="1982">
          <cell r="A1982" t="str">
            <v>GSAKI</v>
          </cell>
          <cell r="B1982" t="str">
            <v>SAMBHAJI KISAN YADAV (HUF)</v>
          </cell>
          <cell r="C1982" t="str">
            <v>LSCRED</v>
          </cell>
          <cell r="D1982">
            <v>44676</v>
          </cell>
          <cell r="E1982">
            <v>44676</v>
          </cell>
          <cell r="F1982">
            <v>0</v>
          </cell>
        </row>
        <row r="1983">
          <cell r="A1983" t="str">
            <v>GSMER</v>
          </cell>
          <cell r="B1983" t="str">
            <v>SAMEER ARORA</v>
          </cell>
          <cell r="C1983" t="str">
            <v>LSCRED</v>
          </cell>
          <cell r="D1983">
            <v>97091</v>
          </cell>
          <cell r="E1983">
            <v>97091</v>
          </cell>
          <cell r="F1983">
            <v>0</v>
          </cell>
        </row>
        <row r="1984">
          <cell r="A1984" t="str">
            <v>GSAAB</v>
          </cell>
          <cell r="B1984" t="str">
            <v>SAMEERA ABDUSHUKUR</v>
          </cell>
          <cell r="C1984" t="str">
            <v>LSCRED</v>
          </cell>
          <cell r="D1984">
            <v>20700</v>
          </cell>
          <cell r="E1984">
            <v>20700</v>
          </cell>
          <cell r="F1984">
            <v>0</v>
          </cell>
        </row>
        <row r="1985">
          <cell r="A1985" t="str">
            <v>GSAMRI</v>
          </cell>
          <cell r="B1985" t="str">
            <v>SAMRIDHI GEMS</v>
          </cell>
          <cell r="C1985" t="str">
            <v>LSCRED</v>
          </cell>
          <cell r="D1985">
            <v>48654</v>
          </cell>
          <cell r="E1985">
            <v>48654</v>
          </cell>
          <cell r="F1985">
            <v>0</v>
          </cell>
        </row>
        <row r="1986">
          <cell r="A1986" t="str">
            <v>GSAKA</v>
          </cell>
          <cell r="B1986" t="str">
            <v>SANDEEP KAPOOR</v>
          </cell>
          <cell r="C1986" t="str">
            <v>LSCRED</v>
          </cell>
          <cell r="D1986">
            <v>28584</v>
          </cell>
          <cell r="E1986">
            <v>28584</v>
          </cell>
          <cell r="F1986">
            <v>0</v>
          </cell>
        </row>
        <row r="1987">
          <cell r="A1987" t="str">
            <v>GSANGM</v>
          </cell>
          <cell r="B1987" t="str">
            <v>SANGEETA MALIK</v>
          </cell>
          <cell r="C1987" t="str">
            <v>LSCRED</v>
          </cell>
          <cell r="D1987">
            <v>18863</v>
          </cell>
          <cell r="E1987">
            <v>18863</v>
          </cell>
          <cell r="F1987">
            <v>0</v>
          </cell>
        </row>
        <row r="1988">
          <cell r="A1988" t="str">
            <v>GSANH</v>
          </cell>
          <cell r="B1988" t="str">
            <v>SANGHI MOTORS</v>
          </cell>
          <cell r="C1988" t="str">
            <v>LSCRED</v>
          </cell>
          <cell r="D1988">
            <v>6500</v>
          </cell>
          <cell r="E1988">
            <v>6500</v>
          </cell>
          <cell r="F1988">
            <v>0</v>
          </cell>
        </row>
        <row r="1989">
          <cell r="A1989" t="str">
            <v>GSABA</v>
          </cell>
          <cell r="B1989" t="str">
            <v>SANJAY BANSAL</v>
          </cell>
          <cell r="C1989" t="str">
            <v>LSCRED</v>
          </cell>
          <cell r="D1989">
            <v>16065</v>
          </cell>
          <cell r="E1989">
            <v>16065</v>
          </cell>
          <cell r="F1989">
            <v>0</v>
          </cell>
        </row>
        <row r="1990">
          <cell r="A1990" t="str">
            <v>GSANJA</v>
          </cell>
          <cell r="B1990" t="str">
            <v>SANJAY JALAN</v>
          </cell>
          <cell r="C1990" t="str">
            <v>LSCRED</v>
          </cell>
          <cell r="D1990">
            <v>151472</v>
          </cell>
          <cell r="E1990">
            <v>151472</v>
          </cell>
          <cell r="F1990">
            <v>0</v>
          </cell>
        </row>
        <row r="1991">
          <cell r="A1991" t="str">
            <v>GSANJ</v>
          </cell>
          <cell r="B1991" t="str">
            <v>SANJAY RATHI</v>
          </cell>
          <cell r="C1991" t="str">
            <v>LSCRED</v>
          </cell>
          <cell r="D1991">
            <v>22500</v>
          </cell>
          <cell r="E1991">
            <v>22500</v>
          </cell>
          <cell r="F1991">
            <v>0</v>
          </cell>
        </row>
        <row r="1992">
          <cell r="A1992" t="str">
            <v>GSAST</v>
          </cell>
          <cell r="B1992" t="str">
            <v>SANJAY STEEL FURNITURE MART</v>
          </cell>
          <cell r="C1992" t="str">
            <v>LSCRED</v>
          </cell>
          <cell r="D1992">
            <v>8250</v>
          </cell>
          <cell r="E1992">
            <v>8250</v>
          </cell>
          <cell r="F1992">
            <v>0</v>
          </cell>
        </row>
        <row r="1993">
          <cell r="A1993" t="str">
            <v>GHARR</v>
          </cell>
          <cell r="B1993" t="str">
            <v>SANJEEV KUMAR</v>
          </cell>
          <cell r="C1993" t="str">
            <v>LSCRED</v>
          </cell>
          <cell r="D1993">
            <v>449</v>
          </cell>
          <cell r="E1993">
            <v>449</v>
          </cell>
          <cell r="F1993">
            <v>0</v>
          </cell>
        </row>
        <row r="1994">
          <cell r="A1994" t="str">
            <v>GSAKU</v>
          </cell>
          <cell r="B1994" t="str">
            <v>SANJEEV KUMAR</v>
          </cell>
          <cell r="C1994" t="str">
            <v>LSCRED</v>
          </cell>
          <cell r="D1994">
            <v>15750</v>
          </cell>
          <cell r="E1994">
            <v>15750</v>
          </cell>
          <cell r="F1994">
            <v>0</v>
          </cell>
        </row>
        <row r="1995">
          <cell r="A1995" t="str">
            <v>GSANJK</v>
          </cell>
          <cell r="B1995" t="str">
            <v>SANJEEV KUMAR</v>
          </cell>
          <cell r="C1995" t="str">
            <v>LSCRED</v>
          </cell>
          <cell r="D1995">
            <v>40841</v>
          </cell>
          <cell r="E1995">
            <v>40841</v>
          </cell>
          <cell r="F1995">
            <v>0</v>
          </cell>
        </row>
        <row r="1996">
          <cell r="A1996" t="str">
            <v>GSANI</v>
          </cell>
          <cell r="B1996" t="str">
            <v>SANJEEV MITLA (HUF)</v>
          </cell>
          <cell r="C1996" t="str">
            <v>LSCRED</v>
          </cell>
          <cell r="D1996">
            <v>160213</v>
          </cell>
          <cell r="E1996">
            <v>160213</v>
          </cell>
          <cell r="F1996">
            <v>0</v>
          </cell>
        </row>
        <row r="1997">
          <cell r="A1997" t="str">
            <v>GSASI</v>
          </cell>
          <cell r="B1997" t="str">
            <v>SANJEEV SINGH</v>
          </cell>
          <cell r="C1997" t="str">
            <v>LSCRED</v>
          </cell>
          <cell r="D1997">
            <v>24209</v>
          </cell>
          <cell r="E1997">
            <v>24209</v>
          </cell>
          <cell r="F1997">
            <v>0</v>
          </cell>
        </row>
        <row r="1998">
          <cell r="A1998" t="str">
            <v>GSANS</v>
          </cell>
          <cell r="B1998" t="str">
            <v>SANJIV SHARMA</v>
          </cell>
          <cell r="C1998" t="str">
            <v>LSCRED</v>
          </cell>
          <cell r="D1998">
            <v>113178</v>
          </cell>
          <cell r="E1998">
            <v>113178</v>
          </cell>
          <cell r="F1998">
            <v>0</v>
          </cell>
        </row>
        <row r="1999">
          <cell r="A1999" t="str">
            <v>GSANT</v>
          </cell>
          <cell r="B1999" t="str">
            <v>SANTOSH GOCHWAL</v>
          </cell>
          <cell r="C1999" t="str">
            <v>LSCRED</v>
          </cell>
          <cell r="D1999">
            <v>81720</v>
          </cell>
          <cell r="E1999">
            <v>81720</v>
          </cell>
          <cell r="F1999">
            <v>0</v>
          </cell>
        </row>
        <row r="2000">
          <cell r="A2000" t="str">
            <v>GSARD</v>
          </cell>
          <cell r="B2000" t="str">
            <v>SARADHA DEVI</v>
          </cell>
          <cell r="C2000" t="str">
            <v>LSCRED</v>
          </cell>
          <cell r="D2000">
            <v>95043</v>
          </cell>
          <cell r="E2000">
            <v>95043</v>
          </cell>
          <cell r="F2000">
            <v>0</v>
          </cell>
        </row>
        <row r="2001">
          <cell r="A2001" t="str">
            <v>GSAJH</v>
          </cell>
          <cell r="B2001" t="str">
            <v>SAROJ JHAWAR</v>
          </cell>
          <cell r="C2001" t="str">
            <v>LSCRED</v>
          </cell>
          <cell r="D2001">
            <v>92979</v>
          </cell>
          <cell r="E2001">
            <v>92979</v>
          </cell>
          <cell r="F2001">
            <v>0</v>
          </cell>
        </row>
        <row r="2002">
          <cell r="A2002" t="str">
            <v>GSARJ</v>
          </cell>
          <cell r="B2002" t="str">
            <v>SARVINDERKAUR JAGDISHSINGH BINDRA</v>
          </cell>
          <cell r="C2002" t="str">
            <v>LSCRED</v>
          </cell>
          <cell r="D2002">
            <v>32136</v>
          </cell>
          <cell r="E2002">
            <v>32136</v>
          </cell>
          <cell r="F2002">
            <v>0</v>
          </cell>
        </row>
        <row r="2003">
          <cell r="A2003" t="str">
            <v>GSASH</v>
          </cell>
          <cell r="B2003" t="str">
            <v>SASHI GUPTA</v>
          </cell>
          <cell r="C2003" t="str">
            <v>LSCRED</v>
          </cell>
          <cell r="D2003">
            <v>404</v>
          </cell>
          <cell r="E2003">
            <v>404</v>
          </cell>
          <cell r="F2003">
            <v>0</v>
          </cell>
        </row>
        <row r="2004">
          <cell r="A2004" t="str">
            <v>GSATI</v>
          </cell>
          <cell r="B2004" t="str">
            <v>SATISH CHANDRA SHARMA</v>
          </cell>
          <cell r="C2004" t="str">
            <v>LSCRED</v>
          </cell>
          <cell r="D2004">
            <v>113178</v>
          </cell>
          <cell r="E2004">
            <v>113178</v>
          </cell>
          <cell r="F2004">
            <v>0</v>
          </cell>
        </row>
        <row r="2005">
          <cell r="A2005" t="str">
            <v>GSATJ</v>
          </cell>
          <cell r="B2005" t="str">
            <v>SATISH JASHVANTLAL ZAVERI (HUF)</v>
          </cell>
          <cell r="C2005" t="str">
            <v>LSCRED</v>
          </cell>
          <cell r="D2005">
            <v>25151</v>
          </cell>
          <cell r="E2005">
            <v>25151</v>
          </cell>
          <cell r="F2005">
            <v>0</v>
          </cell>
        </row>
        <row r="2006">
          <cell r="A2006" t="str">
            <v>GSATM</v>
          </cell>
          <cell r="B2006" t="str">
            <v>SATISH MALIK</v>
          </cell>
          <cell r="C2006" t="str">
            <v>LSCRED</v>
          </cell>
          <cell r="D2006">
            <v>33825</v>
          </cell>
          <cell r="E2006">
            <v>33825</v>
          </cell>
          <cell r="F2006">
            <v>0</v>
          </cell>
        </row>
        <row r="2007">
          <cell r="A2007" t="str">
            <v>GSAUR</v>
          </cell>
          <cell r="B2007" t="str">
            <v>SAURABH MITTAL</v>
          </cell>
          <cell r="C2007" t="str">
            <v>LSCRED</v>
          </cell>
          <cell r="D2007">
            <v>55808</v>
          </cell>
          <cell r="E2007">
            <v>55808</v>
          </cell>
          <cell r="F2007">
            <v>0</v>
          </cell>
        </row>
        <row r="2008">
          <cell r="A2008" t="str">
            <v>GSAJA</v>
          </cell>
          <cell r="B2008" t="str">
            <v>SAVITA JAIN</v>
          </cell>
          <cell r="C2008" t="str">
            <v>LSCRED</v>
          </cell>
          <cell r="D2008">
            <v>28690</v>
          </cell>
          <cell r="E2008">
            <v>28690</v>
          </cell>
          <cell r="F2008">
            <v>0</v>
          </cell>
        </row>
        <row r="2009">
          <cell r="A2009" t="str">
            <v>GSAVE</v>
          </cell>
          <cell r="B2009" t="str">
            <v>SAVITA VERMA</v>
          </cell>
          <cell r="C2009" t="str">
            <v>LSCRED</v>
          </cell>
          <cell r="D2009">
            <v>19634</v>
          </cell>
          <cell r="E2009">
            <v>19634</v>
          </cell>
          <cell r="F2009">
            <v>0</v>
          </cell>
        </row>
        <row r="2010">
          <cell r="A2010" t="str">
            <v>GSAVDE</v>
          </cell>
          <cell r="B2010" t="str">
            <v>SAVITRI DEVI</v>
          </cell>
          <cell r="C2010" t="str">
            <v>LSCRED</v>
          </cell>
          <cell r="D2010">
            <v>23276</v>
          </cell>
          <cell r="E2010">
            <v>23276</v>
          </cell>
          <cell r="F2010">
            <v>0</v>
          </cell>
        </row>
        <row r="2011">
          <cell r="A2011" t="str">
            <v>GSAKH</v>
          </cell>
          <cell r="B2011" t="str">
            <v>SAVITRI KHANDELWAL</v>
          </cell>
          <cell r="C2011" t="str">
            <v>LSCRED</v>
          </cell>
          <cell r="D2011">
            <v>62915</v>
          </cell>
          <cell r="E2011">
            <v>62915</v>
          </cell>
          <cell r="F2011">
            <v>0</v>
          </cell>
        </row>
        <row r="2012">
          <cell r="A2012" t="str">
            <v>GSAYE</v>
          </cell>
          <cell r="B2012" t="str">
            <v>SAYEED- UL- HASAN</v>
          </cell>
          <cell r="C2012" t="str">
            <v>LSCRED</v>
          </cell>
          <cell r="D2012">
            <v>47511</v>
          </cell>
          <cell r="E2012">
            <v>47511</v>
          </cell>
          <cell r="F2012">
            <v>0</v>
          </cell>
        </row>
        <row r="2013">
          <cell r="A2013" t="str">
            <v>GSEAC</v>
          </cell>
          <cell r="B2013" t="str">
            <v>SEARCH END MANAGEMENT CONSULTANTS</v>
          </cell>
          <cell r="C2013" t="str">
            <v>LSCRED</v>
          </cell>
          <cell r="D2013">
            <v>24115</v>
          </cell>
          <cell r="E2013">
            <v>24115</v>
          </cell>
          <cell r="F2013">
            <v>0</v>
          </cell>
        </row>
        <row r="2014">
          <cell r="A2014" t="str">
            <v>GSEC</v>
          </cell>
          <cell r="B2014" t="str">
            <v>SECON PRINT TECH</v>
          </cell>
          <cell r="C2014" t="str">
            <v>LSCRED</v>
          </cell>
          <cell r="D2014">
            <v>3285</v>
          </cell>
          <cell r="E2014">
            <v>3285</v>
          </cell>
          <cell r="F2014">
            <v>0</v>
          </cell>
        </row>
        <row r="2015">
          <cell r="A2015" t="str">
            <v>GNDMC</v>
          </cell>
          <cell r="B2015" t="str">
            <v>SECRETARY N.D.M.C</v>
          </cell>
          <cell r="C2015" t="str">
            <v>LSCRED</v>
          </cell>
          <cell r="D2015">
            <v>84080</v>
          </cell>
          <cell r="E2015">
            <v>84080</v>
          </cell>
          <cell r="F2015">
            <v>0</v>
          </cell>
        </row>
        <row r="2016">
          <cell r="A2016" t="str">
            <v>GSTRR</v>
          </cell>
          <cell r="B2016" t="str">
            <v>SERVICE TAX REFUND RECEIVABLE</v>
          </cell>
          <cell r="C2016" t="str">
            <v>LSCRED</v>
          </cell>
          <cell r="D2016">
            <v>133244</v>
          </cell>
          <cell r="E2016">
            <v>133244</v>
          </cell>
          <cell r="F2016">
            <v>0</v>
          </cell>
        </row>
        <row r="2017">
          <cell r="A2017" t="str">
            <v>GSRVO</v>
          </cell>
          <cell r="B2017" t="str">
            <v>SERVOKON SYSTEMS PVT LTD</v>
          </cell>
          <cell r="C2017" t="str">
            <v>LSCRED</v>
          </cell>
          <cell r="D2017">
            <v>26625</v>
          </cell>
          <cell r="E2017">
            <v>26625</v>
          </cell>
          <cell r="F2017">
            <v>0</v>
          </cell>
        </row>
        <row r="2018">
          <cell r="A2018" t="str">
            <v>GSHBB</v>
          </cell>
          <cell r="B2018" t="str">
            <v>SHABBIR ABDUL HUSSAIN</v>
          </cell>
          <cell r="C2018" t="str">
            <v>LSCRED</v>
          </cell>
          <cell r="D2018">
            <v>41578</v>
          </cell>
          <cell r="E2018">
            <v>41578</v>
          </cell>
          <cell r="F2018">
            <v>0</v>
          </cell>
        </row>
        <row r="2019">
          <cell r="A2019" t="str">
            <v>GSHAIA</v>
          </cell>
          <cell r="B2019" t="str">
            <v>SHAILENDRA AGRAWAL</v>
          </cell>
          <cell r="C2019" t="str">
            <v>LSCRED</v>
          </cell>
          <cell r="D2019">
            <v>902</v>
          </cell>
          <cell r="E2019">
            <v>902</v>
          </cell>
          <cell r="F2019">
            <v>0</v>
          </cell>
        </row>
        <row r="2020">
          <cell r="A2020" t="str">
            <v>GSKAN</v>
          </cell>
          <cell r="B2020" t="str">
            <v>SHAKUNTALA BASAVARAJ KITTUR</v>
          </cell>
          <cell r="C2020" t="str">
            <v>LSCRED</v>
          </cell>
          <cell r="D2020">
            <v>2839</v>
          </cell>
          <cell r="E2020">
            <v>2839</v>
          </cell>
          <cell r="F2020">
            <v>0</v>
          </cell>
        </row>
        <row r="2021">
          <cell r="A2021" t="str">
            <v>GSALM</v>
          </cell>
          <cell r="B2021" t="str">
            <v>SHALIMAR BUILDCON PVT LTD</v>
          </cell>
          <cell r="C2021" t="str">
            <v>LSCRED</v>
          </cell>
          <cell r="D2021">
            <v>61256</v>
          </cell>
          <cell r="E2021">
            <v>61256</v>
          </cell>
          <cell r="F2021">
            <v>0</v>
          </cell>
        </row>
        <row r="2022">
          <cell r="A2022" t="str">
            <v>GSHAMA</v>
          </cell>
          <cell r="B2022" t="str">
            <v>SHAMA KUMARI SACHDEVA</v>
          </cell>
          <cell r="C2022" t="str">
            <v>LSCRED</v>
          </cell>
          <cell r="D2022">
            <v>56979</v>
          </cell>
          <cell r="E2022">
            <v>56979</v>
          </cell>
          <cell r="F2022">
            <v>0</v>
          </cell>
        </row>
        <row r="2023">
          <cell r="A2023" t="str">
            <v>GSHAM</v>
          </cell>
          <cell r="B2023" t="str">
            <v>SHAMPURANAM K</v>
          </cell>
          <cell r="C2023" t="str">
            <v>LSCRED</v>
          </cell>
          <cell r="D2023">
            <v>98026</v>
          </cell>
          <cell r="E2023">
            <v>98026</v>
          </cell>
          <cell r="F2023">
            <v>0</v>
          </cell>
        </row>
        <row r="2024">
          <cell r="A2024" t="str">
            <v>GSHBAB</v>
          </cell>
          <cell r="B2024" t="str">
            <v>SHANTILAL BABUBHAI SURATWALA</v>
          </cell>
          <cell r="C2024" t="str">
            <v>LSCRED</v>
          </cell>
          <cell r="D2024">
            <v>4972</v>
          </cell>
          <cell r="E2024">
            <v>4972</v>
          </cell>
          <cell r="F2024">
            <v>0</v>
          </cell>
        </row>
        <row r="2025">
          <cell r="A2025" t="str">
            <v>GSHARD</v>
          </cell>
          <cell r="B2025" t="str">
            <v>SHARDA RANI</v>
          </cell>
          <cell r="C2025" t="str">
            <v>LSCRED</v>
          </cell>
          <cell r="D2025">
            <v>16065</v>
          </cell>
          <cell r="E2025">
            <v>16065</v>
          </cell>
          <cell r="F2025">
            <v>0</v>
          </cell>
        </row>
        <row r="2026">
          <cell r="A2026" t="str">
            <v>GSHAR</v>
          </cell>
          <cell r="B2026" t="str">
            <v>SHARDABEN H SHAH</v>
          </cell>
          <cell r="C2026" t="str">
            <v>LSCRED</v>
          </cell>
          <cell r="D2026">
            <v>40015</v>
          </cell>
          <cell r="E2026">
            <v>40015</v>
          </cell>
          <cell r="F2026">
            <v>0</v>
          </cell>
        </row>
        <row r="2027">
          <cell r="A2027" t="str">
            <v>GSHSS</v>
          </cell>
          <cell r="B2027" t="str">
            <v>SHARDDHA S. SHAH</v>
          </cell>
          <cell r="C2027" t="str">
            <v>LSCRED</v>
          </cell>
          <cell r="D2027">
            <v>194612</v>
          </cell>
          <cell r="E2027">
            <v>194612</v>
          </cell>
          <cell r="F2027">
            <v>0</v>
          </cell>
        </row>
        <row r="2028">
          <cell r="A2028" t="str">
            <v>GSHCR</v>
          </cell>
          <cell r="B2028" t="str">
            <v>SHARMA CARS PRIVATE LIMITED</v>
          </cell>
          <cell r="C2028" t="str">
            <v>LSCRED</v>
          </cell>
          <cell r="D2028">
            <v>24213</v>
          </cell>
          <cell r="E2028">
            <v>24213</v>
          </cell>
          <cell r="F2028">
            <v>0</v>
          </cell>
        </row>
        <row r="2029">
          <cell r="A2029" t="str">
            <v>GSHC</v>
          </cell>
          <cell r="B2029" t="str">
            <v>SHARP COMPUTERS</v>
          </cell>
          <cell r="C2029" t="str">
            <v>LSCRED</v>
          </cell>
          <cell r="D2029">
            <v>66975</v>
          </cell>
          <cell r="E2029">
            <v>66975</v>
          </cell>
          <cell r="F2029">
            <v>0</v>
          </cell>
        </row>
        <row r="2030">
          <cell r="A2030" t="str">
            <v>GSHLA</v>
          </cell>
          <cell r="B2030" t="str">
            <v>SHARWAN LAXMANDAS AHUJA</v>
          </cell>
          <cell r="C2030" t="str">
            <v>LSCRED</v>
          </cell>
          <cell r="D2030">
            <v>15982</v>
          </cell>
          <cell r="E2030">
            <v>15982</v>
          </cell>
          <cell r="F2030">
            <v>0</v>
          </cell>
        </row>
        <row r="2031">
          <cell r="A2031" t="str">
            <v>GSHEJ</v>
          </cell>
          <cell r="B2031" t="str">
            <v>SHEEJA HARSHAKUMAR</v>
          </cell>
          <cell r="C2031" t="str">
            <v>LSCRED</v>
          </cell>
          <cell r="D2031">
            <v>91584</v>
          </cell>
          <cell r="E2031">
            <v>91584</v>
          </cell>
          <cell r="F2031">
            <v>0</v>
          </cell>
        </row>
        <row r="2032">
          <cell r="A2032" t="str">
            <v>GSHEE</v>
          </cell>
          <cell r="B2032" t="str">
            <v>SHEELU LALWANI</v>
          </cell>
          <cell r="C2032" t="str">
            <v>LSCRED</v>
          </cell>
          <cell r="D2032">
            <v>502940</v>
          </cell>
          <cell r="E2032">
            <v>502940</v>
          </cell>
          <cell r="F2032">
            <v>0</v>
          </cell>
        </row>
        <row r="2033">
          <cell r="A2033" t="str">
            <v>GSHEAL</v>
          </cell>
          <cell r="B2033" t="str">
            <v>SHEHZADAY ALAM</v>
          </cell>
          <cell r="C2033" t="str">
            <v>LSCRED</v>
          </cell>
          <cell r="D2033">
            <v>687</v>
          </cell>
          <cell r="E2033">
            <v>687</v>
          </cell>
          <cell r="F2033">
            <v>0</v>
          </cell>
        </row>
        <row r="2034">
          <cell r="A2034" t="str">
            <v>GSHIK</v>
          </cell>
          <cell r="B2034" t="str">
            <v>SHIKHIR VIR AGGARWAL (HUF)</v>
          </cell>
          <cell r="C2034" t="str">
            <v>LSCRED</v>
          </cell>
          <cell r="D2034">
            <v>91421</v>
          </cell>
          <cell r="E2034">
            <v>91421</v>
          </cell>
          <cell r="F2034">
            <v>0</v>
          </cell>
        </row>
        <row r="2035">
          <cell r="A2035" t="str">
            <v>GSHIL</v>
          </cell>
          <cell r="B2035" t="str">
            <v>SHILPA ELECTRICAL TRADERS</v>
          </cell>
          <cell r="C2035" t="str">
            <v>LSCRED</v>
          </cell>
          <cell r="D2035">
            <v>61098</v>
          </cell>
          <cell r="E2035">
            <v>61098</v>
          </cell>
          <cell r="F2035">
            <v>0</v>
          </cell>
        </row>
        <row r="2036">
          <cell r="A2036" t="str">
            <v>GSINP</v>
          </cell>
          <cell r="B2036" t="str">
            <v>SHINE PRINTS</v>
          </cell>
          <cell r="C2036" t="str">
            <v>LSCRED</v>
          </cell>
          <cell r="D2036">
            <v>56</v>
          </cell>
          <cell r="E2036">
            <v>56</v>
          </cell>
          <cell r="F2036">
            <v>0</v>
          </cell>
        </row>
        <row r="2037">
          <cell r="A2037" t="str">
            <v>GSHTA</v>
          </cell>
          <cell r="B2037" t="str">
            <v>SHITAL VINUBHAI THAKKAR</v>
          </cell>
          <cell r="C2037" t="str">
            <v>LSCRED</v>
          </cell>
          <cell r="D2037">
            <v>24932</v>
          </cell>
          <cell r="E2037">
            <v>24932</v>
          </cell>
          <cell r="F2037">
            <v>0</v>
          </cell>
        </row>
        <row r="2038">
          <cell r="A2038" t="str">
            <v>GSHDE</v>
          </cell>
          <cell r="B2038" t="str">
            <v>SHIV KUMARI DEVI</v>
          </cell>
          <cell r="C2038" t="str">
            <v>LSCRED</v>
          </cell>
          <cell r="D2038">
            <v>15754</v>
          </cell>
          <cell r="E2038">
            <v>15754</v>
          </cell>
          <cell r="F2038">
            <v>0</v>
          </cell>
        </row>
        <row r="2039">
          <cell r="A2039" t="str">
            <v>GSHSI</v>
          </cell>
          <cell r="B2039" t="str">
            <v>SHIVANI SINGH CHAUHAN</v>
          </cell>
          <cell r="C2039" t="str">
            <v>LSCRED</v>
          </cell>
          <cell r="D2039">
            <v>10000</v>
          </cell>
          <cell r="E2039">
            <v>10000</v>
          </cell>
          <cell r="F2039">
            <v>0</v>
          </cell>
        </row>
        <row r="2040">
          <cell r="A2040" t="str">
            <v>GSHIVK</v>
          </cell>
          <cell r="B2040" t="str">
            <v>SHIVKUMAR J. SAROJ</v>
          </cell>
          <cell r="C2040" t="str">
            <v>LSCRED</v>
          </cell>
          <cell r="D2040">
            <v>2525</v>
          </cell>
          <cell r="E2040">
            <v>2525</v>
          </cell>
          <cell r="F2040">
            <v>0</v>
          </cell>
        </row>
        <row r="2041">
          <cell r="A2041" t="str">
            <v>GSHOL</v>
          </cell>
          <cell r="B2041" t="str">
            <v>SHOBHA LAXMANDAS AHUJA</v>
          </cell>
          <cell r="C2041" t="str">
            <v>LSCRED</v>
          </cell>
          <cell r="D2041">
            <v>15211</v>
          </cell>
          <cell r="E2041">
            <v>15211</v>
          </cell>
          <cell r="F2041">
            <v>0</v>
          </cell>
        </row>
        <row r="2042">
          <cell r="A2042" t="str">
            <v>GSRIG</v>
          </cell>
          <cell r="B2042" t="str">
            <v>SHREE GANESH ENTERPRISES</v>
          </cell>
          <cell r="C2042" t="str">
            <v>LSCRED</v>
          </cell>
          <cell r="D2042">
            <v>33903</v>
          </cell>
          <cell r="E2042">
            <v>33903</v>
          </cell>
          <cell r="F2042">
            <v>0</v>
          </cell>
        </row>
        <row r="2043">
          <cell r="A2043" t="str">
            <v>GSHRK</v>
          </cell>
          <cell r="B2043" t="str">
            <v>SHREE KALIKA REALTORS</v>
          </cell>
          <cell r="C2043" t="str">
            <v>LSCRED</v>
          </cell>
          <cell r="D2043">
            <v>1500</v>
          </cell>
          <cell r="E2043">
            <v>1500</v>
          </cell>
          <cell r="F2043">
            <v>0</v>
          </cell>
        </row>
        <row r="2044">
          <cell r="A2044" t="str">
            <v>GSHRA</v>
          </cell>
          <cell r="B2044" t="str">
            <v>SHREE RANG DEVELOPERS</v>
          </cell>
          <cell r="C2044" t="str">
            <v>LSCRED</v>
          </cell>
          <cell r="D2044">
            <v>175299</v>
          </cell>
          <cell r="E2044">
            <v>175299</v>
          </cell>
          <cell r="F2044">
            <v>0</v>
          </cell>
        </row>
        <row r="2045">
          <cell r="A2045" t="str">
            <v>GSHDI</v>
          </cell>
          <cell r="B2045" t="str">
            <v>SHREEDI INFOTECH</v>
          </cell>
          <cell r="C2045" t="str">
            <v>LSCRED</v>
          </cell>
          <cell r="D2045">
            <v>7050</v>
          </cell>
          <cell r="E2045">
            <v>7050</v>
          </cell>
          <cell r="F2045">
            <v>0</v>
          </cell>
        </row>
        <row r="2046">
          <cell r="A2046" t="str">
            <v>GSHREJI</v>
          </cell>
          <cell r="B2046" t="str">
            <v>SHREEJI ASSOCIATE</v>
          </cell>
          <cell r="C2046" t="str">
            <v>LSCRED</v>
          </cell>
          <cell r="D2046">
            <v>109274</v>
          </cell>
          <cell r="E2046">
            <v>109274</v>
          </cell>
          <cell r="F2046">
            <v>0</v>
          </cell>
        </row>
        <row r="2047">
          <cell r="A2047" t="str">
            <v>GSHCO</v>
          </cell>
          <cell r="B2047" t="str">
            <v>SHREEJI COMPLEX</v>
          </cell>
          <cell r="C2047" t="str">
            <v>LSCRED</v>
          </cell>
          <cell r="D2047">
            <v>76198</v>
          </cell>
          <cell r="E2047">
            <v>76198</v>
          </cell>
          <cell r="F2047">
            <v>0</v>
          </cell>
        </row>
        <row r="2048">
          <cell r="A2048" t="str">
            <v>GSHRAS</v>
          </cell>
          <cell r="B2048" t="str">
            <v>SHREEKANT RAMNATH SALUNKE</v>
          </cell>
          <cell r="C2048" t="str">
            <v>LSCRED</v>
          </cell>
          <cell r="D2048">
            <v>3506</v>
          </cell>
          <cell r="E2048">
            <v>3506</v>
          </cell>
          <cell r="F2048">
            <v>0</v>
          </cell>
        </row>
        <row r="2049">
          <cell r="A2049" t="str">
            <v>GJOGU</v>
          </cell>
          <cell r="B2049" t="str">
            <v>SHRI JOGINDER SINGH &amp; SMT. GURMEET KAUR</v>
          </cell>
          <cell r="C2049" t="str">
            <v>LSCRED</v>
          </cell>
          <cell r="D2049">
            <v>27540</v>
          </cell>
          <cell r="E2049">
            <v>27540</v>
          </cell>
          <cell r="F2049">
            <v>0</v>
          </cell>
        </row>
        <row r="2050">
          <cell r="A2050" t="str">
            <v>GLANA</v>
          </cell>
          <cell r="B2050" t="str">
            <v>SHRI LAXMI NARAIN NAGPAL</v>
          </cell>
          <cell r="C2050" t="str">
            <v>LSCRED</v>
          </cell>
          <cell r="D2050">
            <v>38097</v>
          </cell>
          <cell r="E2050">
            <v>38097</v>
          </cell>
          <cell r="F2050">
            <v>0</v>
          </cell>
        </row>
        <row r="2051">
          <cell r="A2051" t="str">
            <v>GSHSA</v>
          </cell>
          <cell r="B2051" t="str">
            <v>SHRI SANDEEP KAPOOR</v>
          </cell>
          <cell r="C2051" t="str">
            <v>LSCRED</v>
          </cell>
          <cell r="D2051">
            <v>1071</v>
          </cell>
          <cell r="E2051">
            <v>1071</v>
          </cell>
          <cell r="F2051">
            <v>0</v>
          </cell>
        </row>
        <row r="2052">
          <cell r="A2052" t="str">
            <v>GSBAB</v>
          </cell>
          <cell r="B2052" t="str">
            <v>SHUSHILADEVI BABULALJI JAIN</v>
          </cell>
          <cell r="C2052" t="str">
            <v>LSCRED</v>
          </cell>
          <cell r="D2052">
            <v>85749</v>
          </cell>
          <cell r="E2052">
            <v>85749</v>
          </cell>
          <cell r="F2052">
            <v>0</v>
          </cell>
        </row>
        <row r="2053">
          <cell r="A2053" t="str">
            <v>GSHKR</v>
          </cell>
          <cell r="B2053" t="str">
            <v>SHYAM KRIPA CONSTRUCTIONS</v>
          </cell>
          <cell r="C2053" t="str">
            <v>LSCRED</v>
          </cell>
          <cell r="D2053">
            <v>34742</v>
          </cell>
          <cell r="E2053">
            <v>34742</v>
          </cell>
          <cell r="F2053">
            <v>0</v>
          </cell>
        </row>
        <row r="2054">
          <cell r="A2054" t="str">
            <v>GSHYA</v>
          </cell>
          <cell r="B2054" t="str">
            <v>SHYAMLAL JEENDGAR HUF</v>
          </cell>
          <cell r="C2054" t="str">
            <v>LSCRED</v>
          </cell>
          <cell r="D2054">
            <v>19880</v>
          </cell>
          <cell r="E2054">
            <v>19880</v>
          </cell>
          <cell r="F2054">
            <v>0</v>
          </cell>
        </row>
        <row r="2055">
          <cell r="A2055" t="str">
            <v>GSIDH</v>
          </cell>
          <cell r="B2055" t="str">
            <v>SIDHSHREE COMPUTRONICS PVT LTD</v>
          </cell>
          <cell r="C2055" t="str">
            <v>LSCRED</v>
          </cell>
          <cell r="D2055">
            <v>56900</v>
          </cell>
          <cell r="E2055">
            <v>56900</v>
          </cell>
          <cell r="F2055">
            <v>0</v>
          </cell>
        </row>
        <row r="2056">
          <cell r="A2056" t="str">
            <v>GSINC</v>
          </cell>
          <cell r="B2056" t="str">
            <v>SIGNATURE INC</v>
          </cell>
          <cell r="C2056" t="str">
            <v>LSCRED</v>
          </cell>
          <cell r="D2056">
            <v>7290</v>
          </cell>
          <cell r="E2056">
            <v>7290</v>
          </cell>
          <cell r="F2056">
            <v>0</v>
          </cell>
        </row>
        <row r="2057">
          <cell r="A2057" t="str">
            <v>GA0259</v>
          </cell>
          <cell r="B2057" t="str">
            <v>SILVER LINE EXPRESS</v>
          </cell>
          <cell r="C2057" t="str">
            <v>LSCRED</v>
          </cell>
          <cell r="D2057">
            <v>230959</v>
          </cell>
          <cell r="E2057">
            <v>230959</v>
          </cell>
          <cell r="F2057">
            <v>0</v>
          </cell>
        </row>
        <row r="2058">
          <cell r="A2058" t="str">
            <v>GSIMS</v>
          </cell>
          <cell r="B2058" t="str">
            <v>SIMRAN SINGH HUF</v>
          </cell>
          <cell r="C2058" t="str">
            <v>LSCRED</v>
          </cell>
          <cell r="D2058">
            <v>20660</v>
          </cell>
          <cell r="E2058">
            <v>20660</v>
          </cell>
          <cell r="F2058">
            <v>0</v>
          </cell>
        </row>
        <row r="2059">
          <cell r="A2059" t="str">
            <v>GSINE</v>
          </cell>
          <cell r="B2059" t="str">
            <v>SINE WAVE SOLUTIONS</v>
          </cell>
          <cell r="C2059" t="str">
            <v>LSCRED</v>
          </cell>
          <cell r="D2059">
            <v>142740</v>
          </cell>
          <cell r="E2059">
            <v>142740</v>
          </cell>
          <cell r="F2059">
            <v>0</v>
          </cell>
        </row>
        <row r="2060">
          <cell r="A2060" t="str">
            <v>GSINGH</v>
          </cell>
          <cell r="B2060" t="str">
            <v>SINGH WATCH AGENCY</v>
          </cell>
          <cell r="C2060" t="str">
            <v>LSCRED</v>
          </cell>
          <cell r="D2060">
            <v>3745</v>
          </cell>
          <cell r="E2060">
            <v>3745</v>
          </cell>
          <cell r="F2060">
            <v>0</v>
          </cell>
        </row>
        <row r="2061">
          <cell r="A2061" t="str">
            <v>GSING</v>
          </cell>
          <cell r="B2061" t="str">
            <v>SINGHALSONFORMS</v>
          </cell>
          <cell r="C2061" t="str">
            <v>LSCRED</v>
          </cell>
          <cell r="D2061">
            <v>143241</v>
          </cell>
          <cell r="E2061">
            <v>143241</v>
          </cell>
          <cell r="F2061">
            <v>0</v>
          </cell>
        </row>
        <row r="2062">
          <cell r="A2062" t="str">
            <v>GSITA</v>
          </cell>
          <cell r="B2062" t="str">
            <v>SITARAM SHARMA</v>
          </cell>
          <cell r="C2062" t="str">
            <v>LSCRED</v>
          </cell>
          <cell r="D2062">
            <v>34428</v>
          </cell>
          <cell r="E2062">
            <v>34428</v>
          </cell>
          <cell r="F2062">
            <v>0</v>
          </cell>
        </row>
        <row r="2063">
          <cell r="A2063" t="str">
            <v>GSKFI</v>
          </cell>
          <cell r="B2063" t="str">
            <v>SK FINANCE &amp; INVESTMENT CO.</v>
          </cell>
          <cell r="C2063" t="str">
            <v>LSCRED</v>
          </cell>
          <cell r="D2063">
            <v>42575</v>
          </cell>
          <cell r="E2063">
            <v>42575</v>
          </cell>
          <cell r="F2063">
            <v>0</v>
          </cell>
        </row>
        <row r="2064">
          <cell r="A2064" t="str">
            <v>GSKYP</v>
          </cell>
          <cell r="B2064" t="str">
            <v>SKYLARK PROPERTIES PRIVATE LIMITED</v>
          </cell>
          <cell r="C2064" t="str">
            <v>LSCRED</v>
          </cell>
          <cell r="D2064">
            <v>226470</v>
          </cell>
          <cell r="E2064">
            <v>226470</v>
          </cell>
          <cell r="F2064">
            <v>0</v>
          </cell>
        </row>
        <row r="2065">
          <cell r="A2065" t="str">
            <v>GSMSE</v>
          </cell>
          <cell r="B2065" t="str">
            <v>SMAART SERVE</v>
          </cell>
          <cell r="C2065" t="str">
            <v>LSCRED</v>
          </cell>
          <cell r="D2065">
            <v>24480</v>
          </cell>
          <cell r="E2065">
            <v>24480</v>
          </cell>
          <cell r="F2065">
            <v>0</v>
          </cell>
        </row>
        <row r="2066">
          <cell r="A2066" t="str">
            <v>GAMRA</v>
          </cell>
          <cell r="B2066" t="str">
            <v>SMT. AMRATH KAWAR</v>
          </cell>
          <cell r="C2066" t="str">
            <v>LSCRED</v>
          </cell>
          <cell r="D2066">
            <v>83722</v>
          </cell>
          <cell r="E2066">
            <v>83722</v>
          </cell>
          <cell r="F2066">
            <v>0</v>
          </cell>
        </row>
        <row r="2067">
          <cell r="A2067" t="str">
            <v>GSMTC</v>
          </cell>
          <cell r="B2067" t="str">
            <v>SMT. CHANDRIKA SHARMA</v>
          </cell>
          <cell r="C2067" t="str">
            <v>LSCRED</v>
          </cell>
          <cell r="D2067">
            <v>44114</v>
          </cell>
          <cell r="E2067">
            <v>44114</v>
          </cell>
          <cell r="F2067">
            <v>0</v>
          </cell>
        </row>
        <row r="2068">
          <cell r="A2068" t="str">
            <v>GSKAL</v>
          </cell>
          <cell r="B2068" t="str">
            <v>SMT. KALPNA AMBRE</v>
          </cell>
          <cell r="C2068" t="str">
            <v>LSCRED</v>
          </cell>
          <cell r="D2068">
            <v>55080</v>
          </cell>
          <cell r="E2068">
            <v>55080</v>
          </cell>
          <cell r="F2068">
            <v>0</v>
          </cell>
        </row>
        <row r="2069">
          <cell r="A2069" t="str">
            <v>GSAVA</v>
          </cell>
          <cell r="B2069" t="str">
            <v>SMT. SHANTADEVI VARLANI</v>
          </cell>
          <cell r="C2069" t="str">
            <v>LSCRED</v>
          </cell>
          <cell r="D2069">
            <v>2609</v>
          </cell>
          <cell r="E2069">
            <v>2609</v>
          </cell>
          <cell r="F2069">
            <v>0</v>
          </cell>
        </row>
        <row r="2070">
          <cell r="A2070" t="str">
            <v>GSNEH</v>
          </cell>
          <cell r="B2070" t="str">
            <v>SNEHALATA MAHESH BEDSE PATIL</v>
          </cell>
          <cell r="C2070" t="str">
            <v>LSCRED</v>
          </cell>
          <cell r="D2070">
            <v>27145</v>
          </cell>
          <cell r="E2070">
            <v>27145</v>
          </cell>
          <cell r="F2070">
            <v>0</v>
          </cell>
        </row>
        <row r="2071">
          <cell r="A2071" t="str">
            <v>GSOFI</v>
          </cell>
          <cell r="B2071" t="str">
            <v>SO- FINE PROPERTY</v>
          </cell>
          <cell r="C2071" t="str">
            <v>LSCRED</v>
          </cell>
          <cell r="D2071">
            <v>7574</v>
          </cell>
          <cell r="E2071">
            <v>7574</v>
          </cell>
          <cell r="F2071">
            <v>0</v>
          </cell>
        </row>
        <row r="2072">
          <cell r="A2072" t="str">
            <v>GSOFE</v>
          </cell>
          <cell r="B2072" t="str">
            <v>SOFTEC INDIA</v>
          </cell>
          <cell r="C2072" t="str">
            <v>LSCRED</v>
          </cell>
          <cell r="D2072">
            <v>49025</v>
          </cell>
          <cell r="E2072">
            <v>49025</v>
          </cell>
          <cell r="F2072">
            <v>0</v>
          </cell>
        </row>
        <row r="2073">
          <cell r="A2073" t="str">
            <v>GSOMA</v>
          </cell>
          <cell r="B2073" t="str">
            <v>SOMANI ASSOCIATES</v>
          </cell>
          <cell r="C2073" t="str">
            <v>LSCRED</v>
          </cell>
          <cell r="D2073">
            <v>2534</v>
          </cell>
          <cell r="E2073">
            <v>2534</v>
          </cell>
          <cell r="F2073">
            <v>0</v>
          </cell>
        </row>
        <row r="2074">
          <cell r="A2074" t="str">
            <v>GSRE</v>
          </cell>
          <cell r="B2074" t="str">
            <v>SREE LAKSHMI DATA PRODUCTS</v>
          </cell>
          <cell r="C2074" t="str">
            <v>LSCRED</v>
          </cell>
          <cell r="D2074">
            <v>134</v>
          </cell>
          <cell r="E2074">
            <v>134</v>
          </cell>
          <cell r="F2074">
            <v>0</v>
          </cell>
        </row>
        <row r="2075">
          <cell r="A2075" t="str">
            <v>GSREET</v>
          </cell>
          <cell r="B2075" t="str">
            <v>SREEJEE TRADERS</v>
          </cell>
          <cell r="C2075" t="str">
            <v>LSCRED</v>
          </cell>
          <cell r="D2075">
            <v>22865</v>
          </cell>
          <cell r="E2075">
            <v>22865</v>
          </cell>
          <cell r="F2075">
            <v>0</v>
          </cell>
        </row>
        <row r="2076">
          <cell r="A2076" t="str">
            <v>GSRIB</v>
          </cell>
          <cell r="B2076" t="str">
            <v>SRI BALAJI BUILDERS</v>
          </cell>
          <cell r="C2076" t="str">
            <v>LSCRED</v>
          </cell>
          <cell r="D2076">
            <v>13374</v>
          </cell>
          <cell r="E2076">
            <v>13374</v>
          </cell>
          <cell r="F2076">
            <v>0</v>
          </cell>
        </row>
        <row r="2077">
          <cell r="A2077" t="str">
            <v>GSIRA</v>
          </cell>
          <cell r="B2077" t="str">
            <v>SRI SAI RAM ENTERPRISES</v>
          </cell>
          <cell r="C2077" t="str">
            <v>LSCRED</v>
          </cell>
          <cell r="D2077">
            <v>45394.45</v>
          </cell>
          <cell r="E2077">
            <v>45394.45</v>
          </cell>
          <cell r="F2077">
            <v>0</v>
          </cell>
        </row>
        <row r="2078">
          <cell r="A2078" t="str">
            <v>GSUBHA</v>
          </cell>
          <cell r="B2078" t="str">
            <v>SUBHASH SINGH</v>
          </cell>
          <cell r="C2078" t="str">
            <v>LSCRED</v>
          </cell>
          <cell r="D2078">
            <v>51408</v>
          </cell>
          <cell r="E2078">
            <v>51408</v>
          </cell>
          <cell r="F2078">
            <v>0</v>
          </cell>
        </row>
        <row r="2079">
          <cell r="A2079" t="str">
            <v>GSUBR</v>
          </cell>
          <cell r="B2079" t="str">
            <v>SUBRATA DEBNATH</v>
          </cell>
          <cell r="C2079" t="str">
            <v>LSCRED</v>
          </cell>
          <cell r="D2079">
            <v>123600</v>
          </cell>
          <cell r="E2079">
            <v>123600</v>
          </cell>
          <cell r="F2079">
            <v>0</v>
          </cell>
        </row>
        <row r="2080">
          <cell r="A2080" t="str">
            <v>GSUDR</v>
          </cell>
          <cell r="B2080" t="str">
            <v>SUDHIR JAIN</v>
          </cell>
          <cell r="C2080" t="str">
            <v>LSCRED</v>
          </cell>
          <cell r="D2080">
            <v>2000</v>
          </cell>
          <cell r="E2080">
            <v>2000</v>
          </cell>
          <cell r="F2080">
            <v>0</v>
          </cell>
        </row>
        <row r="2081">
          <cell r="A2081" t="str">
            <v>GSUYA</v>
          </cell>
          <cell r="B2081" t="str">
            <v>SUDHIR YASHWANT JUVEKAR</v>
          </cell>
          <cell r="C2081" t="str">
            <v>LSCRED</v>
          </cell>
          <cell r="D2081">
            <v>55080</v>
          </cell>
          <cell r="E2081">
            <v>55080</v>
          </cell>
          <cell r="F2081">
            <v>0</v>
          </cell>
        </row>
        <row r="2082">
          <cell r="A2082" t="str">
            <v>GSUJA</v>
          </cell>
          <cell r="B2082" t="str">
            <v>SUJATA SHARMA</v>
          </cell>
          <cell r="C2082" t="str">
            <v>LSCRED</v>
          </cell>
          <cell r="D2082">
            <v>61965</v>
          </cell>
          <cell r="E2082">
            <v>61965</v>
          </cell>
          <cell r="F2082">
            <v>0</v>
          </cell>
        </row>
        <row r="2083">
          <cell r="A2083" t="str">
            <v>GSUKV</v>
          </cell>
          <cell r="B2083" t="str">
            <v>SUKHVARSHA MANAGEMENT SERVICES PVT. LTD</v>
          </cell>
          <cell r="C2083" t="str">
            <v>LSCRED</v>
          </cell>
          <cell r="D2083">
            <v>22</v>
          </cell>
          <cell r="E2083">
            <v>22</v>
          </cell>
          <cell r="F2083">
            <v>0</v>
          </cell>
        </row>
        <row r="2084">
          <cell r="A2084" t="str">
            <v>GSUKA</v>
          </cell>
          <cell r="B2084" t="str">
            <v>SUKHVINDER KAUR</v>
          </cell>
          <cell r="C2084" t="str">
            <v>LSCRED</v>
          </cell>
          <cell r="D2084">
            <v>30945</v>
          </cell>
          <cell r="E2084">
            <v>30945</v>
          </cell>
          <cell r="F2084">
            <v>0</v>
          </cell>
        </row>
        <row r="2085">
          <cell r="A2085" t="str">
            <v>GSUMA</v>
          </cell>
          <cell r="B2085" t="str">
            <v>SUMATI VERMA</v>
          </cell>
          <cell r="C2085" t="str">
            <v>LSCRED</v>
          </cell>
          <cell r="D2085">
            <v>6750</v>
          </cell>
          <cell r="E2085">
            <v>6750</v>
          </cell>
          <cell r="F2085">
            <v>0</v>
          </cell>
        </row>
        <row r="2086">
          <cell r="A2086" t="str">
            <v>GSUMD</v>
          </cell>
          <cell r="B2086" t="str">
            <v>SUMEET DEVELOPERS</v>
          </cell>
          <cell r="C2086" t="str">
            <v>LSCRED</v>
          </cell>
          <cell r="D2086">
            <v>147887</v>
          </cell>
          <cell r="E2086">
            <v>147887</v>
          </cell>
          <cell r="F2086">
            <v>0</v>
          </cell>
        </row>
        <row r="2087">
          <cell r="A2087" t="str">
            <v>GSUMIT</v>
          </cell>
          <cell r="B2087" t="str">
            <v>SUMIT ARORA</v>
          </cell>
          <cell r="C2087" t="str">
            <v>LSCRED</v>
          </cell>
          <cell r="D2087">
            <v>97091</v>
          </cell>
          <cell r="E2087">
            <v>97091</v>
          </cell>
          <cell r="F2087">
            <v>0</v>
          </cell>
        </row>
        <row r="2088">
          <cell r="A2088" t="str">
            <v>GSUGR</v>
          </cell>
          <cell r="B2088" t="str">
            <v>SUMIT GROVER</v>
          </cell>
          <cell r="C2088" t="str">
            <v>LSCRED</v>
          </cell>
          <cell r="D2088">
            <v>18594</v>
          </cell>
          <cell r="E2088">
            <v>18594</v>
          </cell>
          <cell r="F2088">
            <v>0</v>
          </cell>
        </row>
        <row r="2089">
          <cell r="A2089" t="str">
            <v>GSUOC</v>
          </cell>
          <cell r="B2089" t="str">
            <v>SUMIT OCHANEY</v>
          </cell>
          <cell r="C2089" t="str">
            <v>LSCRED</v>
          </cell>
          <cell r="D2089">
            <v>165300</v>
          </cell>
          <cell r="E2089">
            <v>165300</v>
          </cell>
          <cell r="F2089">
            <v>0</v>
          </cell>
        </row>
        <row r="2090">
          <cell r="A2090" t="str">
            <v>GSULA</v>
          </cell>
          <cell r="B2090" t="str">
            <v>SUNDER LAL SHARMA</v>
          </cell>
          <cell r="C2090" t="str">
            <v>LSCRED</v>
          </cell>
          <cell r="D2090">
            <v>89505</v>
          </cell>
          <cell r="E2090">
            <v>89505</v>
          </cell>
          <cell r="F2090">
            <v>0</v>
          </cell>
        </row>
        <row r="2091">
          <cell r="A2091" t="str">
            <v>GSUNB</v>
          </cell>
          <cell r="B2091" t="str">
            <v>SUNIL BANSAL</v>
          </cell>
          <cell r="C2091" t="str">
            <v>LSCRED</v>
          </cell>
          <cell r="D2091">
            <v>56487</v>
          </cell>
          <cell r="E2091">
            <v>56487</v>
          </cell>
          <cell r="F2091">
            <v>0</v>
          </cell>
        </row>
        <row r="2092">
          <cell r="A2092" t="str">
            <v>GSUGS</v>
          </cell>
          <cell r="B2092" t="str">
            <v>SUNIL G SETH (HUF)</v>
          </cell>
          <cell r="C2092" t="str">
            <v>LSCRED</v>
          </cell>
          <cell r="D2092">
            <v>70068</v>
          </cell>
          <cell r="E2092">
            <v>70068</v>
          </cell>
          <cell r="F2092">
            <v>0</v>
          </cell>
        </row>
        <row r="2093">
          <cell r="A2093" t="str">
            <v>GSUNL</v>
          </cell>
          <cell r="B2093" t="str">
            <v>SUNIL KUMAR SINGHAL</v>
          </cell>
          <cell r="C2093" t="str">
            <v>LSCRED</v>
          </cell>
          <cell r="D2093">
            <v>25000</v>
          </cell>
          <cell r="E2093">
            <v>25000</v>
          </cell>
          <cell r="F2093">
            <v>0</v>
          </cell>
        </row>
        <row r="2094">
          <cell r="A2094" t="str">
            <v>GSPBA</v>
          </cell>
          <cell r="B2094" t="str">
            <v>SUNIL P. BAGARIA</v>
          </cell>
          <cell r="C2094" t="str">
            <v>LSCRED</v>
          </cell>
          <cell r="D2094">
            <v>459380</v>
          </cell>
          <cell r="E2094">
            <v>459380</v>
          </cell>
          <cell r="F2094">
            <v>0</v>
          </cell>
        </row>
        <row r="2095">
          <cell r="A2095" t="str">
            <v>GSUNN</v>
          </cell>
          <cell r="B2095" t="str">
            <v>SUNNYY COMPUTERS FORMS</v>
          </cell>
          <cell r="C2095" t="str">
            <v>LSCRED</v>
          </cell>
          <cell r="D2095">
            <v>8500</v>
          </cell>
          <cell r="E2095">
            <v>8500</v>
          </cell>
          <cell r="F2095">
            <v>0</v>
          </cell>
        </row>
        <row r="2096">
          <cell r="A2096" t="str">
            <v>GSUNR</v>
          </cell>
          <cell r="B2096" t="str">
            <v>SUNRISE COMPUTERS &amp; NETWORKS</v>
          </cell>
          <cell r="C2096" t="str">
            <v>LSCRED</v>
          </cell>
          <cell r="D2096">
            <v>20000</v>
          </cell>
          <cell r="E2096">
            <v>20000</v>
          </cell>
          <cell r="F2096">
            <v>0</v>
          </cell>
        </row>
        <row r="2097">
          <cell r="A2097" t="str">
            <v>GSURE</v>
          </cell>
          <cell r="B2097" t="str">
            <v>SURENDER PAL SINGH LAMBA</v>
          </cell>
          <cell r="C2097" t="str">
            <v>LSCRED</v>
          </cell>
          <cell r="D2097">
            <v>257403</v>
          </cell>
          <cell r="E2097">
            <v>257403</v>
          </cell>
          <cell r="F2097">
            <v>0</v>
          </cell>
        </row>
        <row r="2098">
          <cell r="A2098" t="str">
            <v>GSCBS</v>
          </cell>
          <cell r="B2098" t="str">
            <v>SURESHCHAND BHAWARLAL SUTALIYA</v>
          </cell>
          <cell r="C2098" t="str">
            <v>LSCRED</v>
          </cell>
          <cell r="D2098">
            <v>82318</v>
          </cell>
          <cell r="E2098">
            <v>82318</v>
          </cell>
          <cell r="F2098">
            <v>0</v>
          </cell>
        </row>
        <row r="2099">
          <cell r="A2099" t="str">
            <v>GSURI</v>
          </cell>
          <cell r="B2099" t="str">
            <v>SURJIT KAUR SEKHON</v>
          </cell>
          <cell r="C2099" t="str">
            <v>LSCRED</v>
          </cell>
          <cell r="D2099">
            <v>15750</v>
          </cell>
          <cell r="E2099">
            <v>15750</v>
          </cell>
          <cell r="F2099">
            <v>0</v>
          </cell>
        </row>
        <row r="2100">
          <cell r="A2100" t="str">
            <v>GSURP</v>
          </cell>
          <cell r="B2100" t="str">
            <v>SURYA PARTAP SINGH</v>
          </cell>
          <cell r="C2100" t="str">
            <v>LSCRED</v>
          </cell>
          <cell r="D2100">
            <v>22164</v>
          </cell>
          <cell r="E2100">
            <v>22164</v>
          </cell>
          <cell r="F2100">
            <v>0</v>
          </cell>
        </row>
        <row r="2101">
          <cell r="A2101" t="str">
            <v>GSPRA</v>
          </cell>
          <cell r="B2101" t="str">
            <v>SUSHIL PRAHLADRAI DHANUKA</v>
          </cell>
          <cell r="C2101" t="str">
            <v>LSCRED</v>
          </cell>
          <cell r="D2101">
            <v>118452</v>
          </cell>
          <cell r="E2101">
            <v>118452</v>
          </cell>
          <cell r="F2101">
            <v>0</v>
          </cell>
        </row>
        <row r="2102">
          <cell r="A2102" t="str">
            <v>GSUSV</v>
          </cell>
          <cell r="B2102" t="str">
            <v>SUSHMA VARSHNEY</v>
          </cell>
          <cell r="C2102" t="str">
            <v>LSCRED</v>
          </cell>
          <cell r="D2102">
            <v>22032</v>
          </cell>
          <cell r="E2102">
            <v>22032</v>
          </cell>
          <cell r="F2102">
            <v>0</v>
          </cell>
        </row>
        <row r="2103">
          <cell r="A2103" t="str">
            <v>GSWAP</v>
          </cell>
          <cell r="B2103" t="str">
            <v>SWAPNA GUNDA</v>
          </cell>
          <cell r="C2103" t="str">
            <v>LSCRED</v>
          </cell>
          <cell r="D2103">
            <v>75097</v>
          </cell>
          <cell r="E2103">
            <v>75097</v>
          </cell>
          <cell r="F2103">
            <v>0</v>
          </cell>
        </row>
        <row r="2104">
          <cell r="A2104" t="str">
            <v>GSWAK</v>
          </cell>
          <cell r="B2104" t="str">
            <v>SWARN KAUR</v>
          </cell>
          <cell r="C2104" t="str">
            <v>LSCRED</v>
          </cell>
          <cell r="D2104">
            <v>51913</v>
          </cell>
          <cell r="E2104">
            <v>51913</v>
          </cell>
          <cell r="F2104">
            <v>0</v>
          </cell>
        </row>
        <row r="2105">
          <cell r="A2105" t="str">
            <v>GSWIS</v>
          </cell>
          <cell r="B2105" t="str">
            <v>SWISS FLYFOT INFOSYS</v>
          </cell>
          <cell r="C2105" t="str">
            <v>LSCRED</v>
          </cell>
          <cell r="D2105">
            <v>1135</v>
          </cell>
          <cell r="E2105">
            <v>1135</v>
          </cell>
          <cell r="F2105">
            <v>0</v>
          </cell>
        </row>
        <row r="2106">
          <cell r="A2106" t="str">
            <v>GSYED</v>
          </cell>
          <cell r="B2106" t="str">
            <v>SYED TAHSEEN HUSSAIN</v>
          </cell>
          <cell r="C2106" t="str">
            <v>LSCRED</v>
          </cell>
          <cell r="D2106">
            <v>115668</v>
          </cell>
          <cell r="E2106">
            <v>115668</v>
          </cell>
          <cell r="F2106">
            <v>0</v>
          </cell>
        </row>
        <row r="2107">
          <cell r="A2107" t="str">
            <v>GS001</v>
          </cell>
          <cell r="B2107" t="str">
            <v>SYNERGY INFONET PVT. LTD.</v>
          </cell>
          <cell r="C2107" t="str">
            <v>LSCRED</v>
          </cell>
          <cell r="D2107">
            <v>14021686.119999999</v>
          </cell>
          <cell r="E2107">
            <v>14021686.119999999</v>
          </cell>
          <cell r="F2107">
            <v>0</v>
          </cell>
        </row>
        <row r="2108">
          <cell r="A2108" t="str">
            <v>GL001</v>
          </cell>
          <cell r="B2108" t="str">
            <v>SYNERGY SOFTWARES LIMITED</v>
          </cell>
          <cell r="C2108" t="str">
            <v>LSCRED</v>
          </cell>
          <cell r="D2108">
            <v>425154</v>
          </cell>
          <cell r="E2108">
            <v>425154</v>
          </cell>
          <cell r="F2108">
            <v>0</v>
          </cell>
        </row>
        <row r="2109">
          <cell r="A2109" t="str">
            <v>GSYSTR</v>
          </cell>
          <cell r="B2109" t="str">
            <v>SYSTRON ELECTRONICS PRIVATE LIMITED</v>
          </cell>
          <cell r="C2109" t="str">
            <v>LSCRED</v>
          </cell>
          <cell r="D2109">
            <v>91831</v>
          </cell>
          <cell r="E2109">
            <v>91831</v>
          </cell>
          <cell r="F2109">
            <v>0</v>
          </cell>
        </row>
        <row r="2110">
          <cell r="A2110" t="str">
            <v>GTALI</v>
          </cell>
          <cell r="B2110" t="str">
            <v>TALISMA CORPORATION PVT. LTD</v>
          </cell>
          <cell r="C2110" t="str">
            <v>LSCRED</v>
          </cell>
          <cell r="D2110">
            <v>413780</v>
          </cell>
          <cell r="E2110">
            <v>413780</v>
          </cell>
          <cell r="F2110">
            <v>0</v>
          </cell>
        </row>
        <row r="2111">
          <cell r="A2111" t="str">
            <v>GTANI</v>
          </cell>
          <cell r="B2111" t="str">
            <v>TANIA SETH</v>
          </cell>
          <cell r="C2111" t="str">
            <v>LSCRED</v>
          </cell>
          <cell r="D2111">
            <v>35808</v>
          </cell>
          <cell r="E2111">
            <v>35808</v>
          </cell>
          <cell r="F2111">
            <v>0</v>
          </cell>
        </row>
        <row r="2112">
          <cell r="A2112" t="str">
            <v>GTAPS</v>
          </cell>
          <cell r="B2112" t="str">
            <v>TAPSA TRADERS PVT LTD</v>
          </cell>
          <cell r="C2112" t="str">
            <v>LSCRED</v>
          </cell>
          <cell r="D2112">
            <v>376002</v>
          </cell>
          <cell r="E2112">
            <v>376002</v>
          </cell>
          <cell r="F2112">
            <v>0</v>
          </cell>
        </row>
        <row r="2113">
          <cell r="A2113" t="str">
            <v>GTARA</v>
          </cell>
          <cell r="B2113" t="str">
            <v>TARA CHAND AGRAWAL</v>
          </cell>
          <cell r="C2113" t="str">
            <v>LSCRED</v>
          </cell>
          <cell r="D2113">
            <v>561</v>
          </cell>
          <cell r="E2113">
            <v>561</v>
          </cell>
          <cell r="F2113">
            <v>0</v>
          </cell>
        </row>
        <row r="2114">
          <cell r="A2114" t="str">
            <v>GTASS</v>
          </cell>
          <cell r="B2114" t="str">
            <v>TASK STAFFING SOLUTIONS PVT. LTD.</v>
          </cell>
          <cell r="C2114" t="str">
            <v>LSCRED</v>
          </cell>
          <cell r="D2114">
            <v>4687</v>
          </cell>
          <cell r="E2114">
            <v>4687</v>
          </cell>
          <cell r="F2114">
            <v>0</v>
          </cell>
        </row>
        <row r="2115">
          <cell r="A2115" t="str">
            <v>GTEAM</v>
          </cell>
          <cell r="B2115" t="str">
            <v>TEAMLEASE SERVICES PRIVATE LIMITED</v>
          </cell>
          <cell r="C2115" t="str">
            <v>LSCRED</v>
          </cell>
          <cell r="D2115">
            <v>816</v>
          </cell>
          <cell r="E2115">
            <v>816</v>
          </cell>
          <cell r="F2115">
            <v>0</v>
          </cell>
        </row>
        <row r="2116">
          <cell r="A2116" t="str">
            <v>GTECHC</v>
          </cell>
          <cell r="B2116" t="str">
            <v>TECHNOFREEZ CORPORATION</v>
          </cell>
          <cell r="C2116" t="str">
            <v>LSCRED</v>
          </cell>
          <cell r="D2116">
            <v>987</v>
          </cell>
          <cell r="E2116">
            <v>987</v>
          </cell>
          <cell r="F2116">
            <v>0</v>
          </cell>
        </row>
        <row r="2117">
          <cell r="A2117" t="str">
            <v>GTEIL</v>
          </cell>
          <cell r="B2117" t="str">
            <v>TELEVISION EIGHTEEN INDIA LTD.</v>
          </cell>
          <cell r="C2117" t="str">
            <v>LSCRED</v>
          </cell>
          <cell r="D2117">
            <v>2013282</v>
          </cell>
          <cell r="E2117">
            <v>2013282</v>
          </cell>
          <cell r="F2117">
            <v>0</v>
          </cell>
        </row>
        <row r="2118">
          <cell r="A2118" t="str">
            <v>GTHEC</v>
          </cell>
          <cell r="B2118" t="str">
            <v>THE CAPITAL STATE AGNECY</v>
          </cell>
          <cell r="C2118" t="str">
            <v>LSCRED</v>
          </cell>
          <cell r="D2118">
            <v>247950</v>
          </cell>
          <cell r="E2118">
            <v>247950</v>
          </cell>
          <cell r="F2118">
            <v>0</v>
          </cell>
        </row>
        <row r="2119">
          <cell r="A2119" t="str">
            <v>GTHER</v>
          </cell>
          <cell r="B2119" t="str">
            <v>THE CREATION</v>
          </cell>
          <cell r="C2119" t="str">
            <v>LSCRED</v>
          </cell>
          <cell r="D2119">
            <v>21214</v>
          </cell>
          <cell r="E2119">
            <v>21214</v>
          </cell>
          <cell r="F2119">
            <v>0</v>
          </cell>
        </row>
        <row r="2120">
          <cell r="A2120" t="str">
            <v>GTHNE</v>
          </cell>
          <cell r="B2120" t="str">
            <v>THE NEGOTIATOR</v>
          </cell>
          <cell r="C2120" t="str">
            <v>LSCRED</v>
          </cell>
          <cell r="D2120">
            <v>6032</v>
          </cell>
          <cell r="E2120">
            <v>6032</v>
          </cell>
          <cell r="F2120">
            <v>0</v>
          </cell>
        </row>
        <row r="2121">
          <cell r="A2121" t="str">
            <v>GTILAK</v>
          </cell>
          <cell r="B2121" t="str">
            <v>TILAK RAJ BHASIN</v>
          </cell>
          <cell r="C2121" t="str">
            <v>LSCRED</v>
          </cell>
          <cell r="D2121">
            <v>30600</v>
          </cell>
          <cell r="E2121">
            <v>30600</v>
          </cell>
          <cell r="F2121">
            <v>0</v>
          </cell>
        </row>
        <row r="2122">
          <cell r="A2122" t="str">
            <v>GTIPA</v>
          </cell>
          <cell r="B2122" t="str">
            <v>TIRUPATI BALAJI BUILD CON PVT. LTD</v>
          </cell>
          <cell r="C2122" t="str">
            <v>LSCRED</v>
          </cell>
          <cell r="D2122">
            <v>70890</v>
          </cell>
          <cell r="E2122">
            <v>70890</v>
          </cell>
          <cell r="F2122">
            <v>0</v>
          </cell>
        </row>
        <row r="2123">
          <cell r="A2123" t="str">
            <v>GTIRP</v>
          </cell>
          <cell r="B2123" t="str">
            <v>TIRUPATI PROJECTS</v>
          </cell>
          <cell r="C2123" t="str">
            <v>LSCRED</v>
          </cell>
          <cell r="D2123">
            <v>392373</v>
          </cell>
          <cell r="E2123">
            <v>392373</v>
          </cell>
          <cell r="F2123">
            <v>0</v>
          </cell>
        </row>
        <row r="2124">
          <cell r="A2124" t="str">
            <v>GTRAM</v>
          </cell>
          <cell r="B2124" t="str">
            <v>TRAMMELL CROW MEGHRAJ PVT. LTD</v>
          </cell>
          <cell r="C2124" t="str">
            <v>LSCRED</v>
          </cell>
          <cell r="D2124">
            <v>36000</v>
          </cell>
          <cell r="E2124">
            <v>36000</v>
          </cell>
          <cell r="F2124">
            <v>0</v>
          </cell>
        </row>
        <row r="2125">
          <cell r="A2125" t="str">
            <v>GTRAP</v>
          </cell>
          <cell r="B2125" t="str">
            <v>TRANSPACIFIC TRAVEL SERVICES P LTD.</v>
          </cell>
          <cell r="C2125" t="str">
            <v>LSCRED</v>
          </cell>
          <cell r="D2125">
            <v>66477</v>
          </cell>
          <cell r="E2125">
            <v>66477</v>
          </cell>
          <cell r="F2125">
            <v>0</v>
          </cell>
        </row>
        <row r="2126">
          <cell r="A2126" t="str">
            <v>GTRIC</v>
          </cell>
          <cell r="B2126" t="str">
            <v>TRICAD COMPUTERS</v>
          </cell>
          <cell r="C2126" t="str">
            <v>LSCRED</v>
          </cell>
          <cell r="D2126">
            <v>4550</v>
          </cell>
          <cell r="E2126">
            <v>4550</v>
          </cell>
          <cell r="F2126">
            <v>0</v>
          </cell>
        </row>
        <row r="2127">
          <cell r="A2127" t="str">
            <v>GTRIA</v>
          </cell>
          <cell r="B2127" t="str">
            <v>TRIDENT AUTOMOBILES PVT LTD</v>
          </cell>
          <cell r="C2127" t="str">
            <v>LSCRED</v>
          </cell>
          <cell r="D2127">
            <v>66813</v>
          </cell>
          <cell r="E2127">
            <v>66813</v>
          </cell>
          <cell r="F2127">
            <v>0</v>
          </cell>
        </row>
        <row r="2128">
          <cell r="A2128" t="str">
            <v>GTRIM</v>
          </cell>
          <cell r="B2128" t="str">
            <v>TRIDENT MANAGEMENT GROUP</v>
          </cell>
          <cell r="C2128" t="str">
            <v>LSCRED</v>
          </cell>
          <cell r="D2128">
            <v>15885</v>
          </cell>
          <cell r="E2128">
            <v>15885</v>
          </cell>
          <cell r="F2128">
            <v>0</v>
          </cell>
        </row>
        <row r="2129">
          <cell r="A2129" t="str">
            <v>GTRPD</v>
          </cell>
          <cell r="B2129" t="str">
            <v>TRUE POWER DEVICES</v>
          </cell>
          <cell r="C2129" t="str">
            <v>LSCRED</v>
          </cell>
          <cell r="D2129">
            <v>24300</v>
          </cell>
          <cell r="E2129">
            <v>24300</v>
          </cell>
          <cell r="F2129">
            <v>0</v>
          </cell>
        </row>
        <row r="2130">
          <cell r="A2130" t="str">
            <v>GTHPL</v>
          </cell>
          <cell r="B2130" t="str">
            <v>TRUWORTH HOLDINGS PVT LTD</v>
          </cell>
          <cell r="C2130" t="str">
            <v>LSCRED</v>
          </cell>
          <cell r="D2130">
            <v>121209</v>
          </cell>
          <cell r="E2130">
            <v>121209</v>
          </cell>
          <cell r="F2130">
            <v>0</v>
          </cell>
        </row>
        <row r="2131">
          <cell r="A2131" t="str">
            <v>GTIPL</v>
          </cell>
          <cell r="B2131" t="str">
            <v>TRUWORTH IMPEX PVT LTD</v>
          </cell>
          <cell r="C2131" t="str">
            <v>LSCRED</v>
          </cell>
          <cell r="D2131">
            <v>100711</v>
          </cell>
          <cell r="E2131">
            <v>100711</v>
          </cell>
          <cell r="F2131">
            <v>0</v>
          </cell>
        </row>
        <row r="2132">
          <cell r="A2132" t="str">
            <v>GUCON</v>
          </cell>
          <cell r="B2132" t="str">
            <v>UCON BUILDERS &amp; DEVELOPERS</v>
          </cell>
          <cell r="C2132" t="str">
            <v>LSCRED</v>
          </cell>
          <cell r="D2132">
            <v>19995</v>
          </cell>
          <cell r="E2132">
            <v>19995</v>
          </cell>
          <cell r="F2132">
            <v>0</v>
          </cell>
        </row>
        <row r="2133">
          <cell r="A2133" t="str">
            <v>GUDSI</v>
          </cell>
          <cell r="B2133" t="str">
            <v>UDAYSINGH DALPATSINGH SOLANKI</v>
          </cell>
          <cell r="C2133" t="str">
            <v>LSCRED</v>
          </cell>
          <cell r="D2133">
            <v>15028</v>
          </cell>
          <cell r="E2133">
            <v>15028</v>
          </cell>
          <cell r="F2133">
            <v>0</v>
          </cell>
        </row>
        <row r="2134">
          <cell r="A2134" t="str">
            <v>GULTI</v>
          </cell>
          <cell r="B2134" t="str">
            <v>ULTIMATE SYSTEMS &amp; SOLUTIONS</v>
          </cell>
          <cell r="C2134" t="str">
            <v>LSCRED</v>
          </cell>
          <cell r="D2134">
            <v>8375</v>
          </cell>
          <cell r="E2134">
            <v>8375</v>
          </cell>
          <cell r="F2134">
            <v>0</v>
          </cell>
        </row>
        <row r="2135">
          <cell r="A2135" t="str">
            <v>GUMEE</v>
          </cell>
          <cell r="B2135" t="str">
            <v>UMEEMA KUTUBUDDIN DHUNDIYAWALA</v>
          </cell>
          <cell r="C2135" t="str">
            <v>LSCRED</v>
          </cell>
          <cell r="D2135">
            <v>26816</v>
          </cell>
          <cell r="E2135">
            <v>26816</v>
          </cell>
          <cell r="F2135">
            <v>0</v>
          </cell>
        </row>
        <row r="2136">
          <cell r="A2136" t="str">
            <v>GUNIP</v>
          </cell>
          <cell r="B2136" t="str">
            <v>UNIVERSAL PLACEMENT</v>
          </cell>
          <cell r="C2136" t="str">
            <v>LSCRED</v>
          </cell>
          <cell r="D2136">
            <v>371</v>
          </cell>
          <cell r="E2136">
            <v>371</v>
          </cell>
          <cell r="F2136">
            <v>0</v>
          </cell>
        </row>
        <row r="2137">
          <cell r="A2137" t="str">
            <v>GUPHA</v>
          </cell>
          <cell r="B2137" t="str">
            <v>UPHAR COMMUNIACTION</v>
          </cell>
          <cell r="C2137" t="str">
            <v>LSCRED</v>
          </cell>
          <cell r="D2137">
            <v>30719</v>
          </cell>
          <cell r="E2137">
            <v>30719</v>
          </cell>
          <cell r="F2137">
            <v>0</v>
          </cell>
        </row>
        <row r="2138">
          <cell r="A2138" t="str">
            <v>GUPKAD</v>
          </cell>
          <cell r="B2138" t="str">
            <v>UPKAR DEEP SINGH (HUF)</v>
          </cell>
          <cell r="C2138" t="str">
            <v>LSCRED</v>
          </cell>
          <cell r="D2138">
            <v>17901</v>
          </cell>
          <cell r="E2138">
            <v>17901</v>
          </cell>
          <cell r="F2138">
            <v>0</v>
          </cell>
        </row>
        <row r="2139">
          <cell r="A2139" t="str">
            <v>GUINT</v>
          </cell>
          <cell r="B2139" t="str">
            <v>USHA INTERNATIONAL LTD.</v>
          </cell>
          <cell r="C2139" t="str">
            <v>LSCRED</v>
          </cell>
          <cell r="D2139">
            <v>86454</v>
          </cell>
          <cell r="E2139">
            <v>86454</v>
          </cell>
          <cell r="F2139">
            <v>0</v>
          </cell>
        </row>
        <row r="2140">
          <cell r="A2140" t="str">
            <v>GUSHP</v>
          </cell>
          <cell r="B2140" t="str">
            <v>USHA PHOTO CENTRA</v>
          </cell>
          <cell r="C2140" t="str">
            <v>LSCRED</v>
          </cell>
          <cell r="D2140">
            <v>32278</v>
          </cell>
          <cell r="E2140">
            <v>32278</v>
          </cell>
          <cell r="F2140">
            <v>0</v>
          </cell>
        </row>
        <row r="2141">
          <cell r="A2141" t="str">
            <v>GVBEN</v>
          </cell>
          <cell r="B2141" t="str">
            <v>V B ENTERPRISES</v>
          </cell>
          <cell r="C2141" t="str">
            <v>LSCRED</v>
          </cell>
          <cell r="D2141">
            <v>58800</v>
          </cell>
          <cell r="E2141">
            <v>58800</v>
          </cell>
          <cell r="F2141">
            <v>0</v>
          </cell>
        </row>
        <row r="2142">
          <cell r="A2142" t="str">
            <v>GVKSH</v>
          </cell>
          <cell r="B2142" t="str">
            <v>V K SHARMA</v>
          </cell>
          <cell r="C2142" t="str">
            <v>LSCRED</v>
          </cell>
          <cell r="D2142">
            <v>7028</v>
          </cell>
          <cell r="E2142">
            <v>7028</v>
          </cell>
          <cell r="F2142">
            <v>0</v>
          </cell>
        </row>
        <row r="2143">
          <cell r="A2143" t="str">
            <v>GVSMA</v>
          </cell>
          <cell r="B2143" t="str">
            <v>V S MAINTENANCE SERVICES PVT LTD</v>
          </cell>
          <cell r="C2143" t="str">
            <v>LSCRED</v>
          </cell>
          <cell r="D2143">
            <v>128402</v>
          </cell>
          <cell r="E2143">
            <v>128402</v>
          </cell>
          <cell r="F2143">
            <v>0</v>
          </cell>
        </row>
        <row r="2144">
          <cell r="A2144" t="str">
            <v>GVMTH</v>
          </cell>
          <cell r="B2144" t="str">
            <v>V. M. THAKKAR (HUF)</v>
          </cell>
          <cell r="C2144" t="str">
            <v>LSCRED</v>
          </cell>
          <cell r="D2144">
            <v>24932</v>
          </cell>
          <cell r="E2144">
            <v>24932</v>
          </cell>
          <cell r="F2144">
            <v>0</v>
          </cell>
        </row>
        <row r="2145">
          <cell r="A2145" t="str">
            <v>GVSIN</v>
          </cell>
          <cell r="B2145" t="str">
            <v>V. S. INFOTECH</v>
          </cell>
          <cell r="C2145" t="str">
            <v>LSCRED</v>
          </cell>
          <cell r="D2145">
            <v>23450</v>
          </cell>
          <cell r="E2145">
            <v>23450</v>
          </cell>
          <cell r="F2145">
            <v>0</v>
          </cell>
        </row>
        <row r="2146">
          <cell r="A2146" t="str">
            <v>GVSRS</v>
          </cell>
          <cell r="B2146" t="str">
            <v>V. S. R. SAINADHA REDDY</v>
          </cell>
          <cell r="C2146" t="str">
            <v>LSCRED</v>
          </cell>
          <cell r="D2146">
            <v>1750</v>
          </cell>
          <cell r="E2146">
            <v>1750</v>
          </cell>
          <cell r="F2146">
            <v>0</v>
          </cell>
        </row>
        <row r="2147">
          <cell r="A2147" t="str">
            <v>GVAIB</v>
          </cell>
          <cell r="B2147" t="str">
            <v>VAIBHAV ENTERPRISES</v>
          </cell>
          <cell r="C2147" t="str">
            <v>LSCRED</v>
          </cell>
          <cell r="D2147">
            <v>10313</v>
          </cell>
          <cell r="E2147">
            <v>10313</v>
          </cell>
          <cell r="F2147">
            <v>0</v>
          </cell>
        </row>
        <row r="2148">
          <cell r="A2148" t="str">
            <v>GVAIN</v>
          </cell>
          <cell r="B2148" t="str">
            <v>VAISHNO INFOCOM- EZYNET</v>
          </cell>
          <cell r="C2148" t="str">
            <v>LSCRED</v>
          </cell>
          <cell r="D2148">
            <v>196</v>
          </cell>
          <cell r="E2148">
            <v>196</v>
          </cell>
          <cell r="F2148">
            <v>0</v>
          </cell>
        </row>
        <row r="2149">
          <cell r="A2149" t="str">
            <v>GVAND</v>
          </cell>
          <cell r="B2149" t="str">
            <v>VANDANA JEENDGAR</v>
          </cell>
          <cell r="C2149" t="str">
            <v>LSCRED</v>
          </cell>
          <cell r="D2149">
            <v>19880</v>
          </cell>
          <cell r="E2149">
            <v>19880</v>
          </cell>
          <cell r="F2149">
            <v>0</v>
          </cell>
        </row>
        <row r="2150">
          <cell r="A2150" t="str">
            <v>GVANS</v>
          </cell>
          <cell r="B2150" t="str">
            <v>VANSAL AGENCIES</v>
          </cell>
          <cell r="C2150" t="str">
            <v>LSCRED</v>
          </cell>
          <cell r="D2150">
            <v>15950</v>
          </cell>
          <cell r="E2150">
            <v>15950</v>
          </cell>
          <cell r="F2150">
            <v>0</v>
          </cell>
        </row>
        <row r="2151">
          <cell r="A2151" t="str">
            <v>GVARE</v>
          </cell>
          <cell r="B2151" t="str">
            <v>VARDHMAN ESTATES LTD.</v>
          </cell>
          <cell r="C2151" t="str">
            <v>LSCRED</v>
          </cell>
          <cell r="D2151">
            <v>301768</v>
          </cell>
          <cell r="E2151">
            <v>301768</v>
          </cell>
          <cell r="F2151">
            <v>0</v>
          </cell>
        </row>
        <row r="2152">
          <cell r="A2152" t="str">
            <v>GVEDM</v>
          </cell>
          <cell r="B2152" t="str">
            <v>VED MISHRA</v>
          </cell>
          <cell r="C2152" t="str">
            <v>LSCRED</v>
          </cell>
          <cell r="D2152">
            <v>5032</v>
          </cell>
          <cell r="E2152">
            <v>5032</v>
          </cell>
          <cell r="F2152">
            <v>0</v>
          </cell>
        </row>
        <row r="2153">
          <cell r="A2153" t="str">
            <v>GVEEA</v>
          </cell>
          <cell r="B2153" t="str">
            <v>VEENA ANIL SHETH</v>
          </cell>
          <cell r="C2153" t="str">
            <v>LSCRED</v>
          </cell>
          <cell r="D2153">
            <v>88898</v>
          </cell>
          <cell r="E2153">
            <v>88898</v>
          </cell>
          <cell r="F2153">
            <v>0</v>
          </cell>
        </row>
        <row r="2154">
          <cell r="A2154" t="str">
            <v>GVEEN</v>
          </cell>
          <cell r="B2154" t="str">
            <v>VEENA ARORA</v>
          </cell>
          <cell r="C2154" t="str">
            <v>LSCRED</v>
          </cell>
          <cell r="D2154">
            <v>57048</v>
          </cell>
          <cell r="E2154">
            <v>57048</v>
          </cell>
          <cell r="F2154">
            <v>0</v>
          </cell>
        </row>
        <row r="2155">
          <cell r="A2155" t="str">
            <v>GVENP</v>
          </cell>
          <cell r="B2155" t="str">
            <v>VEENA NANDKUMAR PAPAIYA</v>
          </cell>
          <cell r="C2155" t="str">
            <v>LSCRED</v>
          </cell>
          <cell r="D2155">
            <v>36257</v>
          </cell>
          <cell r="E2155">
            <v>36257</v>
          </cell>
          <cell r="F2155">
            <v>0</v>
          </cell>
        </row>
        <row r="2156">
          <cell r="A2156" t="str">
            <v>GVENR</v>
          </cell>
          <cell r="B2156" t="str">
            <v>VEENA RAJENDRA MANDAVIYA</v>
          </cell>
          <cell r="C2156" t="str">
            <v>LSCRED</v>
          </cell>
          <cell r="D2156">
            <v>123750</v>
          </cell>
          <cell r="E2156">
            <v>123750</v>
          </cell>
          <cell r="F2156">
            <v>0</v>
          </cell>
        </row>
        <row r="2157">
          <cell r="A2157" t="str">
            <v>GVENU</v>
          </cell>
          <cell r="B2157" t="str">
            <v>VENUS THAKRAL</v>
          </cell>
          <cell r="C2157" t="str">
            <v>LSCRED</v>
          </cell>
          <cell r="D2157">
            <v>93445</v>
          </cell>
          <cell r="E2157">
            <v>93445</v>
          </cell>
          <cell r="F2157">
            <v>0</v>
          </cell>
        </row>
        <row r="2158">
          <cell r="A2158" t="str">
            <v>GVETR</v>
          </cell>
          <cell r="B2158" t="str">
            <v>VETRAG MONEY MANAGEMENT PVT. LTD.</v>
          </cell>
          <cell r="C2158" t="str">
            <v>LSCRED</v>
          </cell>
          <cell r="D2158">
            <v>111078</v>
          </cell>
          <cell r="E2158">
            <v>111078</v>
          </cell>
          <cell r="F2158">
            <v>0</v>
          </cell>
        </row>
        <row r="2159">
          <cell r="A2159" t="str">
            <v>GVIAR</v>
          </cell>
          <cell r="B2159" t="str">
            <v>VIBHA ARORA</v>
          </cell>
          <cell r="C2159" t="str">
            <v>LSCRED</v>
          </cell>
          <cell r="D2159">
            <v>30424</v>
          </cell>
          <cell r="E2159">
            <v>30424</v>
          </cell>
          <cell r="F2159">
            <v>0</v>
          </cell>
        </row>
        <row r="2160">
          <cell r="A2160" t="str">
            <v>GVIDI</v>
          </cell>
          <cell r="B2160" t="str">
            <v>VIDIA WATI</v>
          </cell>
          <cell r="C2160" t="str">
            <v>LSCRED</v>
          </cell>
          <cell r="D2160">
            <v>14431</v>
          </cell>
          <cell r="E2160">
            <v>14431</v>
          </cell>
          <cell r="F2160">
            <v>0</v>
          </cell>
        </row>
        <row r="2161">
          <cell r="A2161" t="str">
            <v>GVYAG</v>
          </cell>
          <cell r="B2161" t="str">
            <v>VIJAY AGGARWAL</v>
          </cell>
          <cell r="C2161" t="str">
            <v>LSCRED</v>
          </cell>
          <cell r="D2161">
            <v>75735</v>
          </cell>
          <cell r="E2161">
            <v>75735</v>
          </cell>
          <cell r="F2161">
            <v>0</v>
          </cell>
        </row>
        <row r="2162">
          <cell r="A2162" t="str">
            <v>GVIKH</v>
          </cell>
          <cell r="B2162" t="str">
            <v>VIJAY KHALIYA</v>
          </cell>
          <cell r="C2162" t="str">
            <v>LSCRED</v>
          </cell>
          <cell r="D2162">
            <v>34578</v>
          </cell>
          <cell r="E2162">
            <v>34578</v>
          </cell>
          <cell r="F2162">
            <v>0</v>
          </cell>
        </row>
        <row r="2163">
          <cell r="A2163" t="str">
            <v>GVKHA</v>
          </cell>
          <cell r="B2163" t="str">
            <v>VIJAY KHANNA (HUF)</v>
          </cell>
          <cell r="C2163" t="str">
            <v>LSCRED</v>
          </cell>
          <cell r="D2163">
            <v>127322</v>
          </cell>
          <cell r="E2163">
            <v>127322</v>
          </cell>
          <cell r="F2163">
            <v>0</v>
          </cell>
        </row>
        <row r="2164">
          <cell r="A2164" t="str">
            <v>GVIAG</v>
          </cell>
          <cell r="B2164" t="str">
            <v>VIJAY KUMAR AGARWAL</v>
          </cell>
          <cell r="C2164" t="str">
            <v>LSCRED</v>
          </cell>
          <cell r="D2164">
            <v>26082</v>
          </cell>
          <cell r="E2164">
            <v>26082</v>
          </cell>
          <cell r="F2164">
            <v>0</v>
          </cell>
        </row>
        <row r="2165">
          <cell r="A2165" t="str">
            <v>GVIJM</v>
          </cell>
          <cell r="B2165" t="str">
            <v>VIJAY KUMAR MANCHANDA</v>
          </cell>
          <cell r="C2165" t="str">
            <v>LSCRED</v>
          </cell>
          <cell r="D2165">
            <v>45900</v>
          </cell>
          <cell r="E2165">
            <v>45900</v>
          </cell>
          <cell r="F2165">
            <v>0</v>
          </cell>
        </row>
        <row r="2166">
          <cell r="A2166" t="str">
            <v>GVIOC</v>
          </cell>
          <cell r="B2166" t="str">
            <v>VIJAYETA OCHANEY</v>
          </cell>
          <cell r="C2166" t="str">
            <v>LSCRED</v>
          </cell>
          <cell r="D2166">
            <v>165300</v>
          </cell>
          <cell r="E2166">
            <v>165300</v>
          </cell>
          <cell r="F2166">
            <v>0</v>
          </cell>
        </row>
        <row r="2167">
          <cell r="A2167" t="str">
            <v>GVKAL</v>
          </cell>
          <cell r="B2167" t="str">
            <v>VIKAS KALRA</v>
          </cell>
          <cell r="C2167" t="str">
            <v>LSCRED</v>
          </cell>
          <cell r="D2167">
            <v>60526</v>
          </cell>
          <cell r="E2167">
            <v>60526</v>
          </cell>
          <cell r="F2167">
            <v>0</v>
          </cell>
        </row>
        <row r="2168">
          <cell r="A2168" t="str">
            <v>GVIKS</v>
          </cell>
          <cell r="B2168" t="str">
            <v>VIKAS KHATTAR</v>
          </cell>
          <cell r="C2168" t="str">
            <v>LSCRED</v>
          </cell>
          <cell r="D2168">
            <v>46818</v>
          </cell>
          <cell r="E2168">
            <v>46818</v>
          </cell>
          <cell r="F2168">
            <v>0</v>
          </cell>
        </row>
        <row r="2169">
          <cell r="A2169" t="str">
            <v>GVIKB</v>
          </cell>
          <cell r="B2169" t="str">
            <v>VIKRAM BAHADUR SINGH</v>
          </cell>
          <cell r="C2169" t="str">
            <v>LSCRED</v>
          </cell>
          <cell r="D2169">
            <v>21720</v>
          </cell>
          <cell r="E2169">
            <v>21720</v>
          </cell>
          <cell r="F2169">
            <v>0</v>
          </cell>
        </row>
        <row r="2170">
          <cell r="A2170" t="str">
            <v>GVIGO</v>
          </cell>
          <cell r="B2170" t="str">
            <v>VIKRAM GOGIA</v>
          </cell>
          <cell r="C2170" t="str">
            <v>LSCRED</v>
          </cell>
          <cell r="D2170">
            <v>1076</v>
          </cell>
          <cell r="E2170">
            <v>1076</v>
          </cell>
          <cell r="F2170">
            <v>0</v>
          </cell>
        </row>
        <row r="2171">
          <cell r="A2171" t="str">
            <v>GVIKG</v>
          </cell>
          <cell r="B2171" t="str">
            <v>VIKRAM GOYAL</v>
          </cell>
          <cell r="C2171" t="str">
            <v>LSCRED</v>
          </cell>
          <cell r="D2171">
            <v>53550</v>
          </cell>
          <cell r="E2171">
            <v>53550</v>
          </cell>
          <cell r="F2171">
            <v>0</v>
          </cell>
        </row>
        <row r="2172">
          <cell r="A2172" t="str">
            <v>GVIML</v>
          </cell>
          <cell r="B2172" t="str">
            <v>VIMLA GOENKA</v>
          </cell>
          <cell r="C2172" t="str">
            <v>LSCRED</v>
          </cell>
          <cell r="D2172">
            <v>245320</v>
          </cell>
          <cell r="E2172">
            <v>245320</v>
          </cell>
          <cell r="F2172">
            <v>0</v>
          </cell>
        </row>
        <row r="2173">
          <cell r="A2173" t="str">
            <v>GVINY</v>
          </cell>
          <cell r="B2173" t="str">
            <v>VINAY CHAUHAN</v>
          </cell>
          <cell r="C2173" t="str">
            <v>LSCRED</v>
          </cell>
          <cell r="D2173">
            <v>8415</v>
          </cell>
          <cell r="E2173">
            <v>8415</v>
          </cell>
          <cell r="F2173">
            <v>0</v>
          </cell>
        </row>
        <row r="2174">
          <cell r="A2174" t="str">
            <v>GVINOD</v>
          </cell>
          <cell r="B2174" t="str">
            <v>VINOD KUMAR COFFEE</v>
          </cell>
          <cell r="C2174" t="str">
            <v>LSCRED</v>
          </cell>
          <cell r="D2174">
            <v>42425</v>
          </cell>
          <cell r="E2174">
            <v>42425</v>
          </cell>
          <cell r="F2174">
            <v>0</v>
          </cell>
        </row>
        <row r="2175">
          <cell r="A2175" t="str">
            <v>GVINO</v>
          </cell>
          <cell r="B2175" t="str">
            <v>VINOD KUMAR GUPTA</v>
          </cell>
          <cell r="C2175" t="str">
            <v>LSCRED</v>
          </cell>
          <cell r="D2175">
            <v>502940</v>
          </cell>
          <cell r="E2175">
            <v>502940</v>
          </cell>
          <cell r="F2175">
            <v>0</v>
          </cell>
        </row>
        <row r="2176">
          <cell r="A2176" t="str">
            <v>GVINSH</v>
          </cell>
          <cell r="B2176" t="str">
            <v>VINOD SHARMA</v>
          </cell>
          <cell r="C2176" t="str">
            <v>LSCRED</v>
          </cell>
          <cell r="D2176">
            <v>8415</v>
          </cell>
          <cell r="E2176">
            <v>8415</v>
          </cell>
          <cell r="F2176">
            <v>0</v>
          </cell>
        </row>
        <row r="2177">
          <cell r="A2177" t="str">
            <v>GVINU</v>
          </cell>
          <cell r="B2177" t="str">
            <v>VINUBHAI MANGANLAL THAKKAR</v>
          </cell>
          <cell r="C2177" t="str">
            <v>LSCRED</v>
          </cell>
          <cell r="D2177">
            <v>24932</v>
          </cell>
          <cell r="E2177">
            <v>24932</v>
          </cell>
          <cell r="F2177">
            <v>0</v>
          </cell>
        </row>
        <row r="2178">
          <cell r="A2178" t="str">
            <v>GVIAH</v>
          </cell>
          <cell r="B2178" t="str">
            <v>VINYAK AHUJA</v>
          </cell>
          <cell r="C2178" t="str">
            <v>LSCRED</v>
          </cell>
          <cell r="D2178">
            <v>12600</v>
          </cell>
          <cell r="E2178">
            <v>12600</v>
          </cell>
          <cell r="F2178">
            <v>0</v>
          </cell>
        </row>
        <row r="2179">
          <cell r="A2179" t="str">
            <v>GVIPU</v>
          </cell>
          <cell r="B2179" t="str">
            <v>VIPUL H SHAH HUF</v>
          </cell>
          <cell r="C2179" t="str">
            <v>LSCRED</v>
          </cell>
          <cell r="D2179">
            <v>76749</v>
          </cell>
          <cell r="E2179">
            <v>76749</v>
          </cell>
          <cell r="F2179">
            <v>0</v>
          </cell>
        </row>
        <row r="2180">
          <cell r="A2180" t="str">
            <v>GVSAR</v>
          </cell>
          <cell r="B2180" t="str">
            <v>VIR SINGH ARYA</v>
          </cell>
          <cell r="C2180" t="str">
            <v>LSCRED</v>
          </cell>
          <cell r="D2180">
            <v>32000</v>
          </cell>
          <cell r="E2180">
            <v>32000</v>
          </cell>
          <cell r="F2180">
            <v>0</v>
          </cell>
        </row>
        <row r="2181">
          <cell r="A2181" t="str">
            <v>GVIRB</v>
          </cell>
          <cell r="B2181" t="str">
            <v>VIRENDER BHATIA</v>
          </cell>
          <cell r="C2181" t="str">
            <v>LSCRED</v>
          </cell>
          <cell r="D2181">
            <v>3000</v>
          </cell>
          <cell r="E2181">
            <v>3000</v>
          </cell>
          <cell r="F2181">
            <v>0</v>
          </cell>
        </row>
        <row r="2182">
          <cell r="A2182" t="str">
            <v>GVISS</v>
          </cell>
          <cell r="B2182" t="str">
            <v>VISHAL S DOSHI</v>
          </cell>
          <cell r="C2182" t="str">
            <v>LSCRED</v>
          </cell>
          <cell r="D2182">
            <v>1823</v>
          </cell>
          <cell r="E2182">
            <v>1823</v>
          </cell>
          <cell r="F2182">
            <v>0</v>
          </cell>
        </row>
        <row r="2183">
          <cell r="A2183" t="str">
            <v>GVRIE</v>
          </cell>
          <cell r="B2183" t="str">
            <v>VRIENDER BHATIA</v>
          </cell>
          <cell r="C2183" t="str">
            <v>LSCRED</v>
          </cell>
          <cell r="D2183">
            <v>19231</v>
          </cell>
          <cell r="E2183">
            <v>19231</v>
          </cell>
          <cell r="F2183">
            <v>0</v>
          </cell>
        </row>
        <row r="2184">
          <cell r="A2184" t="str">
            <v>GWOND</v>
          </cell>
          <cell r="B2184" t="str">
            <v>WONDERFUL DEVELOPERS PVT. LTD.</v>
          </cell>
          <cell r="C2184" t="str">
            <v>LSCRED</v>
          </cell>
          <cell r="D2184">
            <v>2327</v>
          </cell>
          <cell r="E2184">
            <v>2327</v>
          </cell>
          <cell r="F2184">
            <v>0</v>
          </cell>
        </row>
        <row r="2185">
          <cell r="A2185" t="str">
            <v>GYRAJ</v>
          </cell>
          <cell r="B2185" t="str">
            <v>Y. RAJU</v>
          </cell>
          <cell r="C2185" t="str">
            <v>LSCRED</v>
          </cell>
          <cell r="D2185">
            <v>49815</v>
          </cell>
          <cell r="E2185">
            <v>49815</v>
          </cell>
          <cell r="F2185">
            <v>0</v>
          </cell>
        </row>
        <row r="2186">
          <cell r="A2186" t="str">
            <v>GYAMI</v>
          </cell>
          <cell r="B2186" t="str">
            <v>YAMINI NARENDRA MANDAVIYA</v>
          </cell>
          <cell r="C2186" t="str">
            <v>LSCRED</v>
          </cell>
          <cell r="D2186">
            <v>123750</v>
          </cell>
          <cell r="E2186">
            <v>123750</v>
          </cell>
          <cell r="F2186">
            <v>0</v>
          </cell>
        </row>
        <row r="2187">
          <cell r="A2187" t="str">
            <v>GYASI</v>
          </cell>
          <cell r="B2187" t="str">
            <v>YASHBIR SINGH</v>
          </cell>
          <cell r="C2187" t="str">
            <v>LSCRED</v>
          </cell>
          <cell r="D2187">
            <v>2480</v>
          </cell>
          <cell r="E2187">
            <v>2480</v>
          </cell>
          <cell r="F2187">
            <v>0</v>
          </cell>
        </row>
        <row r="2188">
          <cell r="A2188" t="str">
            <v>GYOGP</v>
          </cell>
          <cell r="B2188" t="str">
            <v>YOGENDRA P ENGINEER</v>
          </cell>
          <cell r="C2188" t="str">
            <v>LSCRED</v>
          </cell>
          <cell r="D2188">
            <v>2356</v>
          </cell>
          <cell r="E2188">
            <v>2356</v>
          </cell>
          <cell r="F2188">
            <v>0</v>
          </cell>
        </row>
        <row r="2189">
          <cell r="A2189" t="str">
            <v>GZEETL</v>
          </cell>
          <cell r="B2189" t="str">
            <v>ZEE TELEFILMS LIMITED</v>
          </cell>
          <cell r="C2189" t="str">
            <v>LSCRED</v>
          </cell>
          <cell r="D2189">
            <v>1178437</v>
          </cell>
          <cell r="E2189">
            <v>1178437</v>
          </cell>
          <cell r="F2189">
            <v>0</v>
          </cell>
        </row>
        <row r="2190">
          <cell r="A2190" t="str">
            <v>GLPDP</v>
          </cell>
          <cell r="B2190" t="str">
            <v>PREFERENCE DIVIDEND PAYABLE</v>
          </cell>
          <cell r="C2190" t="str">
            <v>PPD</v>
          </cell>
          <cell r="D2190">
            <v>11640096</v>
          </cell>
          <cell r="E2190">
            <v>11640096</v>
          </cell>
          <cell r="F2190">
            <v>0</v>
          </cell>
        </row>
        <row r="2191">
          <cell r="A2191" t="str">
            <v>GITAX</v>
          </cell>
          <cell r="B2191" t="str">
            <v>INCOME TAX FOR 2002-2003</v>
          </cell>
          <cell r="C2191" t="str">
            <v>PTAX</v>
          </cell>
          <cell r="D2191">
            <v>38090</v>
          </cell>
          <cell r="E2191">
            <v>38090</v>
          </cell>
          <cell r="F2191">
            <v>0</v>
          </cell>
        </row>
        <row r="2192">
          <cell r="A2192" t="str">
            <v>GPP1</v>
          </cell>
          <cell r="B2192" t="str">
            <v>PROVISION FOR INCOME TAX - 2001-02</v>
          </cell>
          <cell r="C2192" t="str">
            <v>PTAX</v>
          </cell>
          <cell r="D2192">
            <v>2649138</v>
          </cell>
          <cell r="E2192">
            <v>2649138</v>
          </cell>
          <cell r="F2192">
            <v>0</v>
          </cell>
        </row>
        <row r="2193">
          <cell r="A2193" t="str">
            <v>GPP2</v>
          </cell>
          <cell r="B2193" t="str">
            <v>PROVISION FOR INCOME TAX - 2002-03</v>
          </cell>
          <cell r="C2193" t="str">
            <v>PTAX</v>
          </cell>
          <cell r="D2193">
            <v>20000000</v>
          </cell>
          <cell r="E2193">
            <v>20000000</v>
          </cell>
          <cell r="F2193">
            <v>0</v>
          </cell>
        </row>
        <row r="2194">
          <cell r="A2194" t="str">
            <v>GPP3</v>
          </cell>
          <cell r="B2194" t="str">
            <v>PROVISION FOR INCOME TAX - 2003-04</v>
          </cell>
          <cell r="C2194" t="str">
            <v>PTAX</v>
          </cell>
          <cell r="D2194">
            <v>103200000</v>
          </cell>
          <cell r="E2194">
            <v>103200000</v>
          </cell>
          <cell r="F2194">
            <v>0</v>
          </cell>
        </row>
        <row r="2195">
          <cell r="A2195" t="str">
            <v>GA00B41</v>
          </cell>
          <cell r="B2195" t="str">
            <v>PROFIT &amp; LOSS A/C</v>
          </cell>
          <cell r="C2195" t="str">
            <v>RPLAC</v>
          </cell>
          <cell r="D2195">
            <v>0</v>
          </cell>
          <cell r="E2195">
            <v>568006874.50999999</v>
          </cell>
          <cell r="F2195">
            <v>-568006874.50999999</v>
          </cell>
        </row>
        <row r="2196">
          <cell r="A2196" t="str">
            <v>GHDFC</v>
          </cell>
          <cell r="B2196" t="str">
            <v>AUTO LOAN ACCORD DIVYESH SHAH &amp; GAGAN BANGA</v>
          </cell>
          <cell r="C2196" t="str">
            <v>SLBANK</v>
          </cell>
          <cell r="D2196">
            <v>2355428</v>
          </cell>
          <cell r="E2196">
            <v>2355428</v>
          </cell>
          <cell r="F2196">
            <v>0</v>
          </cell>
        </row>
        <row r="2197">
          <cell r="A2197" t="str">
            <v>GLO05</v>
          </cell>
          <cell r="B2197" t="str">
            <v>AUTO LOAN FORD ICON RAHUL BAJAJ</v>
          </cell>
          <cell r="C2197" t="str">
            <v>SLBANK</v>
          </cell>
          <cell r="D2197">
            <v>495000</v>
          </cell>
          <cell r="E2197">
            <v>495000</v>
          </cell>
          <cell r="F2197">
            <v>0</v>
          </cell>
        </row>
        <row r="2198">
          <cell r="A2198" t="str">
            <v>GHDFHC</v>
          </cell>
          <cell r="B2198" t="str">
            <v>AUTO LOAN HONDA CITI PRASENJIT MUKHARJEE</v>
          </cell>
          <cell r="C2198" t="str">
            <v>SLBANK</v>
          </cell>
          <cell r="D2198">
            <v>630430</v>
          </cell>
          <cell r="E2198">
            <v>630430</v>
          </cell>
          <cell r="F2198">
            <v>0</v>
          </cell>
        </row>
        <row r="2199">
          <cell r="A2199" t="str">
            <v>GHDFB</v>
          </cell>
          <cell r="B2199" t="str">
            <v>AUTOLOAN BALENO SANJEEV RANGANATHAN</v>
          </cell>
          <cell r="C2199" t="str">
            <v>SLBANK</v>
          </cell>
          <cell r="D2199">
            <v>1404648</v>
          </cell>
          <cell r="E2199">
            <v>1404648</v>
          </cell>
          <cell r="F2199">
            <v>0</v>
          </cell>
        </row>
        <row r="2200">
          <cell r="A2200" t="str">
            <v>GL1021</v>
          </cell>
          <cell r="B2200" t="str">
            <v xml:space="preserve">IL &amp; FS </v>
          </cell>
          <cell r="C2200" t="str">
            <v>SLOTHER</v>
          </cell>
          <cell r="D2200">
            <v>99439441</v>
          </cell>
          <cell r="E2200">
            <v>99439441</v>
          </cell>
          <cell r="F2200">
            <v>0</v>
          </cell>
        </row>
        <row r="2201">
          <cell r="A2201" t="str">
            <v>GCPABN</v>
          </cell>
          <cell r="B2201" t="str">
            <v>COMMERCIAL PAPER - ABN AMRO</v>
          </cell>
          <cell r="C2201" t="str">
            <v>UCP</v>
          </cell>
          <cell r="D2201">
            <v>20000000</v>
          </cell>
          <cell r="E2201">
            <v>20000000</v>
          </cell>
          <cell r="F2201">
            <v>0</v>
          </cell>
        </row>
        <row r="2202">
          <cell r="A2202" t="str">
            <v>GCPBOM</v>
          </cell>
          <cell r="B2202" t="str">
            <v>COMMERCIAL PAPER - BOM</v>
          </cell>
          <cell r="C2202" t="str">
            <v>UCP</v>
          </cell>
          <cell r="D2202">
            <v>150000000</v>
          </cell>
          <cell r="E2202">
            <v>150000000</v>
          </cell>
          <cell r="F2202">
            <v>0</v>
          </cell>
        </row>
        <row r="2203">
          <cell r="A2203" t="str">
            <v>GCPPNB</v>
          </cell>
          <cell r="B2203" t="str">
            <v>COMMERCIAL PAPER - PUNJAB NATIONAL BANK</v>
          </cell>
          <cell r="C2203" t="str">
            <v>UCP</v>
          </cell>
          <cell r="D2203">
            <v>79526763</v>
          </cell>
          <cell r="E2203">
            <v>79526763</v>
          </cell>
          <cell r="F2203">
            <v>0</v>
          </cell>
        </row>
        <row r="2204">
          <cell r="A2204" t="str">
            <v>GLICSL</v>
          </cell>
          <cell r="B2204" t="str">
            <v>INDIABULLS CREDIT SERVICES LIMITED</v>
          </cell>
          <cell r="C2204" t="str">
            <v>ULOAN</v>
          </cell>
          <cell r="D2204">
            <v>1927600000</v>
          </cell>
          <cell r="E2204">
            <v>1927600000</v>
          </cell>
          <cell r="F2204">
            <v>0</v>
          </cell>
        </row>
        <row r="2205">
          <cell r="A2205" t="str">
            <v>GLIFCPL</v>
          </cell>
          <cell r="B2205" t="str">
            <v>INDIABULLS FINANCE COMPANY PVT LIMITED</v>
          </cell>
          <cell r="C2205" t="str">
            <v>ULOAN</v>
          </cell>
          <cell r="D2205">
            <v>1033000000</v>
          </cell>
          <cell r="E2205">
            <v>1033000000</v>
          </cell>
          <cell r="F2205">
            <v>0</v>
          </cell>
        </row>
        <row r="2206">
          <cell r="A2206" t="str">
            <v>GL1007</v>
          </cell>
          <cell r="B2206" t="str">
            <v>INDIABULLS FINANCIAL SERVICES LIMITED</v>
          </cell>
          <cell r="C2206" t="str">
            <v>ULOAN</v>
          </cell>
          <cell r="D2206">
            <v>10996540069.84</v>
          </cell>
          <cell r="E2206">
            <v>10996540069.84</v>
          </cell>
          <cell r="F2206">
            <v>0</v>
          </cell>
        </row>
        <row r="2207">
          <cell r="A2207" t="str">
            <v>GLIHFL</v>
          </cell>
          <cell r="B2207" t="str">
            <v>INDIABULLS HOUSING FINANCE LIMITED</v>
          </cell>
          <cell r="C2207" t="str">
            <v>ULOAN</v>
          </cell>
          <cell r="D2207">
            <v>10000000</v>
          </cell>
          <cell r="E2207">
            <v>10000000</v>
          </cell>
          <cell r="F2207">
            <v>0</v>
          </cell>
        </row>
      </sheetData>
      <sheetData sheetId="13" refreshError="1"/>
      <sheetData sheetId="14" refreshError="1">
        <row r="1">
          <cell r="F1" t="str">
            <v>Check Balance Sheet Difference</v>
          </cell>
          <cell r="G1">
            <v>0</v>
          </cell>
        </row>
        <row r="2">
          <cell r="F2" t="str">
            <v>Sum of GL Balances</v>
          </cell>
          <cell r="G2">
            <v>0</v>
          </cell>
        </row>
        <row r="3">
          <cell r="F3" t="str">
            <v>Sum of Provisions</v>
          </cell>
          <cell r="G3">
            <v>2</v>
          </cell>
        </row>
        <row r="4">
          <cell r="F4" t="str">
            <v>Sum of Linked Balances</v>
          </cell>
          <cell r="G4">
            <v>-1</v>
          </cell>
        </row>
        <row r="6">
          <cell r="D6" t="str">
            <v>G/L</v>
          </cell>
          <cell r="E6" t="str">
            <v>Focus</v>
          </cell>
          <cell r="F6" t="str">
            <v>Long Text</v>
          </cell>
          <cell r="I6" t="str">
            <v>31-07-2014</v>
          </cell>
        </row>
        <row r="7">
          <cell r="D7">
            <v>24700040</v>
          </cell>
          <cell r="F7" t="str">
            <v>Vendors BalancesSecurity Deposit-Others</v>
          </cell>
          <cell r="I7">
            <v>10000</v>
          </cell>
        </row>
        <row r="8">
          <cell r="D8">
            <v>14890640</v>
          </cell>
          <cell r="F8" t="str">
            <v>Prov. For Membership &amp; Subscription Fee (C.Y.)</v>
          </cell>
          <cell r="I8">
            <v>-10000</v>
          </cell>
        </row>
        <row r="9">
          <cell r="D9">
            <v>14890621</v>
          </cell>
          <cell r="F9" t="str">
            <v>Service Charges (C.Y.) Payable</v>
          </cell>
          <cell r="I9">
            <v>0</v>
          </cell>
        </row>
        <row r="10">
          <cell r="D10">
            <v>14890082</v>
          </cell>
          <cell r="F10" t="str">
            <v>Sundry Creditors-Vendors Travelling</v>
          </cell>
          <cell r="I10">
            <v>0</v>
          </cell>
        </row>
        <row r="11">
          <cell r="D11">
            <v>24700036</v>
          </cell>
          <cell r="F11" t="str">
            <v>Vendors Balances-Against Advance for fixed assets</v>
          </cell>
          <cell r="I11">
            <v>4020882.4</v>
          </cell>
        </row>
        <row r="12">
          <cell r="D12">
            <v>24700037</v>
          </cell>
          <cell r="F12" t="str">
            <v>Vendors Balances-Against Advance for Interior</v>
          </cell>
          <cell r="I12">
            <v>277612</v>
          </cell>
        </row>
        <row r="13">
          <cell r="D13">
            <v>24710726</v>
          </cell>
          <cell r="E13" t="str">
            <v>GLMRGN</v>
          </cell>
          <cell r="F13" t="str">
            <v>MAHESH  SEHGAL</v>
          </cell>
          <cell r="I13">
            <v>-5000</v>
          </cell>
        </row>
        <row r="14">
          <cell r="D14">
            <v>24710060</v>
          </cell>
          <cell r="F14" t="str">
            <v>Loan and Advances- Vendors ICD Given</v>
          </cell>
          <cell r="I14">
            <v>3336850000</v>
          </cell>
        </row>
        <row r="15">
          <cell r="D15">
            <v>24700043</v>
          </cell>
          <cell r="F15" t="str">
            <v>Vendors Balances - Advance Against Salary</v>
          </cell>
          <cell r="I15">
            <v>0</v>
          </cell>
        </row>
        <row r="16">
          <cell r="D16">
            <v>24710776</v>
          </cell>
          <cell r="F16" t="str">
            <v>Vendors Inter Company REceivables</v>
          </cell>
          <cell r="I16">
            <v>0</v>
          </cell>
        </row>
        <row r="17">
          <cell r="D17">
            <v>14890057</v>
          </cell>
          <cell r="F17" t="str">
            <v>Sundry Creditors-Vendors Unsecured Loans</v>
          </cell>
          <cell r="I17">
            <v>0</v>
          </cell>
        </row>
        <row r="18">
          <cell r="D18">
            <v>24700045</v>
          </cell>
          <cell r="F18" t="str">
            <v>Vendors Balances - Imprest to Employees</v>
          </cell>
          <cell r="I18">
            <v>0</v>
          </cell>
        </row>
        <row r="19">
          <cell r="D19">
            <v>24710095</v>
          </cell>
          <cell r="F19" t="str">
            <v>Inter Co.Vendor-Advance for land Given</v>
          </cell>
          <cell r="I19">
            <v>100000000</v>
          </cell>
        </row>
        <row r="20">
          <cell r="D20">
            <v>24700042</v>
          </cell>
          <cell r="F20" t="str">
            <v>Vendors BalancesAdvance for Land</v>
          </cell>
          <cell r="I20">
            <v>0</v>
          </cell>
        </row>
        <row r="21">
          <cell r="D21">
            <v>24700046</v>
          </cell>
          <cell r="F21" t="str">
            <v>Vendors Balances - Others Advances to Employees</v>
          </cell>
          <cell r="I21">
            <v>1233</v>
          </cell>
        </row>
        <row r="22">
          <cell r="D22">
            <v>24700041</v>
          </cell>
          <cell r="F22" t="str">
            <v>Vendors Balances-Other Vendor Advances</v>
          </cell>
          <cell r="I22">
            <v>27460036.850000001</v>
          </cell>
        </row>
        <row r="23">
          <cell r="D23">
            <v>24710721</v>
          </cell>
          <cell r="E23" t="str">
            <v>GL14</v>
          </cell>
          <cell r="F23" t="str">
            <v>AMT RECOVERABLE FROM AMITESHWAR CHOUDHARY</v>
          </cell>
          <cell r="I23">
            <v>-10500</v>
          </cell>
        </row>
        <row r="24">
          <cell r="D24">
            <v>24700010</v>
          </cell>
          <cell r="E24" t="str">
            <v>GSBSE</v>
          </cell>
          <cell r="F24" t="str">
            <v>TDS BSE -GBSE</v>
          </cell>
          <cell r="I24">
            <v>79289</v>
          </cell>
        </row>
        <row r="25">
          <cell r="D25">
            <v>24710073</v>
          </cell>
          <cell r="F25" t="str">
            <v>Input  Service Tax Clearing Modvatable 4.12%</v>
          </cell>
          <cell r="I25">
            <v>0</v>
          </cell>
        </row>
        <row r="26">
          <cell r="D26">
            <v>24711094</v>
          </cell>
          <cell r="F26" t="str">
            <v>Modvatable Input Service Tax Clearing 4.33%</v>
          </cell>
          <cell r="I26">
            <v>0</v>
          </cell>
        </row>
        <row r="27">
          <cell r="D27">
            <v>24710063</v>
          </cell>
          <cell r="F27" t="str">
            <v>Input Service Tax Clearing 4.08%</v>
          </cell>
          <cell r="I27">
            <v>0</v>
          </cell>
        </row>
        <row r="28">
          <cell r="D28">
            <v>24710832</v>
          </cell>
          <cell r="F28" t="str">
            <v>Mod Input Service Tax Clng 8.65%(70 % of 12.36)</v>
          </cell>
          <cell r="I28">
            <v>0</v>
          </cell>
        </row>
        <row r="29">
          <cell r="D29">
            <v>24711097</v>
          </cell>
          <cell r="F29" t="str">
            <v>Modvatable Input Service Tax Clearing 7.204%</v>
          </cell>
          <cell r="I29">
            <v>0</v>
          </cell>
        </row>
        <row r="30">
          <cell r="D30">
            <v>24710078</v>
          </cell>
          <cell r="F30" t="str">
            <v>Service Tax Refund Claim 12.36%</v>
          </cell>
          <cell r="I30">
            <v>0</v>
          </cell>
        </row>
        <row r="31">
          <cell r="D31">
            <v>14890893</v>
          </cell>
          <cell r="F31" t="str">
            <v>ST Pay-Receiver-GTA</v>
          </cell>
          <cell r="I31">
            <v>0</v>
          </cell>
        </row>
        <row r="32">
          <cell r="D32">
            <v>14890898</v>
          </cell>
          <cell r="F32" t="str">
            <v>ST Pay-Receiver-Work Contract</v>
          </cell>
          <cell r="I32">
            <v>0</v>
          </cell>
        </row>
        <row r="33">
          <cell r="D33">
            <v>24711060</v>
          </cell>
          <cell r="F33" t="str">
            <v>Input Service Tax Clearing 6.18%</v>
          </cell>
          <cell r="I33">
            <v>0</v>
          </cell>
        </row>
        <row r="34">
          <cell r="D34">
            <v>24711084</v>
          </cell>
          <cell r="F34" t="str">
            <v>Modvatable Input Service Tax Clearing 4.944%</v>
          </cell>
          <cell r="I34">
            <v>0</v>
          </cell>
        </row>
        <row r="35">
          <cell r="D35">
            <v>24710072</v>
          </cell>
          <cell r="F35" t="str">
            <v>Modvatable Input Service Tax Clearing 12.36%</v>
          </cell>
          <cell r="I35">
            <v>2051067.9</v>
          </cell>
        </row>
        <row r="36">
          <cell r="D36">
            <v>24710108</v>
          </cell>
          <cell r="F36" t="str">
            <v>Service Tax Refund Claim Manual</v>
          </cell>
          <cell r="I36">
            <v>1048.6300000000001</v>
          </cell>
        </row>
        <row r="37">
          <cell r="D37">
            <v>24710109</v>
          </cell>
          <cell r="E37" t="str">
            <v>GAIRC</v>
          </cell>
          <cell r="F37" t="str">
            <v>Insurance Recoverable</v>
          </cell>
          <cell r="I37">
            <v>0</v>
          </cell>
        </row>
        <row r="38">
          <cell r="D38">
            <v>24710786</v>
          </cell>
          <cell r="F38" t="str">
            <v>BED Modvatable 10%</v>
          </cell>
          <cell r="I38">
            <v>0</v>
          </cell>
        </row>
        <row r="39">
          <cell r="D39">
            <v>24710789</v>
          </cell>
          <cell r="F39" t="str">
            <v>Education Cess BED / ST 2%</v>
          </cell>
          <cell r="I39">
            <v>18774.25</v>
          </cell>
        </row>
        <row r="40">
          <cell r="D40">
            <v>24710790</v>
          </cell>
          <cell r="F40" t="str">
            <v>Higher &amp; Secondory Education Cess BED / ST 1%</v>
          </cell>
          <cell r="I40">
            <v>9387.66</v>
          </cell>
        </row>
        <row r="41">
          <cell r="D41">
            <v>90000625</v>
          </cell>
          <cell r="F41" t="str">
            <v>Cenvat Receivable (Import of Service) A/C</v>
          </cell>
          <cell r="I41">
            <v>103542</v>
          </cell>
        </row>
        <row r="42">
          <cell r="D42">
            <v>24710069</v>
          </cell>
          <cell r="F42" t="str">
            <v>Input Excise Duty Clrg. Capital Goods</v>
          </cell>
          <cell r="I42">
            <v>0</v>
          </cell>
        </row>
        <row r="43">
          <cell r="D43">
            <v>24710123</v>
          </cell>
          <cell r="E43" t="str">
            <v>GE0024A</v>
          </cell>
          <cell r="F43" t="str">
            <v>Advance For Expense</v>
          </cell>
          <cell r="I43">
            <v>45645</v>
          </cell>
        </row>
        <row r="44">
          <cell r="D44">
            <v>24710126</v>
          </cell>
          <cell r="E44" t="str">
            <v>GL05</v>
          </cell>
          <cell r="F44" t="str">
            <v>AMITABH MISHRA LOAN A/C</v>
          </cell>
          <cell r="I44">
            <v>100000</v>
          </cell>
        </row>
        <row r="45">
          <cell r="D45">
            <v>24710131</v>
          </cell>
          <cell r="E45" t="str">
            <v>GCENVR</v>
          </cell>
          <cell r="F45" t="str">
            <v>CENVAT REFUND RECEIVABLE</v>
          </cell>
          <cell r="I45">
            <v>170796.26</v>
          </cell>
        </row>
        <row r="46">
          <cell r="D46">
            <v>24700069</v>
          </cell>
          <cell r="F46" t="str">
            <v>CENVAT REFUND CLAIM</v>
          </cell>
          <cell r="I46">
            <v>0</v>
          </cell>
        </row>
        <row r="47">
          <cell r="D47">
            <v>24710114</v>
          </cell>
          <cell r="F47" t="str">
            <v>SALARY ADVANCE</v>
          </cell>
          <cell r="I47">
            <v>154639.20000000001</v>
          </cell>
        </row>
        <row r="48">
          <cell r="D48">
            <v>24710960</v>
          </cell>
          <cell r="F48" t="str">
            <v>CENVAT On Hold</v>
          </cell>
          <cell r="I48">
            <v>0</v>
          </cell>
        </row>
        <row r="49">
          <cell r="D49">
            <v>14890367</v>
          </cell>
          <cell r="E49" t="str">
            <v>GI04003</v>
          </cell>
          <cell r="F49" t="str">
            <v>Cheque Cleared In Bank</v>
          </cell>
          <cell r="I49">
            <v>-62264</v>
          </cell>
        </row>
        <row r="50">
          <cell r="D50">
            <v>14890368</v>
          </cell>
          <cell r="E50" t="str">
            <v>GI04006</v>
          </cell>
          <cell r="F50" t="str">
            <v>Chq Cleared In Bank</v>
          </cell>
          <cell r="I50">
            <v>-372465.12</v>
          </cell>
        </row>
        <row r="51">
          <cell r="D51">
            <v>14890370</v>
          </cell>
          <cell r="E51" t="str">
            <v>GLIPO</v>
          </cell>
          <cell r="F51" t="str">
            <v>Refund Received On Public Issue</v>
          </cell>
          <cell r="I51">
            <v>0</v>
          </cell>
        </row>
        <row r="52">
          <cell r="D52">
            <v>14890697</v>
          </cell>
          <cell r="E52" t="str">
            <v>GCTC</v>
          </cell>
          <cell r="F52" t="str">
            <v>Client To Client Auction</v>
          </cell>
          <cell r="I52">
            <v>-6824003.3499999996</v>
          </cell>
        </row>
        <row r="53">
          <cell r="D53">
            <v>14890185</v>
          </cell>
          <cell r="E53" t="str">
            <v>GI04002</v>
          </cell>
          <cell r="F53" t="str">
            <v>Ch Cleared In Bank</v>
          </cell>
          <cell r="I53">
            <v>-2672852.0099999998</v>
          </cell>
        </row>
        <row r="54">
          <cell r="D54">
            <v>24710130</v>
          </cell>
          <cell r="E54" t="str">
            <v>GADPR</v>
          </cell>
          <cell r="F54" t="str">
            <v>D.P INCOME RECEIVABLE</v>
          </cell>
          <cell r="I54">
            <v>0</v>
          </cell>
        </row>
        <row r="55">
          <cell r="D55">
            <v>24710900</v>
          </cell>
          <cell r="F55" t="str">
            <v>Advance for New Company Incorporated</v>
          </cell>
          <cell r="I55">
            <v>0</v>
          </cell>
        </row>
        <row r="56">
          <cell r="D56">
            <v>24700011</v>
          </cell>
          <cell r="E56" t="str">
            <v>GSNSE</v>
          </cell>
          <cell r="F56" t="str">
            <v>TDS - NSE GSNSE</v>
          </cell>
          <cell r="I56">
            <v>1832904</v>
          </cell>
        </row>
        <row r="57">
          <cell r="D57">
            <v>24711037</v>
          </cell>
          <cell r="E57" t="str">
            <v>GSNSCCL</v>
          </cell>
          <cell r="F57" t="str">
            <v>TDS-NSCCL (National Sec Clearing Corp Limited)</v>
          </cell>
          <cell r="I57">
            <v>32143</v>
          </cell>
        </row>
        <row r="58">
          <cell r="D58">
            <v>24710827</v>
          </cell>
          <cell r="F58" t="str">
            <v>Modvatable Input Service Tax Clearing 10.30%</v>
          </cell>
          <cell r="I58">
            <v>0</v>
          </cell>
        </row>
        <row r="59">
          <cell r="D59">
            <v>14890897</v>
          </cell>
          <cell r="F59" t="str">
            <v>ST Pay-Receiver-Manpower/Security Service</v>
          </cell>
          <cell r="I59">
            <v>-0.03</v>
          </cell>
        </row>
        <row r="60">
          <cell r="D60">
            <v>24711083</v>
          </cell>
          <cell r="F60" t="str">
            <v>BED Modvatable 12%</v>
          </cell>
          <cell r="I60">
            <v>0</v>
          </cell>
        </row>
        <row r="61">
          <cell r="D61">
            <v>24711098</v>
          </cell>
          <cell r="F61" t="str">
            <v>Input ST Modvat Claim Clearing(RC)</v>
          </cell>
          <cell r="I61">
            <v>44955.79</v>
          </cell>
        </row>
        <row r="62">
          <cell r="D62">
            <v>24790014</v>
          </cell>
          <cell r="F62" t="str">
            <v>Escrow A/c - Sale of Investments</v>
          </cell>
          <cell r="I62">
            <v>35601468.700000003</v>
          </cell>
        </row>
        <row r="63">
          <cell r="D63">
            <v>24790015</v>
          </cell>
          <cell r="F63" t="str">
            <v>Loan Notes - Sale of Investments</v>
          </cell>
          <cell r="I63">
            <v>42034121.780000001</v>
          </cell>
        </row>
        <row r="64">
          <cell r="D64">
            <v>24711059</v>
          </cell>
          <cell r="F64" t="str">
            <v>Basic Excise duty Modvatable -1 %</v>
          </cell>
          <cell r="I64">
            <v>0</v>
          </cell>
        </row>
        <row r="65">
          <cell r="D65">
            <v>24711015</v>
          </cell>
          <cell r="F65" t="str">
            <v>Employee -Temporary Loan</v>
          </cell>
          <cell r="I65">
            <v>532216.61</v>
          </cell>
        </row>
        <row r="66">
          <cell r="D66">
            <v>24710110</v>
          </cell>
          <cell r="E66" t="str">
            <v>GA0037</v>
          </cell>
          <cell r="F66" t="str">
            <v>Prepaid Expenses</v>
          </cell>
          <cell r="I66">
            <v>23006556.140000001</v>
          </cell>
        </row>
        <row r="67">
          <cell r="D67">
            <v>24700038</v>
          </cell>
          <cell r="F67" t="str">
            <v>Security Deposit Paid</v>
          </cell>
          <cell r="I67">
            <v>79567033.879999995</v>
          </cell>
        </row>
        <row r="68">
          <cell r="D68">
            <v>24710180</v>
          </cell>
          <cell r="E68" t="str">
            <v>GSDBR</v>
          </cell>
          <cell r="F68" t="str">
            <v>SECURITY DEPOSIT ELECTRICITY - BARODA</v>
          </cell>
          <cell r="I68">
            <v>155860</v>
          </cell>
        </row>
        <row r="69">
          <cell r="D69">
            <v>24710198</v>
          </cell>
          <cell r="E69" t="str">
            <v>GSDEL</v>
          </cell>
          <cell r="F69" t="str">
            <v>SECURITY DEPOSITE FOR ELECTRICITY</v>
          </cell>
          <cell r="I69">
            <v>253726</v>
          </cell>
        </row>
        <row r="70">
          <cell r="D70">
            <v>24710705</v>
          </cell>
          <cell r="E70" t="str">
            <v>GASECU</v>
          </cell>
          <cell r="F70" t="str">
            <v>SECURITY DEPOSIT(ELECTRCITY DALHOUSIE)</v>
          </cell>
          <cell r="I70">
            <v>12345.42</v>
          </cell>
        </row>
        <row r="71">
          <cell r="D71">
            <v>24710706</v>
          </cell>
          <cell r="E71" t="str">
            <v>GHOWEL</v>
          </cell>
          <cell r="F71" t="str">
            <v>SECURITY DEPOSIT-ELECTRICITY(HOWRAH)</v>
          </cell>
          <cell r="I71">
            <v>80000</v>
          </cell>
        </row>
        <row r="72">
          <cell r="D72">
            <v>24710172</v>
          </cell>
          <cell r="E72" t="str">
            <v>GALLD</v>
          </cell>
          <cell r="F72" t="str">
            <v>LEASE LINE DEPOSIT</v>
          </cell>
          <cell r="I72">
            <v>531482</v>
          </cell>
        </row>
        <row r="73">
          <cell r="D73">
            <v>24710201</v>
          </cell>
          <cell r="E73" t="str">
            <v>GSNLL</v>
          </cell>
          <cell r="F73" t="str">
            <v>SECURITY FOR LEASE LINE -MUMBAI</v>
          </cell>
          <cell r="I73">
            <v>100000</v>
          </cell>
        </row>
        <row r="74">
          <cell r="D74">
            <v>24710202</v>
          </cell>
          <cell r="E74" t="str">
            <v>GSECU</v>
          </cell>
          <cell r="F74" t="str">
            <v>SECURITY FOR LEASELINE - DELHI</v>
          </cell>
          <cell r="I74">
            <v>150000</v>
          </cell>
        </row>
        <row r="75">
          <cell r="D75">
            <v>24710856</v>
          </cell>
          <cell r="F75" t="str">
            <v>Security Deposit - Lease Line</v>
          </cell>
          <cell r="I75">
            <v>1200000</v>
          </cell>
        </row>
        <row r="76">
          <cell r="D76">
            <v>24710111</v>
          </cell>
          <cell r="F76" t="str">
            <v>Security Deposit Rent</v>
          </cell>
          <cell r="I76">
            <v>0</v>
          </cell>
        </row>
        <row r="77">
          <cell r="D77">
            <v>24710212</v>
          </cell>
          <cell r="E77" t="str">
            <v>GSENDA</v>
          </cell>
          <cell r="F77" t="str">
            <v>SECURITY  DEPOSIT NOIDA ONLINE</v>
          </cell>
          <cell r="I77">
            <v>26903.26</v>
          </cell>
        </row>
        <row r="78">
          <cell r="D78">
            <v>24710215</v>
          </cell>
          <cell r="E78" t="str">
            <v>GSCAH</v>
          </cell>
          <cell r="F78" t="str">
            <v>SECURITY DEPOSIT - AHMEDABAD</v>
          </cell>
          <cell r="I78">
            <v>87167</v>
          </cell>
        </row>
        <row r="79">
          <cell r="D79">
            <v>24710235</v>
          </cell>
          <cell r="E79" t="str">
            <v>GSECHT</v>
          </cell>
          <cell r="F79" t="str">
            <v>SECURITY DEPOSIT CHENNAI (T NAGAR)</v>
          </cell>
          <cell r="I79">
            <v>184524</v>
          </cell>
        </row>
        <row r="80">
          <cell r="D80">
            <v>24710236</v>
          </cell>
          <cell r="E80" t="str">
            <v>GSECHEN</v>
          </cell>
          <cell r="F80" t="str">
            <v>SECURITY DEPOSIT CHENNAI - MYLAPORE</v>
          </cell>
          <cell r="I80">
            <v>791901</v>
          </cell>
        </row>
        <row r="81">
          <cell r="D81">
            <v>24710250</v>
          </cell>
          <cell r="E81" t="str">
            <v>GSEBAG</v>
          </cell>
          <cell r="F81" t="str">
            <v>SECURITY DEPOSIT FOR BANDRA ONLINE</v>
          </cell>
          <cell r="I81">
            <v>500000</v>
          </cell>
        </row>
        <row r="82">
          <cell r="D82">
            <v>24710261</v>
          </cell>
          <cell r="E82" t="str">
            <v>GSEGHAT</v>
          </cell>
          <cell r="F82" t="str">
            <v>SECURITY DEPOSIT FOR GHATKOPAR BRANCH</v>
          </cell>
          <cell r="I82">
            <v>1170000</v>
          </cell>
        </row>
        <row r="83">
          <cell r="D83">
            <v>24710272</v>
          </cell>
          <cell r="E83" t="str">
            <v>GSEMAD</v>
          </cell>
          <cell r="F83" t="str">
            <v>SECURITY DEPOSIT FOR MAHIM OFFLINE</v>
          </cell>
          <cell r="I83">
            <v>414129</v>
          </cell>
        </row>
        <row r="84">
          <cell r="D84">
            <v>24710307</v>
          </cell>
          <cell r="E84" t="str">
            <v>GSEJAI</v>
          </cell>
          <cell r="F84" t="str">
            <v>SECURITY DEPOSIT JAIPUR</v>
          </cell>
          <cell r="I84">
            <v>45906.37</v>
          </cell>
        </row>
        <row r="85">
          <cell r="D85">
            <v>24710319</v>
          </cell>
          <cell r="E85" t="str">
            <v>GSELUD</v>
          </cell>
          <cell r="F85" t="str">
            <v>SECURITY DEPOSIT LUDHIANA</v>
          </cell>
          <cell r="I85">
            <v>166157</v>
          </cell>
        </row>
        <row r="86">
          <cell r="D86">
            <v>24710332</v>
          </cell>
          <cell r="E86" t="str">
            <v>GSECNA</v>
          </cell>
          <cell r="F86" t="str">
            <v>SECURITY DEPOSIT NASIK</v>
          </cell>
          <cell r="I86">
            <v>624271.80000000005</v>
          </cell>
        </row>
        <row r="87">
          <cell r="D87">
            <v>24710384</v>
          </cell>
          <cell r="E87" t="str">
            <v>GSETIRUP</v>
          </cell>
          <cell r="F87" t="str">
            <v>SECURITY DEPOSIT OF CENTRAL PARK TIRUPATI BRANCH</v>
          </cell>
          <cell r="I87">
            <v>59771</v>
          </cell>
        </row>
        <row r="88">
          <cell r="D88">
            <v>24710402</v>
          </cell>
          <cell r="E88" t="str">
            <v>GSEKAIL</v>
          </cell>
          <cell r="F88" t="str">
            <v>SECURITY DEPOSIT OF EAST OF KAILASH NEW DELHI</v>
          </cell>
          <cell r="I88">
            <v>401370.68</v>
          </cell>
        </row>
        <row r="89">
          <cell r="D89">
            <v>24710411</v>
          </cell>
          <cell r="E89" t="str">
            <v>GSEGEO</v>
          </cell>
          <cell r="F89" t="str">
            <v>SECURITY DEPOSIT OF GEORGE TOWN NSC ROAD CHENNAI</v>
          </cell>
          <cell r="I89">
            <v>781419.67</v>
          </cell>
        </row>
        <row r="90">
          <cell r="D90">
            <v>24710413</v>
          </cell>
          <cell r="E90" t="str">
            <v>GSEGHAZ</v>
          </cell>
          <cell r="F90" t="str">
            <v>SECURITY DEPOSIT OF GHAZIABAD RDC RAJ NAGAR</v>
          </cell>
          <cell r="I90">
            <v>6637.22</v>
          </cell>
        </row>
        <row r="91">
          <cell r="D91">
            <v>24710584</v>
          </cell>
          <cell r="E91" t="str">
            <v>GSEYUV</v>
          </cell>
          <cell r="F91" t="str">
            <v>SECURITY DEPOSIT OF YUVRAJ SINGH CHOUDHARY</v>
          </cell>
          <cell r="I91">
            <v>100000</v>
          </cell>
        </row>
        <row r="92">
          <cell r="D92">
            <v>24710597</v>
          </cell>
          <cell r="E92" t="str">
            <v>GSERA</v>
          </cell>
          <cell r="F92" t="str">
            <v>SECURITY DEPOSIT RAJKOT</v>
          </cell>
          <cell r="I92">
            <v>76395.87</v>
          </cell>
        </row>
        <row r="93">
          <cell r="D93">
            <v>24710599</v>
          </cell>
          <cell r="E93" t="str">
            <v>GA0023</v>
          </cell>
          <cell r="F93" t="str">
            <v>SECURITY DEPOSIT RENT (PATIALA)</v>
          </cell>
          <cell r="I93">
            <v>30900</v>
          </cell>
        </row>
        <row r="94">
          <cell r="D94">
            <v>24710612</v>
          </cell>
          <cell r="E94" t="str">
            <v>GSE12</v>
          </cell>
          <cell r="F94" t="str">
            <v>SECURITY DEPOSIT TOLLYGUNJ (KOLKATA)</v>
          </cell>
          <cell r="I94">
            <v>390937.7</v>
          </cell>
        </row>
        <row r="95">
          <cell r="D95">
            <v>24710627</v>
          </cell>
          <cell r="E95" t="str">
            <v>GA00022</v>
          </cell>
          <cell r="F95" t="str">
            <v>SECURITY DEPOSIT VIZAG</v>
          </cell>
          <cell r="I95">
            <v>42000</v>
          </cell>
        </row>
        <row r="96">
          <cell r="D96">
            <v>24710637</v>
          </cell>
          <cell r="E96" t="str">
            <v>GSEAM</v>
          </cell>
          <cell r="F96" t="str">
            <v>SECURITY FOR AMRITSAR PREMISES</v>
          </cell>
          <cell r="I96">
            <v>87000</v>
          </cell>
        </row>
        <row r="97">
          <cell r="D97">
            <v>24710644</v>
          </cell>
          <cell r="E97" t="str">
            <v>GA0475</v>
          </cell>
          <cell r="F97" t="str">
            <v>SECURITY FOR FARIDABAD PR</v>
          </cell>
          <cell r="I97">
            <v>14000</v>
          </cell>
        </row>
        <row r="98">
          <cell r="D98">
            <v>24710646</v>
          </cell>
          <cell r="E98" t="str">
            <v>GSECF</v>
          </cell>
          <cell r="F98" t="str">
            <v>SECURITY FOR FURNITURE - LUCKNOW</v>
          </cell>
          <cell r="I98">
            <v>3000</v>
          </cell>
        </row>
        <row r="99">
          <cell r="D99">
            <v>24710647</v>
          </cell>
          <cell r="E99" t="str">
            <v>GSEGH</v>
          </cell>
          <cell r="F99" t="str">
            <v>SECURITY FOR GHATKOPAR PREMISES</v>
          </cell>
          <cell r="I99">
            <v>425000</v>
          </cell>
        </row>
        <row r="100">
          <cell r="D100">
            <v>24710661</v>
          </cell>
          <cell r="E100" t="str">
            <v>GSEKP</v>
          </cell>
          <cell r="F100" t="str">
            <v>SECURITY FOR KANPUR PREMISES - NEW</v>
          </cell>
          <cell r="I100">
            <v>37500</v>
          </cell>
        </row>
        <row r="101">
          <cell r="D101">
            <v>24710664</v>
          </cell>
          <cell r="E101" t="str">
            <v>GSELH</v>
          </cell>
          <cell r="F101" t="str">
            <v>SECURITY FOR LOKHANDWALA</v>
          </cell>
          <cell r="I101">
            <v>749653.4</v>
          </cell>
        </row>
        <row r="102">
          <cell r="D102">
            <v>24710665</v>
          </cell>
          <cell r="E102" t="str">
            <v>GSECL</v>
          </cell>
          <cell r="F102" t="str">
            <v>SECURITY FOR LUCKNOW PREMISES</v>
          </cell>
          <cell r="I102">
            <v>29850</v>
          </cell>
        </row>
        <row r="103">
          <cell r="D103">
            <v>24710672</v>
          </cell>
          <cell r="E103" t="str">
            <v>GSEBR</v>
          </cell>
          <cell r="F103" t="str">
            <v>SECURITY FOR MUMBAI BORIWALI</v>
          </cell>
          <cell r="I103">
            <v>111273.54</v>
          </cell>
        </row>
        <row r="104">
          <cell r="D104">
            <v>24710687</v>
          </cell>
          <cell r="E104" t="str">
            <v>GACAL</v>
          </cell>
          <cell r="F104" t="str">
            <v>SECURITY RENT CALCUTTA</v>
          </cell>
          <cell r="I104">
            <v>324720</v>
          </cell>
        </row>
        <row r="105">
          <cell r="D105">
            <v>24710689</v>
          </cell>
          <cell r="E105" t="str">
            <v>GSECHYD</v>
          </cell>
          <cell r="F105" t="str">
            <v>SECURITY RENT HYDRABAD</v>
          </cell>
          <cell r="I105">
            <v>96490</v>
          </cell>
        </row>
        <row r="106">
          <cell r="D106">
            <v>24710691</v>
          </cell>
          <cell r="E106" t="str">
            <v>GSECMUM</v>
          </cell>
          <cell r="F106" t="str">
            <v>SECURITY RENT MUMBAI</v>
          </cell>
          <cell r="I106">
            <v>570000</v>
          </cell>
        </row>
        <row r="107">
          <cell r="D107">
            <v>24710693</v>
          </cell>
          <cell r="E107" t="str">
            <v>GA00122</v>
          </cell>
          <cell r="F107" t="str">
            <v>SECURITY RENT OF PUNE</v>
          </cell>
          <cell r="I107">
            <v>348000</v>
          </cell>
        </row>
        <row r="108">
          <cell r="D108">
            <v>24710694</v>
          </cell>
          <cell r="E108" t="str">
            <v>GASEGH</v>
          </cell>
          <cell r="F108" t="str">
            <v>SECURITY RENT SJE GH</v>
          </cell>
          <cell r="I108">
            <v>44000</v>
          </cell>
        </row>
        <row r="109">
          <cell r="D109">
            <v>24710696</v>
          </cell>
          <cell r="E109" t="str">
            <v>GSE07</v>
          </cell>
          <cell r="F109" t="str">
            <v>SECUTIRY DEPOSIT GORKHPUR OFFLINE</v>
          </cell>
          <cell r="I109">
            <v>0</v>
          </cell>
        </row>
        <row r="110">
          <cell r="D110">
            <v>24710697</v>
          </cell>
          <cell r="E110" t="str">
            <v>GSE06</v>
          </cell>
          <cell r="F110" t="str">
            <v>SECUTIRY DEPOSIT JAMSHEDPUR</v>
          </cell>
          <cell r="I110">
            <v>529565.14</v>
          </cell>
        </row>
        <row r="111">
          <cell r="D111">
            <v>24710701</v>
          </cell>
          <cell r="E111" t="str">
            <v>GSPNP</v>
          </cell>
          <cell r="F111" t="str">
            <v>SECUTITY DEPOSIT PANIPAT</v>
          </cell>
          <cell r="I111">
            <v>0</v>
          </cell>
        </row>
        <row r="112">
          <cell r="D112">
            <v>24710183</v>
          </cell>
          <cell r="E112" t="str">
            <v>GSEVDW</v>
          </cell>
          <cell r="F112" t="str">
            <v>SECURITY DEPOSIT OF VSAT FOR DWARKA OFFLINE (N</v>
          </cell>
          <cell r="I112">
            <v>12666.67</v>
          </cell>
        </row>
        <row r="113">
          <cell r="D113">
            <v>24710191</v>
          </cell>
          <cell r="E113" t="str">
            <v>GSECV</v>
          </cell>
          <cell r="F113" t="str">
            <v>SECURITY DEPOSIT VSAT - CALCUTTA</v>
          </cell>
          <cell r="I113">
            <v>9000</v>
          </cell>
        </row>
        <row r="114">
          <cell r="D114">
            <v>24710204</v>
          </cell>
          <cell r="E114" t="str">
            <v>GA125</v>
          </cell>
          <cell r="F114" t="str">
            <v>SECURITY FOR VSAT TO CEPCO</v>
          </cell>
          <cell r="I114">
            <v>75000</v>
          </cell>
        </row>
        <row r="115">
          <cell r="D115">
            <v>14890777</v>
          </cell>
          <cell r="F115" t="str">
            <v>AP- DIVIDEND PAYABLE</v>
          </cell>
          <cell r="I115">
            <v>0</v>
          </cell>
        </row>
        <row r="116">
          <cell r="D116">
            <v>24710792</v>
          </cell>
          <cell r="F116" t="str">
            <v>Input Service Tax Clearing 4.12% and 8% VAT(NonM)</v>
          </cell>
          <cell r="I116">
            <v>0</v>
          </cell>
        </row>
        <row r="117">
          <cell r="D117">
            <v>14890731</v>
          </cell>
          <cell r="E117">
            <v>14890731</v>
          </cell>
          <cell r="F117" t="str">
            <v>Security Deposit from Authorised Persons</v>
          </cell>
          <cell r="I117">
            <v>-500000</v>
          </cell>
        </row>
        <row r="118">
          <cell r="D118">
            <v>14890736</v>
          </cell>
          <cell r="E118" t="str">
            <v>GSEEE</v>
          </cell>
          <cell r="F118" t="str">
            <v>Security Deposit - Vehicle</v>
          </cell>
          <cell r="I118">
            <v>-894991</v>
          </cell>
        </row>
        <row r="119">
          <cell r="D119">
            <v>13113000</v>
          </cell>
          <cell r="F119" t="str">
            <v>Salary, wages payable</v>
          </cell>
          <cell r="I119">
            <v>-328186.96999999997</v>
          </cell>
        </row>
        <row r="120">
          <cell r="D120">
            <v>13110100</v>
          </cell>
          <cell r="F120" t="str">
            <v>GR/IR-clearing - ext procurement - Dom</v>
          </cell>
          <cell r="I120">
            <v>-2855</v>
          </cell>
        </row>
        <row r="121">
          <cell r="D121">
            <v>13112500</v>
          </cell>
          <cell r="F121" t="str">
            <v>GR/IR-clearing - Octroi</v>
          </cell>
          <cell r="I121">
            <v>0</v>
          </cell>
        </row>
        <row r="122">
          <cell r="D122">
            <v>13113001</v>
          </cell>
          <cell r="E122" t="str">
            <v>GA0010</v>
          </cell>
          <cell r="F122" t="str">
            <v>Salary Payable</v>
          </cell>
          <cell r="I122">
            <v>0</v>
          </cell>
        </row>
        <row r="123">
          <cell r="D123">
            <v>13113004</v>
          </cell>
          <cell r="E123" t="str">
            <v>GEXPENSE</v>
          </cell>
          <cell r="F123" t="str">
            <v>Incentive Payable</v>
          </cell>
          <cell r="I123">
            <v>0</v>
          </cell>
        </row>
        <row r="124">
          <cell r="D124">
            <v>13113008</v>
          </cell>
          <cell r="F124" t="str">
            <v>Other Payable</v>
          </cell>
          <cell r="I124">
            <v>-99786643.680000007</v>
          </cell>
        </row>
        <row r="125">
          <cell r="D125">
            <v>13113012</v>
          </cell>
          <cell r="F125" t="str">
            <v>Labour Welfare Fund Payable</v>
          </cell>
          <cell r="I125">
            <v>-2184</v>
          </cell>
        </row>
        <row r="126">
          <cell r="D126">
            <v>13113350</v>
          </cell>
          <cell r="F126" t="str">
            <v>Other salary deductions - Non Statutory</v>
          </cell>
          <cell r="I126">
            <v>-1445940.86</v>
          </cell>
        </row>
        <row r="127">
          <cell r="D127">
            <v>13113940</v>
          </cell>
          <cell r="E127" t="str">
            <v>GA080A</v>
          </cell>
          <cell r="F127" t="str">
            <v>Withholding Tax (TDS) SALARY payable</v>
          </cell>
          <cell r="I127">
            <v>-2329941.84</v>
          </cell>
        </row>
        <row r="128">
          <cell r="D128">
            <v>13113941</v>
          </cell>
          <cell r="E128" t="str">
            <v>GA080BC</v>
          </cell>
          <cell r="F128" t="str">
            <v>Withholding Tax (Tds) Rent Payable</v>
          </cell>
          <cell r="I128">
            <v>-421206</v>
          </cell>
        </row>
        <row r="129">
          <cell r="D129">
            <v>13113942</v>
          </cell>
          <cell r="E129" t="str">
            <v>GA080DC</v>
          </cell>
          <cell r="F129" t="str">
            <v>Withholding Tax (Tds) Contractor Payable</v>
          </cell>
          <cell r="I129">
            <v>-22031</v>
          </cell>
        </row>
        <row r="130">
          <cell r="D130">
            <v>13113943</v>
          </cell>
          <cell r="E130" t="str">
            <v>GA080CC</v>
          </cell>
          <cell r="F130" t="str">
            <v>Withholding Tax (Tds) Professional  Payable</v>
          </cell>
          <cell r="I130">
            <v>-306417</v>
          </cell>
        </row>
        <row r="131">
          <cell r="D131">
            <v>13113944</v>
          </cell>
          <cell r="E131" t="str">
            <v>GA080EC</v>
          </cell>
          <cell r="F131" t="str">
            <v>Withholding Tax (Tds) Commission  Payable</v>
          </cell>
          <cell r="I131">
            <v>-16400</v>
          </cell>
        </row>
        <row r="132">
          <cell r="D132">
            <v>13113945</v>
          </cell>
          <cell r="E132" t="str">
            <v>GA080F</v>
          </cell>
          <cell r="F132" t="str">
            <v>Withholding Tax (Tds) Interest  Payable</v>
          </cell>
          <cell r="I132">
            <v>0</v>
          </cell>
        </row>
        <row r="133">
          <cell r="D133">
            <v>13113946</v>
          </cell>
          <cell r="E133" t="str">
            <v>GA080GNC</v>
          </cell>
          <cell r="F133" t="str">
            <v>Withholding Tax (Tds) (Non Resident) Payable</v>
          </cell>
          <cell r="I133">
            <v>0</v>
          </cell>
        </row>
        <row r="134">
          <cell r="D134">
            <v>13113939</v>
          </cell>
          <cell r="F134" t="str">
            <v>Withholding Tax (Tds) TRF of Immovable Property</v>
          </cell>
          <cell r="I134">
            <v>0</v>
          </cell>
        </row>
        <row r="135">
          <cell r="D135">
            <v>13113961</v>
          </cell>
          <cell r="E135" t="str">
            <v>GE0135</v>
          </cell>
          <cell r="F135" t="str">
            <v>EPF Payable</v>
          </cell>
          <cell r="I135">
            <v>-70871.05</v>
          </cell>
        </row>
        <row r="136">
          <cell r="D136">
            <v>13114131</v>
          </cell>
          <cell r="F136" t="str">
            <v>Employee National Pension Scheme-Payable</v>
          </cell>
          <cell r="I136">
            <v>-21677</v>
          </cell>
        </row>
        <row r="137">
          <cell r="D137">
            <v>13113962</v>
          </cell>
          <cell r="F137" t="str">
            <v>ESI Payable</v>
          </cell>
          <cell r="I137">
            <v>0</v>
          </cell>
        </row>
        <row r="138">
          <cell r="D138">
            <v>13114020</v>
          </cell>
          <cell r="E138" t="str">
            <v>GLPDD</v>
          </cell>
          <cell r="F138" t="str">
            <v>Laptop Deduction</v>
          </cell>
          <cell r="I138">
            <v>-972750</v>
          </cell>
        </row>
        <row r="139">
          <cell r="D139">
            <v>13114097</v>
          </cell>
          <cell r="E139" t="str">
            <v>GCDSTAX</v>
          </cell>
          <cell r="F139" t="str">
            <v>CDS Service Tax</v>
          </cell>
          <cell r="I139">
            <v>-23305.3</v>
          </cell>
        </row>
        <row r="140">
          <cell r="D140">
            <v>13114102</v>
          </cell>
          <cell r="F140" t="str">
            <v>Salary Payable (C.Y.)</v>
          </cell>
          <cell r="I140">
            <v>-1692275</v>
          </cell>
        </row>
        <row r="141">
          <cell r="D141">
            <v>13114111</v>
          </cell>
          <cell r="F141" t="str">
            <v>Provision Of Lease Rent (AS-19)</v>
          </cell>
          <cell r="I141">
            <v>-1634148.51</v>
          </cell>
        </row>
        <row r="142">
          <cell r="D142">
            <v>14890004</v>
          </cell>
          <cell r="F142" t="str">
            <v>Provision For Electricity Expenses</v>
          </cell>
          <cell r="I142">
            <v>0</v>
          </cell>
        </row>
        <row r="143">
          <cell r="D143">
            <v>14890007</v>
          </cell>
          <cell r="F143" t="str">
            <v>Provision For Postage And Courier</v>
          </cell>
          <cell r="I143">
            <v>0</v>
          </cell>
        </row>
        <row r="144">
          <cell r="D144">
            <v>14890000</v>
          </cell>
          <cell r="F144" t="str">
            <v>Other Provisions</v>
          </cell>
          <cell r="I144">
            <v>-1000000</v>
          </cell>
        </row>
        <row r="145">
          <cell r="D145">
            <v>14890008</v>
          </cell>
          <cell r="F145" t="str">
            <v>Provision For Printing &amp; Stationery</v>
          </cell>
          <cell r="I145">
            <v>0</v>
          </cell>
        </row>
        <row r="146">
          <cell r="D146">
            <v>14890012</v>
          </cell>
          <cell r="F146" t="str">
            <v>Provision For Travelling</v>
          </cell>
          <cell r="I146">
            <v>0</v>
          </cell>
        </row>
        <row r="147">
          <cell r="D147">
            <v>14890019</v>
          </cell>
          <cell r="F147" t="str">
            <v>Other Deduction</v>
          </cell>
          <cell r="I147">
            <v>0</v>
          </cell>
        </row>
        <row r="148">
          <cell r="D148">
            <v>14890020</v>
          </cell>
          <cell r="E148" t="str">
            <v>GL00121</v>
          </cell>
          <cell r="F148" t="str">
            <v>Stale Cheque Account</v>
          </cell>
          <cell r="I148">
            <v>-3708664.2</v>
          </cell>
        </row>
        <row r="149">
          <cell r="D149">
            <v>14890023</v>
          </cell>
          <cell r="E149" t="str">
            <v>GLS003</v>
          </cell>
          <cell r="F149" t="str">
            <v>Other Processing Charges Payable</v>
          </cell>
          <cell r="I149">
            <v>-1637.55</v>
          </cell>
        </row>
        <row r="150">
          <cell r="D150">
            <v>13113037</v>
          </cell>
          <cell r="F150" t="str">
            <v>Service Tax Acccural 12 %</v>
          </cell>
          <cell r="I150">
            <v>0</v>
          </cell>
        </row>
        <row r="151">
          <cell r="D151">
            <v>14890851</v>
          </cell>
          <cell r="F151" t="str">
            <v>Service Tax Payable Business Auxiliary Service</v>
          </cell>
          <cell r="I151">
            <v>0</v>
          </cell>
        </row>
        <row r="152">
          <cell r="D152">
            <v>14890047</v>
          </cell>
          <cell r="F152" t="str">
            <v>Service Tax Payable on Rent</v>
          </cell>
          <cell r="I152">
            <v>0</v>
          </cell>
        </row>
        <row r="153">
          <cell r="D153">
            <v>14890031</v>
          </cell>
          <cell r="E153" t="str">
            <v>GFSTAX</v>
          </cell>
          <cell r="F153" t="str">
            <v>Service Tax Payable Nse F&amp;O</v>
          </cell>
          <cell r="I153">
            <v>-2721667.53</v>
          </cell>
        </row>
        <row r="154">
          <cell r="D154">
            <v>14890032</v>
          </cell>
          <cell r="E154" t="str">
            <v>GBSTAX</v>
          </cell>
          <cell r="F154" t="str">
            <v>Service Tax Payable Bse CM</v>
          </cell>
          <cell r="I154">
            <v>-189072.1</v>
          </cell>
        </row>
        <row r="155">
          <cell r="D155">
            <v>14890034</v>
          </cell>
          <cell r="E155" t="str">
            <v>GAOCST</v>
          </cell>
          <cell r="F155" t="str">
            <v>Service Tax Payable Account Opening</v>
          </cell>
          <cell r="I155">
            <v>-6285.5</v>
          </cell>
        </row>
        <row r="156">
          <cell r="D156">
            <v>14890036</v>
          </cell>
          <cell r="E156" t="str">
            <v>GSTAXO</v>
          </cell>
          <cell r="F156" t="str">
            <v>Service Tax Payable Other</v>
          </cell>
          <cell r="I156">
            <v>-8497</v>
          </cell>
        </row>
        <row r="157">
          <cell r="D157">
            <v>14890037</v>
          </cell>
          <cell r="E157" t="str">
            <v>GNSTAX</v>
          </cell>
          <cell r="F157" t="str">
            <v>Service Tax Payable NSDL Charges</v>
          </cell>
          <cell r="I157">
            <v>112.83</v>
          </cell>
        </row>
        <row r="158">
          <cell r="D158">
            <v>14890038</v>
          </cell>
          <cell r="E158" t="str">
            <v>GCSTAX</v>
          </cell>
          <cell r="F158" t="str">
            <v>Service Tax Payable CDSL Charges</v>
          </cell>
          <cell r="I158">
            <v>175.85</v>
          </cell>
        </row>
        <row r="159">
          <cell r="D159">
            <v>14890894</v>
          </cell>
          <cell r="F159" t="str">
            <v>ST Pay-Receiver-Legal serives</v>
          </cell>
          <cell r="I159">
            <v>-44955.79</v>
          </cell>
        </row>
        <row r="160">
          <cell r="D160">
            <v>14890896</v>
          </cell>
          <cell r="F160" t="str">
            <v>ST Pay-Receiver-Car Hire</v>
          </cell>
          <cell r="I160">
            <v>0</v>
          </cell>
        </row>
        <row r="161">
          <cell r="D161">
            <v>14890056</v>
          </cell>
          <cell r="F161" t="str">
            <v>Sundry Creditors-Vendors Secured Loans</v>
          </cell>
          <cell r="I161">
            <v>0</v>
          </cell>
        </row>
        <row r="162">
          <cell r="D162">
            <v>14890051</v>
          </cell>
          <cell r="E162" t="str">
            <v>GL01025</v>
          </cell>
          <cell r="F162" t="str">
            <v>Turnover Tax Payable</v>
          </cell>
          <cell r="I162">
            <v>-26403.88</v>
          </cell>
        </row>
        <row r="163">
          <cell r="D163">
            <v>14890053</v>
          </cell>
          <cell r="F163" t="str">
            <v>Rent Expense Payable</v>
          </cell>
          <cell r="I163">
            <v>0</v>
          </cell>
        </row>
        <row r="164">
          <cell r="D164">
            <v>14890054</v>
          </cell>
          <cell r="F164" t="str">
            <v>V Sat Charges Payable</v>
          </cell>
          <cell r="I164">
            <v>0</v>
          </cell>
        </row>
        <row r="165">
          <cell r="D165">
            <v>14890130</v>
          </cell>
          <cell r="F165" t="str">
            <v>Audit Fees Payable</v>
          </cell>
          <cell r="I165">
            <v>0</v>
          </cell>
        </row>
        <row r="166">
          <cell r="D166">
            <v>14890131</v>
          </cell>
          <cell r="F166" t="str">
            <v>Commission  Payable</v>
          </cell>
          <cell r="I166">
            <v>0</v>
          </cell>
        </row>
        <row r="167">
          <cell r="D167">
            <v>14890132</v>
          </cell>
          <cell r="F167" t="str">
            <v>Content Expenses Payable</v>
          </cell>
          <cell r="I167">
            <v>0</v>
          </cell>
        </row>
        <row r="168">
          <cell r="D168">
            <v>14890133</v>
          </cell>
          <cell r="F168" t="str">
            <v>Depository Charges Payable</v>
          </cell>
          <cell r="I168">
            <v>0</v>
          </cell>
        </row>
        <row r="169">
          <cell r="D169">
            <v>14890135</v>
          </cell>
          <cell r="F169" t="str">
            <v>Leaseline Charges Payable</v>
          </cell>
          <cell r="I169">
            <v>0</v>
          </cell>
        </row>
        <row r="170">
          <cell r="D170">
            <v>14890136</v>
          </cell>
          <cell r="F170" t="str">
            <v>Legal &amp; Professional Expenses Payable</v>
          </cell>
          <cell r="I170">
            <v>0</v>
          </cell>
        </row>
        <row r="171">
          <cell r="D171">
            <v>14890138</v>
          </cell>
          <cell r="F171" t="str">
            <v>Office  Maintenance Payable (Payable)</v>
          </cell>
          <cell r="I171">
            <v>0</v>
          </cell>
        </row>
        <row r="172">
          <cell r="D172">
            <v>14890143</v>
          </cell>
          <cell r="F172" t="str">
            <v>SEBI Charges Payable</v>
          </cell>
          <cell r="I172">
            <v>0</v>
          </cell>
        </row>
        <row r="173">
          <cell r="D173">
            <v>14890145</v>
          </cell>
          <cell r="F173" t="str">
            <v>Telephone Expense(Fixed) Payable</v>
          </cell>
          <cell r="I173">
            <v>0</v>
          </cell>
        </row>
        <row r="174">
          <cell r="D174">
            <v>14890147</v>
          </cell>
          <cell r="F174" t="str">
            <v>Web Hosting Charges Payble</v>
          </cell>
          <cell r="I174">
            <v>0</v>
          </cell>
        </row>
        <row r="175">
          <cell r="D175">
            <v>14890289</v>
          </cell>
          <cell r="F175" t="str">
            <v>Software Charges Payable</v>
          </cell>
          <cell r="I175">
            <v>0</v>
          </cell>
        </row>
        <row r="176">
          <cell r="D176">
            <v>14890360</v>
          </cell>
          <cell r="F176" t="str">
            <v>Transaction Charges Payable</v>
          </cell>
          <cell r="I176">
            <v>0</v>
          </cell>
        </row>
        <row r="177">
          <cell r="D177">
            <v>14890362</v>
          </cell>
          <cell r="E177" t="str">
            <v>GEXPENSE</v>
          </cell>
          <cell r="F177" t="str">
            <v>Business Promotion Expenses Payable</v>
          </cell>
          <cell r="I177">
            <v>0</v>
          </cell>
        </row>
        <row r="178">
          <cell r="D178">
            <v>14890363</v>
          </cell>
          <cell r="F178" t="str">
            <v>AMC Charges Software Payable</v>
          </cell>
          <cell r="I178">
            <v>0</v>
          </cell>
        </row>
        <row r="179">
          <cell r="D179">
            <v>14890364</v>
          </cell>
          <cell r="F179" t="str">
            <v>AMC Charges Hardware Payable</v>
          </cell>
          <cell r="I179">
            <v>0</v>
          </cell>
        </row>
        <row r="180">
          <cell r="D180">
            <v>14890369</v>
          </cell>
          <cell r="E180" t="str">
            <v>GPRFT</v>
          </cell>
          <cell r="F180" t="str">
            <v>Professional Tax  Payable</v>
          </cell>
          <cell r="I180">
            <v>-26845</v>
          </cell>
        </row>
        <row r="181">
          <cell r="D181">
            <v>14890371</v>
          </cell>
          <cell r="E181" t="str">
            <v>GSTAX</v>
          </cell>
          <cell r="F181" t="str">
            <v>Service Tax  Payable -GSTAX</v>
          </cell>
          <cell r="I181">
            <v>-1832830.24</v>
          </cell>
        </row>
        <row r="182">
          <cell r="D182">
            <v>14890373</v>
          </cell>
          <cell r="E182" t="str">
            <v>GADVSC</v>
          </cell>
          <cell r="F182" t="str">
            <v>Advance Against Sale Of Car</v>
          </cell>
          <cell r="I182">
            <v>-2764527</v>
          </cell>
        </row>
        <row r="183">
          <cell r="D183">
            <v>14890377</v>
          </cell>
          <cell r="F183" t="str">
            <v>Provision For Repair &amp; Maint. Expenses</v>
          </cell>
          <cell r="I183">
            <v>-196797</v>
          </cell>
        </row>
        <row r="184">
          <cell r="D184">
            <v>14890387</v>
          </cell>
          <cell r="E184" t="str">
            <v>GOTH</v>
          </cell>
          <cell r="F184" t="str">
            <v>Other Deduction</v>
          </cell>
          <cell r="I184">
            <v>0</v>
          </cell>
        </row>
        <row r="185">
          <cell r="D185">
            <v>14890412</v>
          </cell>
          <cell r="F185" t="str">
            <v>DMAT Charges Payable</v>
          </cell>
          <cell r="I185">
            <v>0</v>
          </cell>
        </row>
        <row r="186">
          <cell r="D186">
            <v>14890491</v>
          </cell>
          <cell r="F186" t="str">
            <v>Interest on Car Loans Payable</v>
          </cell>
          <cell r="I186">
            <v>0</v>
          </cell>
        </row>
        <row r="187">
          <cell r="D187">
            <v>14890509</v>
          </cell>
          <cell r="F187" t="str">
            <v>Prov For Postage &amp; Couirer (C.Y.)</v>
          </cell>
          <cell r="I187">
            <v>-2015301.7</v>
          </cell>
        </row>
        <row r="188">
          <cell r="D188">
            <v>14890513</v>
          </cell>
          <cell r="F188" t="str">
            <v>Prov For Electricity Expenses (C.Y.)</v>
          </cell>
          <cell r="I188">
            <v>-908931.5</v>
          </cell>
        </row>
        <row r="189">
          <cell r="D189">
            <v>14890514</v>
          </cell>
          <cell r="F189" t="str">
            <v>Prov For Repairs &amp; Maintenance (C.Y.)</v>
          </cell>
          <cell r="I189">
            <v>-372318.43</v>
          </cell>
        </row>
        <row r="190">
          <cell r="D190">
            <v>14890517</v>
          </cell>
          <cell r="F190" t="str">
            <v>Prov For Printing &amp; Stationary Expenses (C.Y.)</v>
          </cell>
          <cell r="I190">
            <v>-1196920.8500000001</v>
          </cell>
        </row>
        <row r="191">
          <cell r="D191">
            <v>14890521</v>
          </cell>
          <cell r="F191" t="str">
            <v>Prov For Travelling Expenses (C.Y.)</v>
          </cell>
          <cell r="I191">
            <v>-195.76</v>
          </cell>
        </row>
        <row r="192">
          <cell r="D192">
            <v>14890528</v>
          </cell>
          <cell r="F192" t="str">
            <v>Prov for Bonus (C.Y.)</v>
          </cell>
          <cell r="I192">
            <v>0</v>
          </cell>
        </row>
        <row r="193">
          <cell r="D193">
            <v>14890534</v>
          </cell>
          <cell r="F193" t="str">
            <v>Prov For Office Maintenance (C.Y.)</v>
          </cell>
          <cell r="I193">
            <v>-5757.04</v>
          </cell>
        </row>
        <row r="194">
          <cell r="D194">
            <v>14890548</v>
          </cell>
          <cell r="F194" t="str">
            <v xml:space="preserve"> Provision for Staff welfare</v>
          </cell>
          <cell r="I194">
            <v>0</v>
          </cell>
        </row>
        <row r="195">
          <cell r="D195">
            <v>14890560</v>
          </cell>
          <cell r="F195" t="str">
            <v>Rent Provision (C.Y.)</v>
          </cell>
          <cell r="I195">
            <v>0</v>
          </cell>
        </row>
        <row r="196">
          <cell r="D196">
            <v>14890597</v>
          </cell>
          <cell r="F196" t="str">
            <v>Amc Charges Hardware (C.Y.) Payable</v>
          </cell>
          <cell r="I196">
            <v>-732141.43</v>
          </cell>
        </row>
        <row r="197">
          <cell r="D197">
            <v>14890598</v>
          </cell>
          <cell r="F197" t="str">
            <v>Amc Charges Software (C.Y.) Payable</v>
          </cell>
          <cell r="I197">
            <v>-135000</v>
          </cell>
        </row>
        <row r="198">
          <cell r="D198">
            <v>14890600</v>
          </cell>
          <cell r="F198" t="str">
            <v>Business Promotion Expenses (C.Y.) Payable</v>
          </cell>
          <cell r="I198">
            <v>-50000</v>
          </cell>
        </row>
        <row r="199">
          <cell r="D199">
            <v>14890602</v>
          </cell>
          <cell r="F199" t="str">
            <v>Commission (C.Y.) Payable</v>
          </cell>
          <cell r="I199">
            <v>-302000</v>
          </cell>
        </row>
        <row r="200">
          <cell r="D200">
            <v>14890603</v>
          </cell>
          <cell r="F200" t="str">
            <v>Content Expenses (C.Y.) Payable</v>
          </cell>
          <cell r="I200">
            <v>0</v>
          </cell>
        </row>
        <row r="201">
          <cell r="D201">
            <v>14890605</v>
          </cell>
          <cell r="F201" t="str">
            <v>Dmat Charges (C.Y.) Payable</v>
          </cell>
          <cell r="I201">
            <v>0</v>
          </cell>
        </row>
        <row r="202">
          <cell r="D202">
            <v>14890608</v>
          </cell>
          <cell r="F202" t="str">
            <v>Interest On Car Loans (C.Y.) Payable</v>
          </cell>
          <cell r="I202">
            <v>0</v>
          </cell>
        </row>
        <row r="203">
          <cell r="D203">
            <v>14890610</v>
          </cell>
          <cell r="F203" t="str">
            <v>Lease line Charges (C.Y.) Payable</v>
          </cell>
          <cell r="I203">
            <v>-389881.24</v>
          </cell>
        </row>
        <row r="204">
          <cell r="D204">
            <v>14890611</v>
          </cell>
          <cell r="E204" t="str">
            <v>GA0011</v>
          </cell>
          <cell r="F204" t="str">
            <v>Legal &amp; Professional Expenses (C.Y.) Payable</v>
          </cell>
          <cell r="I204">
            <v>-1027572.77</v>
          </cell>
        </row>
        <row r="205">
          <cell r="D205">
            <v>14890617</v>
          </cell>
          <cell r="F205" t="str">
            <v>Recruitment &amp; Training Expenses (C.Y.) Payable</v>
          </cell>
          <cell r="I205">
            <v>0</v>
          </cell>
        </row>
        <row r="206">
          <cell r="D206">
            <v>14890622</v>
          </cell>
          <cell r="F206" t="str">
            <v>Software Charges (C.Y.) Payable</v>
          </cell>
          <cell r="I206">
            <v>-150000</v>
          </cell>
        </row>
        <row r="207">
          <cell r="D207">
            <v>14890492</v>
          </cell>
          <cell r="F207" t="str">
            <v>Membership Fees payable</v>
          </cell>
          <cell r="I207">
            <v>0</v>
          </cell>
        </row>
        <row r="208">
          <cell r="D208">
            <v>14890003</v>
          </cell>
          <cell r="F208" t="str">
            <v>Provision For Advertisement Expenses</v>
          </cell>
          <cell r="I208">
            <v>0</v>
          </cell>
        </row>
        <row r="209">
          <cell r="D209">
            <v>14890029</v>
          </cell>
          <cell r="F209" t="str">
            <v>Provision for Interest</v>
          </cell>
          <cell r="I209">
            <v>0</v>
          </cell>
        </row>
        <row r="210">
          <cell r="D210">
            <v>14890361</v>
          </cell>
          <cell r="F210" t="str">
            <v>Interest Payable</v>
          </cell>
          <cell r="I210">
            <v>0</v>
          </cell>
        </row>
        <row r="211">
          <cell r="D211">
            <v>14890623</v>
          </cell>
          <cell r="F211" t="str">
            <v>Staff Welfare Expenses (C.Y.) Payable</v>
          </cell>
          <cell r="I211">
            <v>-84911</v>
          </cell>
        </row>
        <row r="212">
          <cell r="D212">
            <v>14890624</v>
          </cell>
          <cell r="F212" t="str">
            <v>Telephone Expense (C.Y.) Payable</v>
          </cell>
          <cell r="I212">
            <v>-132502.63</v>
          </cell>
        </row>
        <row r="213">
          <cell r="D213">
            <v>14890625</v>
          </cell>
          <cell r="F213" t="str">
            <v>Transaction Charges (C.Y.) Payable</v>
          </cell>
          <cell r="I213">
            <v>0</v>
          </cell>
        </row>
        <row r="214">
          <cell r="D214">
            <v>14890627</v>
          </cell>
          <cell r="F214" t="str">
            <v>V Sat Charges (C.Y.) Payable</v>
          </cell>
          <cell r="I214">
            <v>-105915.57</v>
          </cell>
        </row>
        <row r="215">
          <cell r="D215">
            <v>14890628</v>
          </cell>
          <cell r="F215" t="str">
            <v>Web Hosting Charges (C.Y.) Payable</v>
          </cell>
          <cell r="I215">
            <v>0</v>
          </cell>
        </row>
        <row r="216">
          <cell r="D216">
            <v>14890643</v>
          </cell>
          <cell r="F216" t="str">
            <v>Prov. For Statutory Audit Fee  (C.Y.)</v>
          </cell>
          <cell r="I216">
            <v>0</v>
          </cell>
        </row>
        <row r="217">
          <cell r="D217">
            <v>14890708</v>
          </cell>
          <cell r="E217" t="str">
            <v>GISTAX</v>
          </cell>
          <cell r="F217" t="str">
            <v>Service Tax Payable - Institutional</v>
          </cell>
          <cell r="I217">
            <v>0</v>
          </cell>
        </row>
        <row r="218">
          <cell r="D218">
            <v>14890011</v>
          </cell>
          <cell r="F218" t="str">
            <v>Provision For Telephone Exp.</v>
          </cell>
          <cell r="I218">
            <v>-3272633.61</v>
          </cell>
        </row>
        <row r="219">
          <cell r="D219">
            <v>13112400</v>
          </cell>
          <cell r="F219" t="str">
            <v>GR/IR-clearing - Freight</v>
          </cell>
          <cell r="I219">
            <v>0</v>
          </cell>
        </row>
        <row r="220">
          <cell r="D220">
            <v>14890745</v>
          </cell>
          <cell r="F220" t="str">
            <v>Service Tax Payable(Import of Service) A/C</v>
          </cell>
          <cell r="I220">
            <v>0</v>
          </cell>
        </row>
        <row r="221">
          <cell r="D221">
            <v>14890556</v>
          </cell>
          <cell r="F221" t="str">
            <v>Rates &amp; Tax Payable</v>
          </cell>
          <cell r="I221">
            <v>0</v>
          </cell>
        </row>
        <row r="222">
          <cell r="D222">
            <v>14890604</v>
          </cell>
          <cell r="F222" t="str">
            <v>Depository Charges (C.Y.) Payable</v>
          </cell>
          <cell r="I222">
            <v>-79071.740000000005</v>
          </cell>
        </row>
        <row r="223">
          <cell r="D223">
            <v>14890538</v>
          </cell>
          <cell r="F223" t="str">
            <v>Service tax on Manpower Deployment</v>
          </cell>
          <cell r="I223">
            <v>0</v>
          </cell>
        </row>
        <row r="224">
          <cell r="D224">
            <v>14890772</v>
          </cell>
          <cell r="F224" t="str">
            <v>Provison for Stamp Duty (C.Y)</v>
          </cell>
          <cell r="I224">
            <v>131</v>
          </cell>
        </row>
        <row r="225">
          <cell r="D225">
            <v>24710850</v>
          </cell>
          <cell r="F225" t="str">
            <v>S Tax 10.30% on 33% and 12.5% VAT on 75% (Non M)</v>
          </cell>
          <cell r="I225">
            <v>0</v>
          </cell>
        </row>
        <row r="226">
          <cell r="D226">
            <v>13113031</v>
          </cell>
          <cell r="F226" t="str">
            <v>Service Tax (10%) Accrual A/c</v>
          </cell>
          <cell r="I226">
            <v>0</v>
          </cell>
        </row>
        <row r="227">
          <cell r="D227">
            <v>13113032</v>
          </cell>
          <cell r="F227" t="str">
            <v>Education Cess Accrual A/c</v>
          </cell>
          <cell r="I227">
            <v>0</v>
          </cell>
        </row>
        <row r="228">
          <cell r="D228">
            <v>13113033</v>
          </cell>
          <cell r="F228" t="str">
            <v>Higher Secondary Education Cess Accrual A/c</v>
          </cell>
          <cell r="I228">
            <v>0</v>
          </cell>
        </row>
        <row r="229">
          <cell r="D229">
            <v>14890030</v>
          </cell>
          <cell r="E229" t="str">
            <v>GL01001</v>
          </cell>
          <cell r="F229" t="str">
            <v>Service Tax Payable Nse CM</v>
          </cell>
          <cell r="I229">
            <v>506282.04</v>
          </cell>
        </row>
        <row r="230">
          <cell r="D230">
            <v>14890035</v>
          </cell>
          <cell r="E230" t="str">
            <v>GSTAXT</v>
          </cell>
          <cell r="F230" t="str">
            <v>Service Tax Payable Transaction Charges</v>
          </cell>
          <cell r="I230">
            <v>-1</v>
          </cell>
        </row>
        <row r="231">
          <cell r="D231">
            <v>14890186</v>
          </cell>
          <cell r="E231" t="str">
            <v>GL01050</v>
          </cell>
          <cell r="F231" t="str">
            <v>Nse Penalty Charges Payable</v>
          </cell>
          <cell r="I231">
            <v>-39968.36</v>
          </cell>
        </row>
        <row r="232">
          <cell r="D232">
            <v>14890592</v>
          </cell>
          <cell r="E232" t="str">
            <v>GSTAXS</v>
          </cell>
          <cell r="F232" t="str">
            <v>Service Tax On Scheme Charges</v>
          </cell>
          <cell r="I232">
            <v>-20102.849999999999</v>
          </cell>
        </row>
        <row r="233">
          <cell r="D233">
            <v>14890060</v>
          </cell>
          <cell r="F233" t="str">
            <v>Sundry Creditors- Vendors Balances Advertisement</v>
          </cell>
          <cell r="I233">
            <v>-20837</v>
          </cell>
        </row>
        <row r="234">
          <cell r="D234">
            <v>14890063</v>
          </cell>
          <cell r="F234" t="str">
            <v>Sundry Creditors- Vendors Communication</v>
          </cell>
          <cell r="I234">
            <v>-6221545.7800000003</v>
          </cell>
        </row>
        <row r="235">
          <cell r="D235">
            <v>14890068</v>
          </cell>
          <cell r="F235" t="str">
            <v>Sundry Creditors- Vendors Foregin</v>
          </cell>
          <cell r="I235">
            <v>0</v>
          </cell>
        </row>
        <row r="236">
          <cell r="D236">
            <v>14890070</v>
          </cell>
          <cell r="F236" t="str">
            <v>Sundry Creditors- Vendors Housekeeping</v>
          </cell>
          <cell r="I236">
            <v>-13908</v>
          </cell>
        </row>
        <row r="237">
          <cell r="D237">
            <v>14890071</v>
          </cell>
          <cell r="F237" t="str">
            <v>Sundry Creditors- Vendors Legal &amp; Professional</v>
          </cell>
          <cell r="I237">
            <v>1356101.1</v>
          </cell>
        </row>
        <row r="238">
          <cell r="D238">
            <v>14890072</v>
          </cell>
          <cell r="F238" t="str">
            <v>Sundry Creditors- Vendors Marketing Associates/DSA</v>
          </cell>
          <cell r="I238">
            <v>-117791.5</v>
          </cell>
        </row>
        <row r="239">
          <cell r="D239">
            <v>14890073</v>
          </cell>
          <cell r="F239" t="str">
            <v>Sundry Creditors- Vendors Materials</v>
          </cell>
          <cell r="I239">
            <v>-0.25</v>
          </cell>
        </row>
        <row r="240">
          <cell r="D240">
            <v>14890077</v>
          </cell>
          <cell r="F240" t="str">
            <v>Sundry Creditors- Vendors Services</v>
          </cell>
          <cell r="I240">
            <v>-5617255.25</v>
          </cell>
        </row>
        <row r="241">
          <cell r="D241">
            <v>14890078</v>
          </cell>
          <cell r="F241" t="str">
            <v>Sundry Creditors- Vendors Subbroker Distribution</v>
          </cell>
          <cell r="I241">
            <v>-930</v>
          </cell>
        </row>
        <row r="242">
          <cell r="D242">
            <v>14890392</v>
          </cell>
          <cell r="F242" t="str">
            <v>Sundry Creditors-Vendors Inter Company Payables</v>
          </cell>
          <cell r="I242">
            <v>0</v>
          </cell>
        </row>
        <row r="243">
          <cell r="D243">
            <v>14890064</v>
          </cell>
          <cell r="F243" t="str">
            <v>Sundry Creditors- Vendors Credit Agency</v>
          </cell>
          <cell r="I243">
            <v>0</v>
          </cell>
        </row>
        <row r="244">
          <cell r="D244">
            <v>15000024</v>
          </cell>
          <cell r="F244" t="str">
            <v>Sundry Creditors- Vendors Misc</v>
          </cell>
          <cell r="I244">
            <v>-1095209.01</v>
          </cell>
        </row>
        <row r="245">
          <cell r="D245">
            <v>15000026</v>
          </cell>
          <cell r="F245" t="str">
            <v>Sundry Creditors- Vendors Security Services</v>
          </cell>
          <cell r="I245">
            <v>0</v>
          </cell>
        </row>
        <row r="246">
          <cell r="D246">
            <v>15000011</v>
          </cell>
          <cell r="F246" t="str">
            <v>Sundry Creditors Vendors Fixed Assets &amp; Other</v>
          </cell>
          <cell r="I246">
            <v>-17070204.629999999</v>
          </cell>
        </row>
        <row r="247">
          <cell r="D247">
            <v>15000025</v>
          </cell>
          <cell r="F247" t="str">
            <v>Sundry Creditors -Vendors (Landlord)</v>
          </cell>
          <cell r="I247">
            <v>-2998945.51</v>
          </cell>
        </row>
        <row r="248">
          <cell r="D248">
            <v>15000018</v>
          </cell>
          <cell r="F248" t="str">
            <v>Sundry Creditors Vendors Emp (Other Than Salary)</v>
          </cell>
          <cell r="I248">
            <v>303115</v>
          </cell>
        </row>
        <row r="249">
          <cell r="D249">
            <v>12140154</v>
          </cell>
          <cell r="F249" t="str">
            <v>AUTO LOAN</v>
          </cell>
          <cell r="I249">
            <v>-1710950.89</v>
          </cell>
        </row>
        <row r="250">
          <cell r="D250">
            <v>12140032</v>
          </cell>
          <cell r="F250" t="str">
            <v>Auto Loan Honda City Vikas Sachdeva (Legal)</v>
          </cell>
          <cell r="I250">
            <v>0</v>
          </cell>
        </row>
        <row r="251">
          <cell r="D251">
            <v>12230030</v>
          </cell>
          <cell r="F251" t="str">
            <v>Loans Received- Vendors ICD Taken</v>
          </cell>
          <cell r="I251">
            <v>0</v>
          </cell>
        </row>
        <row r="252">
          <cell r="D252">
            <v>12230031</v>
          </cell>
          <cell r="F252" t="str">
            <v>Loans Received- Vendors ICD Taken - Others</v>
          </cell>
          <cell r="I252">
            <v>0</v>
          </cell>
        </row>
        <row r="253">
          <cell r="D253" t="str">
            <v>ECSRPROV</v>
          </cell>
          <cell r="F253" t="str">
            <v>Prov for CSR Expenses</v>
          </cell>
          <cell r="I253">
            <v>0</v>
          </cell>
        </row>
        <row r="254">
          <cell r="D254">
            <v>14890853</v>
          </cell>
          <cell r="F254" t="str">
            <v>Other Liabilities</v>
          </cell>
          <cell r="I254">
            <v>-10871546.039999999</v>
          </cell>
        </row>
        <row r="255">
          <cell r="D255">
            <v>14890183</v>
          </cell>
          <cell r="E255" t="str">
            <v>GCDP</v>
          </cell>
          <cell r="F255" t="str">
            <v>Indiabulls DP</v>
          </cell>
          <cell r="I255">
            <v>150188545.24000001</v>
          </cell>
        </row>
        <row r="256">
          <cell r="D256">
            <v>90000388</v>
          </cell>
          <cell r="E256">
            <v>90000388</v>
          </cell>
          <cell r="F256" t="str">
            <v>Dividend Receivable</v>
          </cell>
          <cell r="G256" t="str">
            <v>Clients</v>
          </cell>
          <cell r="I256">
            <v>0</v>
          </cell>
        </row>
        <row r="258">
          <cell r="F258" t="str">
            <v>Share Capital</v>
          </cell>
        </row>
        <row r="259">
          <cell r="D259">
            <v>10100015</v>
          </cell>
          <cell r="F259" t="str">
            <v>Equity Share Capital Face Value Rs.2</v>
          </cell>
          <cell r="G259" t="str">
            <v>Equity share Capital</v>
          </cell>
          <cell r="H259" t="str">
            <v xml:space="preserve"> Paidup</v>
          </cell>
          <cell r="I259">
            <v>-521552072</v>
          </cell>
        </row>
        <row r="261">
          <cell r="F261" t="str">
            <v>Reserves and Surplus</v>
          </cell>
        </row>
        <row r="262">
          <cell r="D262">
            <v>11000001</v>
          </cell>
          <cell r="E262" t="str">
            <v>GCRR</v>
          </cell>
          <cell r="F262" t="str">
            <v>Capital Redemption Reserve</v>
          </cell>
          <cell r="G262" t="str">
            <v>Reserves &amp; surplus</v>
          </cell>
          <cell r="H262" t="str">
            <v>Capital Redemption Reserve</v>
          </cell>
          <cell r="I262">
            <v>-360036184</v>
          </cell>
        </row>
        <row r="263">
          <cell r="D263">
            <v>11100000</v>
          </cell>
          <cell r="E263" t="str">
            <v>GL0047</v>
          </cell>
          <cell r="F263" t="str">
            <v>Share Premium Account</v>
          </cell>
          <cell r="G263" t="str">
            <v>Reserves &amp; surplus</v>
          </cell>
          <cell r="H263" t="str">
            <v>Share Premium Account</v>
          </cell>
          <cell r="I263">
            <v>-354876979.60000002</v>
          </cell>
        </row>
        <row r="264">
          <cell r="D264">
            <v>11000003</v>
          </cell>
          <cell r="F264" t="str">
            <v>Foreign Currency Monetary Item Translation Difference Account</v>
          </cell>
          <cell r="G264" t="str">
            <v>Reserves &amp; surplus</v>
          </cell>
          <cell r="H264" t="str">
            <v>Foreign Currency Monetary Item Translation Difference Account</v>
          </cell>
          <cell r="I264">
            <v>-11243062.890000001</v>
          </cell>
        </row>
        <row r="265">
          <cell r="D265">
            <v>11400000</v>
          </cell>
          <cell r="E265" t="str">
            <v>GA1111</v>
          </cell>
          <cell r="F265" t="str">
            <v>General Reserve</v>
          </cell>
          <cell r="G265" t="str">
            <v>Reserves &amp; surplus</v>
          </cell>
          <cell r="H265" t="str">
            <v>General Reserve</v>
          </cell>
          <cell r="I265">
            <v>-338177977</v>
          </cell>
        </row>
        <row r="266">
          <cell r="D266">
            <v>11600000</v>
          </cell>
          <cell r="E266" t="str">
            <v>GA00B41</v>
          </cell>
          <cell r="F266" t="str">
            <v>Balance in Profit &amp; Loss Account</v>
          </cell>
          <cell r="G266" t="str">
            <v>Reserves &amp; surplus</v>
          </cell>
          <cell r="H266" t="str">
            <v>Balance in Profit &amp; Loss Account</v>
          </cell>
          <cell r="I266">
            <v>-1683216295.1700001</v>
          </cell>
        </row>
        <row r="267">
          <cell r="D267">
            <v>11610000</v>
          </cell>
          <cell r="F267" t="str">
            <v>Unappropriated Retained Earnings Prev yr</v>
          </cell>
          <cell r="G267" t="str">
            <v>Reserves &amp; surplus</v>
          </cell>
          <cell r="H267" t="str">
            <v>Unappropriated Retained Earnings Prev yr</v>
          </cell>
          <cell r="I267">
            <v>1187485694.4200001</v>
          </cell>
        </row>
        <row r="269">
          <cell r="F269" t="str">
            <v>Money received against Share Warrants</v>
          </cell>
        </row>
        <row r="270">
          <cell r="D270">
            <v>10200002</v>
          </cell>
          <cell r="F270" t="str">
            <v>Warrants</v>
          </cell>
          <cell r="G270" t="str">
            <v>Warrants</v>
          </cell>
          <cell r="I270">
            <v>-100555004</v>
          </cell>
        </row>
        <row r="272">
          <cell r="D272">
            <v>13113809</v>
          </cell>
          <cell r="F272" t="str">
            <v>Share Application Money – ESOS 2008</v>
          </cell>
          <cell r="G272" t="str">
            <v>ESOS 2008</v>
          </cell>
          <cell r="I272">
            <v>0</v>
          </cell>
        </row>
        <row r="275">
          <cell r="F275" t="str">
            <v>Long-Term Borrowings</v>
          </cell>
        </row>
        <row r="276">
          <cell r="F276" t="str">
            <v>Vehicle Loans</v>
          </cell>
        </row>
        <row r="277">
          <cell r="F277" t="str">
            <v>ARCK Sheet</v>
          </cell>
          <cell r="G277" t="str">
            <v>Long - term Borrowings</v>
          </cell>
        </row>
        <row r="279">
          <cell r="F279" t="str">
            <v>Retirement Benefits</v>
          </cell>
        </row>
        <row r="280">
          <cell r="D280">
            <v>13113958</v>
          </cell>
          <cell r="E280" t="str">
            <v>GGP</v>
          </cell>
          <cell r="F280" t="str">
            <v>Gratuity Payable</v>
          </cell>
          <cell r="I280">
            <v>-18877308.52</v>
          </cell>
        </row>
        <row r="281">
          <cell r="D281">
            <v>14700000</v>
          </cell>
          <cell r="E281" t="str">
            <v>GLP</v>
          </cell>
          <cell r="F281" t="str">
            <v>Provision-leave encashment at retirement</v>
          </cell>
          <cell r="I281">
            <v>-5315895.9400000004</v>
          </cell>
        </row>
        <row r="283">
          <cell r="F283" t="str">
            <v>Long-Term Provisions</v>
          </cell>
        </row>
        <row r="284">
          <cell r="F284" t="str">
            <v>Gratuity Payable - LT</v>
          </cell>
          <cell r="G284" t="str">
            <v>Long-Term Provisions</v>
          </cell>
        </row>
        <row r="285">
          <cell r="F285" t="str">
            <v>Provision-leave encashment at retirement - LT</v>
          </cell>
          <cell r="G285" t="str">
            <v>Long-Term Provisions</v>
          </cell>
        </row>
        <row r="287">
          <cell r="F287" t="str">
            <v>Long-Term Provisions</v>
          </cell>
        </row>
        <row r="288">
          <cell r="F288" t="str">
            <v>Gratuity Payable - ST</v>
          </cell>
          <cell r="G288" t="str">
            <v>Short-Term Provisions</v>
          </cell>
        </row>
        <row r="289">
          <cell r="F289" t="str">
            <v>Provision-leave encashment at retirement - ST</v>
          </cell>
          <cell r="G289" t="str">
            <v>Short-Term Provisions</v>
          </cell>
        </row>
        <row r="292">
          <cell r="D292" t="str">
            <v>2007-08</v>
          </cell>
        </row>
        <row r="293">
          <cell r="D293">
            <v>14890410</v>
          </cell>
          <cell r="F293" t="str">
            <v>Provision For Income Tax - 2007-08</v>
          </cell>
          <cell r="I293">
            <v>-1220860580.75</v>
          </cell>
        </row>
        <row r="294">
          <cell r="D294">
            <v>24700060</v>
          </cell>
          <cell r="F294" t="str">
            <v>TDS DEDUCTED FIXED DEPOSIT 2007-2008</v>
          </cell>
          <cell r="I294">
            <v>69436108.640000001</v>
          </cell>
        </row>
        <row r="295">
          <cell r="D295">
            <v>24700055</v>
          </cell>
          <cell r="E295" t="str">
            <v>GA092</v>
          </cell>
          <cell r="F295" t="str">
            <v>Tax Deducted at Source 2007-08</v>
          </cell>
          <cell r="I295">
            <v>16088886.99</v>
          </cell>
        </row>
        <row r="296">
          <cell r="D296">
            <v>24710909</v>
          </cell>
          <cell r="F296" t="str">
            <v>TDS Deducted Group Co. 2007-08</v>
          </cell>
          <cell r="I296">
            <v>19713366.120000001</v>
          </cell>
        </row>
        <row r="297">
          <cell r="D297">
            <v>24710800</v>
          </cell>
          <cell r="F297" t="str">
            <v>Advance Tax A.Y. 2008-09</v>
          </cell>
          <cell r="I297">
            <v>1110000000</v>
          </cell>
        </row>
        <row r="298">
          <cell r="D298">
            <v>24710967</v>
          </cell>
          <cell r="F298" t="str">
            <v>Self Assessment Tax AY 2008 - 09(FY2007-08)</v>
          </cell>
          <cell r="I298">
            <v>4803750</v>
          </cell>
        </row>
        <row r="299">
          <cell r="D299">
            <v>24790016</v>
          </cell>
          <cell r="F299" t="str">
            <v>Income Tax Demand Paid FY 2007-08</v>
          </cell>
          <cell r="I299">
            <v>818469</v>
          </cell>
        </row>
        <row r="301">
          <cell r="D301" t="str">
            <v>2010-11</v>
          </cell>
        </row>
        <row r="302">
          <cell r="D302">
            <v>14890732</v>
          </cell>
          <cell r="F302" t="str">
            <v>Provision For Income Tax F.Y(2010-11)</v>
          </cell>
          <cell r="I302">
            <v>0</v>
          </cell>
        </row>
        <row r="303">
          <cell r="D303">
            <v>24710913</v>
          </cell>
          <cell r="F303" t="str">
            <v>Mat Credit</v>
          </cell>
          <cell r="I303">
            <v>0</v>
          </cell>
        </row>
        <row r="304">
          <cell r="D304">
            <v>14890857</v>
          </cell>
          <cell r="F304" t="str">
            <v>Income Tax Refund FY 2010-11</v>
          </cell>
          <cell r="I304">
            <v>0</v>
          </cell>
        </row>
        <row r="305">
          <cell r="D305">
            <v>24711024</v>
          </cell>
          <cell r="F305" t="str">
            <v>TDS Ded. FDR 10-11</v>
          </cell>
          <cell r="I305">
            <v>0</v>
          </cell>
        </row>
        <row r="306">
          <cell r="D306">
            <v>24711025</v>
          </cell>
          <cell r="F306" t="str">
            <v>TDS Deducted Others 2010-11</v>
          </cell>
          <cell r="I306">
            <v>0</v>
          </cell>
        </row>
        <row r="307">
          <cell r="D307">
            <v>24711034</v>
          </cell>
          <cell r="F307" t="str">
            <v>TDS Deducted Group Co. 2010-11</v>
          </cell>
          <cell r="I307">
            <v>0</v>
          </cell>
        </row>
        <row r="308">
          <cell r="D308">
            <v>24700131</v>
          </cell>
          <cell r="F308" t="str">
            <v>Tds Deducted FY10-11</v>
          </cell>
          <cell r="I308">
            <v>0</v>
          </cell>
        </row>
        <row r="309">
          <cell r="D309">
            <v>24711033</v>
          </cell>
          <cell r="F309" t="str">
            <v>Advance Tax A.Y.2011-12</v>
          </cell>
          <cell r="I309">
            <v>0</v>
          </cell>
        </row>
        <row r="311">
          <cell r="D311" t="str">
            <v>2011-12</v>
          </cell>
        </row>
        <row r="312">
          <cell r="D312">
            <v>14890789</v>
          </cell>
          <cell r="F312" t="str">
            <v>Provisions for taxation</v>
          </cell>
          <cell r="I312">
            <v>-50610000</v>
          </cell>
        </row>
        <row r="313">
          <cell r="D313">
            <v>24711055</v>
          </cell>
          <cell r="F313" t="str">
            <v>TDS Ded. FDR 11-12</v>
          </cell>
          <cell r="I313">
            <v>30853398.690000001</v>
          </cell>
        </row>
        <row r="314">
          <cell r="D314">
            <v>24711064</v>
          </cell>
          <cell r="F314" t="str">
            <v>TDS Deducted – Clients FY 2011-12</v>
          </cell>
          <cell r="I314">
            <v>2567559</v>
          </cell>
        </row>
        <row r="315">
          <cell r="D315">
            <v>14890942</v>
          </cell>
          <cell r="F315" t="str">
            <v>Income Tax Refund FY 2011-12</v>
          </cell>
          <cell r="I315">
            <v>-39610943</v>
          </cell>
        </row>
        <row r="316">
          <cell r="D316">
            <v>24711056</v>
          </cell>
          <cell r="F316" t="str">
            <v>TDS Deducted Others 2011-12</v>
          </cell>
          <cell r="I316">
            <v>15441108</v>
          </cell>
        </row>
        <row r="318">
          <cell r="D318" t="str">
            <v>2012-13</v>
          </cell>
        </row>
        <row r="319">
          <cell r="D319">
            <v>14890891</v>
          </cell>
          <cell r="F319" t="str">
            <v xml:space="preserve">Provision For Income Tax </v>
          </cell>
          <cell r="I319">
            <v>-143306858</v>
          </cell>
        </row>
        <row r="320">
          <cell r="D320">
            <v>24711089</v>
          </cell>
          <cell r="F320" t="str">
            <v>TDS Ded. FDR FY 2012-13</v>
          </cell>
          <cell r="I320">
            <v>22253849.620000001</v>
          </cell>
        </row>
        <row r="321">
          <cell r="D321">
            <v>24711091</v>
          </cell>
          <cell r="F321" t="str">
            <v>TDS Deducted – Clients FY 2012-13</v>
          </cell>
          <cell r="I321">
            <v>870195</v>
          </cell>
        </row>
        <row r="322">
          <cell r="D322">
            <v>24711085</v>
          </cell>
          <cell r="F322" t="str">
            <v>TDS Deducted Others 2012-13</v>
          </cell>
          <cell r="I322">
            <v>32652355</v>
          </cell>
        </row>
        <row r="323">
          <cell r="D323">
            <v>24711125</v>
          </cell>
          <cell r="F323" t="str">
            <v>Self Assessment Tax AY. 2013-14 (FY. 2012-13)</v>
          </cell>
          <cell r="I323">
            <v>27494904</v>
          </cell>
        </row>
        <row r="324">
          <cell r="D324">
            <v>24711096</v>
          </cell>
          <cell r="F324" t="str">
            <v>Advance Tax A.Y. 2012-13</v>
          </cell>
          <cell r="I324">
            <v>60000000</v>
          </cell>
        </row>
        <row r="326">
          <cell r="D326" t="str">
            <v>2013-14</v>
          </cell>
        </row>
        <row r="327">
          <cell r="D327">
            <v>24711107</v>
          </cell>
          <cell r="F327" t="str">
            <v>TDS Ded. FDR FY 2013-14</v>
          </cell>
          <cell r="I327">
            <v>14613447.220000001</v>
          </cell>
        </row>
        <row r="328">
          <cell r="D328">
            <v>24711106</v>
          </cell>
          <cell r="F328" t="str">
            <v>TDS Deducted Others FY 2013-14</v>
          </cell>
          <cell r="I328">
            <v>30030401</v>
          </cell>
        </row>
        <row r="329">
          <cell r="D329">
            <v>24711109</v>
          </cell>
          <cell r="F329" t="str">
            <v>TDS Cert.Rece.FY 2013-14</v>
          </cell>
          <cell r="I329">
            <v>1927316</v>
          </cell>
        </row>
        <row r="330">
          <cell r="D330">
            <v>24711074</v>
          </cell>
          <cell r="F330" t="str">
            <v xml:space="preserve"> TDS Deducted – Clients FY 2013-14</v>
          </cell>
          <cell r="I330">
            <v>100841</v>
          </cell>
        </row>
        <row r="331">
          <cell r="D331">
            <v>24711119</v>
          </cell>
          <cell r="F331" t="str">
            <v>Advance Tax A.Y.2014-15</v>
          </cell>
          <cell r="I331">
            <v>70000000</v>
          </cell>
        </row>
        <row r="332">
          <cell r="D332">
            <v>14890945</v>
          </cell>
          <cell r="F332" t="str">
            <v>Tax Provision</v>
          </cell>
          <cell r="I332">
            <v>-123700000</v>
          </cell>
        </row>
        <row r="334">
          <cell r="D334" t="str">
            <v>2014-15</v>
          </cell>
        </row>
        <row r="336">
          <cell r="D336">
            <v>24711134</v>
          </cell>
          <cell r="F336" t="str">
            <v>TDS Ded. FDR FY 2014-15</v>
          </cell>
          <cell r="I336">
            <v>607</v>
          </cell>
        </row>
        <row r="337">
          <cell r="D337">
            <v>24711136</v>
          </cell>
          <cell r="F337" t="str">
            <v>TDS Cert.Rece.FY 2014-15</v>
          </cell>
          <cell r="I337">
            <v>9836546</v>
          </cell>
        </row>
        <row r="338">
          <cell r="D338">
            <v>24711146</v>
          </cell>
          <cell r="F338" t="str">
            <v>TDS Deducted – Clients FY 2014-15</v>
          </cell>
          <cell r="I338">
            <v>139848</v>
          </cell>
        </row>
        <row r="339">
          <cell r="D339" t="str">
            <v>TAXPROV</v>
          </cell>
          <cell r="I339">
            <v>0</v>
          </cell>
        </row>
        <row r="341">
          <cell r="D341" t="str">
            <v>Wealth Tax</v>
          </cell>
        </row>
        <row r="342">
          <cell r="D342">
            <v>13113991</v>
          </cell>
          <cell r="E342" t="str">
            <v>GPWTAX</v>
          </cell>
          <cell r="F342" t="str">
            <v>Provision For Wealth Tax</v>
          </cell>
          <cell r="I342">
            <v>-148346</v>
          </cell>
        </row>
        <row r="345">
          <cell r="F345" t="str">
            <v>Short-Term Borrowings</v>
          </cell>
        </row>
        <row r="346">
          <cell r="F346" t="str">
            <v>Bank Overdraft</v>
          </cell>
        </row>
        <row r="347">
          <cell r="D347">
            <v>23520150</v>
          </cell>
          <cell r="E347" t="str">
            <v>GA00B608</v>
          </cell>
          <cell r="F347" t="str">
            <v>HDFC Bank Ltd. Ltd. A/c No. 00030340037616</v>
          </cell>
          <cell r="I347">
            <v>24939.94</v>
          </cell>
        </row>
        <row r="348">
          <cell r="D348">
            <v>23502930</v>
          </cell>
          <cell r="E348" t="str">
            <v>GA00B75</v>
          </cell>
          <cell r="F348" t="str">
            <v>Hdfc (Wdm00030340000667)</v>
          </cell>
          <cell r="I348">
            <v>10136547.1</v>
          </cell>
        </row>
        <row r="352">
          <cell r="F352" t="str">
            <v>Working Capital Loan</v>
          </cell>
        </row>
        <row r="353">
          <cell r="F353" t="str">
            <v>ARCK Sheet</v>
          </cell>
        </row>
        <row r="355">
          <cell r="F355" t="str">
            <v>Commercial Paper</v>
          </cell>
        </row>
        <row r="356">
          <cell r="D356">
            <v>12211009</v>
          </cell>
          <cell r="F356" t="str">
            <v>Commercial Paper-Taurus Mutual Fund</v>
          </cell>
          <cell r="I356">
            <v>-750000000</v>
          </cell>
        </row>
        <row r="357">
          <cell r="D357">
            <v>12211007</v>
          </cell>
          <cell r="F357" t="str">
            <v>Commercial Paper - Reliance</v>
          </cell>
          <cell r="I357">
            <v>-500000000</v>
          </cell>
        </row>
        <row r="358">
          <cell r="D358">
            <v>12211014</v>
          </cell>
          <cell r="F358" t="str">
            <v>Commercial Paper - Religare</v>
          </cell>
          <cell r="I358">
            <v>-700000000</v>
          </cell>
        </row>
        <row r="359">
          <cell r="D359">
            <v>12211010</v>
          </cell>
          <cell r="F359" t="str">
            <v>Commercial Paper - Peerless Mutual Fund</v>
          </cell>
          <cell r="I359">
            <v>0</v>
          </cell>
        </row>
        <row r="362">
          <cell r="D362">
            <v>12240019</v>
          </cell>
          <cell r="F362" t="str">
            <v>NCD-BIRLA MU FUND</v>
          </cell>
          <cell r="G362" t="str">
            <v>Short - term Borrowings</v>
          </cell>
          <cell r="H362" t="str">
            <v>Non Convertible Debenture</v>
          </cell>
          <cell r="I362">
            <v>0</v>
          </cell>
        </row>
        <row r="364">
          <cell r="F364" t="str">
            <v>ARCK Sheet - Inter Corporate Deposits</v>
          </cell>
          <cell r="G364" t="str">
            <v>Short - term Borrowings</v>
          </cell>
          <cell r="H364" t="str">
            <v>Inter Corporate Deposits</v>
          </cell>
        </row>
        <row r="366">
          <cell r="F366" t="str">
            <v>ARCK Sheet - Long Term Liabl</v>
          </cell>
        </row>
        <row r="368">
          <cell r="F368" t="str">
            <v>Trade Payables</v>
          </cell>
        </row>
        <row r="369">
          <cell r="F369" t="str">
            <v>ARCK Sheet</v>
          </cell>
          <cell r="G369" t="str">
            <v>Trade Payables</v>
          </cell>
          <cell r="H369" t="str">
            <v>Other Trade Payables</v>
          </cell>
        </row>
        <row r="371">
          <cell r="F371" t="str">
            <v>Brokerage/DP  income received in advance</v>
          </cell>
        </row>
        <row r="372">
          <cell r="D372">
            <v>13114411</v>
          </cell>
          <cell r="E372" t="str">
            <v>GADVCDP</v>
          </cell>
          <cell r="F372" t="str">
            <v>Advance  from Customers - DP</v>
          </cell>
          <cell r="G372" t="str">
            <v>Clients</v>
          </cell>
          <cell r="H372" t="str">
            <v>Margin from Customers</v>
          </cell>
          <cell r="I372">
            <v>-51717587</v>
          </cell>
        </row>
        <row r="373">
          <cell r="D373">
            <v>13113799</v>
          </cell>
          <cell r="E373" t="str">
            <v>GADVC</v>
          </cell>
          <cell r="F373" t="str">
            <v>Advance  from Customers</v>
          </cell>
          <cell r="G373" t="str">
            <v>Trade Payables</v>
          </cell>
          <cell r="H373" t="str">
            <v>Margin from Customers</v>
          </cell>
          <cell r="I373">
            <v>-986954</v>
          </cell>
        </row>
        <row r="375">
          <cell r="F375" t="str">
            <v>Clients</v>
          </cell>
        </row>
        <row r="376">
          <cell r="D376">
            <v>90000192</v>
          </cell>
          <cell r="E376" t="str">
            <v>GA05050</v>
          </cell>
          <cell r="F376" t="str">
            <v>Sundry Debtors A/C</v>
          </cell>
          <cell r="G376" t="str">
            <v>Clients</v>
          </cell>
          <cell r="I376">
            <v>-590159521.37</v>
          </cell>
        </row>
        <row r="377">
          <cell r="D377">
            <v>90000793</v>
          </cell>
          <cell r="E377">
            <v>90000793</v>
          </cell>
          <cell r="F377" t="str">
            <v>Sundry Debtors A/C - Mutual Fund Brokerage</v>
          </cell>
          <cell r="G377" t="str">
            <v>Clients</v>
          </cell>
          <cell r="I377">
            <v>21165.27</v>
          </cell>
        </row>
        <row r="378">
          <cell r="D378">
            <v>90000034</v>
          </cell>
          <cell r="E378">
            <v>90000034</v>
          </cell>
          <cell r="F378" t="str">
            <v>Sundry Debtors A/C.Customers Inter Company</v>
          </cell>
          <cell r="G378" t="str">
            <v>Clients</v>
          </cell>
          <cell r="I378">
            <v>1989675</v>
          </cell>
        </row>
        <row r="379">
          <cell r="D379">
            <v>13113802</v>
          </cell>
          <cell r="E379" t="str">
            <v>GA0383</v>
          </cell>
          <cell r="F379" t="str">
            <v>Deposit Received From Clients</v>
          </cell>
          <cell r="G379" t="str">
            <v>Clients</v>
          </cell>
          <cell r="I379">
            <v>0</v>
          </cell>
        </row>
        <row r="380">
          <cell r="D380">
            <v>14890825</v>
          </cell>
          <cell r="E380">
            <v>14890825</v>
          </cell>
          <cell r="F380" t="str">
            <v>Interest Payable - Custodial FD</v>
          </cell>
          <cell r="G380" t="str">
            <v>Clients</v>
          </cell>
          <cell r="I380">
            <v>0</v>
          </cell>
        </row>
        <row r="381">
          <cell r="D381">
            <v>14890858</v>
          </cell>
          <cell r="E381">
            <v>14890858</v>
          </cell>
          <cell r="F381" t="str">
            <v>MANOHARMMA HOTEL INVEST PVT LTD DIVIDEND SUNTV</v>
          </cell>
          <cell r="G381" t="str">
            <v>Clients</v>
          </cell>
          <cell r="I381">
            <v>-59108</v>
          </cell>
        </row>
        <row r="382">
          <cell r="D382">
            <v>14890123</v>
          </cell>
          <cell r="E382" t="str">
            <v>GADCM</v>
          </cell>
          <cell r="F382" t="str">
            <v>Avinash Kumar</v>
          </cell>
          <cell r="G382" t="str">
            <v>Clients</v>
          </cell>
          <cell r="I382">
            <v>-50000</v>
          </cell>
        </row>
        <row r="383">
          <cell r="D383">
            <v>14890124</v>
          </cell>
          <cell r="E383" t="str">
            <v>GADCM</v>
          </cell>
          <cell r="F383" t="str">
            <v>Gurmeet Singh Oberoi</v>
          </cell>
          <cell r="G383" t="str">
            <v>Clients</v>
          </cell>
          <cell r="I383">
            <v>-50000</v>
          </cell>
        </row>
        <row r="384">
          <cell r="D384">
            <v>14890127</v>
          </cell>
          <cell r="E384" t="str">
            <v>GADCM</v>
          </cell>
          <cell r="F384" t="str">
            <v>Mitul Ashwin Adhiya</v>
          </cell>
          <cell r="G384" t="str">
            <v>Clients</v>
          </cell>
          <cell r="I384">
            <v>-50000</v>
          </cell>
        </row>
        <row r="385">
          <cell r="D385">
            <v>14890148</v>
          </cell>
          <cell r="E385" t="str">
            <v>GL01MAR</v>
          </cell>
          <cell r="F385" t="str">
            <v>S K Singhal</v>
          </cell>
          <cell r="G385" t="str">
            <v>Clients</v>
          </cell>
          <cell r="I385">
            <v>-10000</v>
          </cell>
        </row>
        <row r="386">
          <cell r="D386">
            <v>14890149</v>
          </cell>
          <cell r="E386" t="str">
            <v>GL01MAR</v>
          </cell>
          <cell r="F386" t="str">
            <v>Surinder Madhavan</v>
          </cell>
          <cell r="G386" t="str">
            <v>Clients</v>
          </cell>
          <cell r="I386">
            <v>-1000</v>
          </cell>
        </row>
        <row r="387">
          <cell r="D387">
            <v>24700005</v>
          </cell>
          <cell r="E387" t="str">
            <v>GI01001</v>
          </cell>
          <cell r="F387" t="str">
            <v>Brokerage Charges Receivable</v>
          </cell>
          <cell r="G387" t="str">
            <v>Clients</v>
          </cell>
          <cell r="I387">
            <v>4389297.18</v>
          </cell>
        </row>
        <row r="388">
          <cell r="D388">
            <v>90000003</v>
          </cell>
          <cell r="E388" t="str">
            <v>GA05090</v>
          </cell>
          <cell r="F388" t="str">
            <v>Balancing Account</v>
          </cell>
          <cell r="G388" t="str">
            <v>Clients</v>
          </cell>
          <cell r="I388">
            <v>-0.24</v>
          </cell>
        </row>
        <row r="389">
          <cell r="D389">
            <v>90000004</v>
          </cell>
          <cell r="E389" t="str">
            <v>GL10130</v>
          </cell>
          <cell r="F389" t="str">
            <v>Account To Be Open</v>
          </cell>
          <cell r="G389" t="str">
            <v>Clients</v>
          </cell>
          <cell r="I389">
            <v>0</v>
          </cell>
        </row>
        <row r="390">
          <cell r="D390">
            <v>90000005</v>
          </cell>
          <cell r="E390" t="str">
            <v>GA0B1</v>
          </cell>
          <cell r="F390" t="str">
            <v>Cleared Ch. In Hdfc Bank</v>
          </cell>
          <cell r="G390" t="str">
            <v>Clients</v>
          </cell>
          <cell r="I390">
            <v>-643856.61</v>
          </cell>
        </row>
        <row r="391">
          <cell r="D391">
            <v>90000011</v>
          </cell>
          <cell r="E391" t="str">
            <v>GA05050</v>
          </cell>
          <cell r="F391" t="str">
            <v>Sundry Debtors A/C.Customers Direct</v>
          </cell>
          <cell r="G391" t="str">
            <v>Clients</v>
          </cell>
          <cell r="I391">
            <v>-524.01</v>
          </cell>
        </row>
        <row r="392">
          <cell r="D392">
            <v>90000058</v>
          </cell>
          <cell r="E392" t="str">
            <v>GL1028</v>
          </cell>
          <cell r="F392" t="str">
            <v>BANK OF BARODA CAPITALMARKETS(WDM)</v>
          </cell>
          <cell r="G392" t="str">
            <v>Clients</v>
          </cell>
          <cell r="I392">
            <v>-5250</v>
          </cell>
        </row>
        <row r="393">
          <cell r="D393">
            <v>90000063</v>
          </cell>
          <cell r="E393" t="str">
            <v>GL1028</v>
          </cell>
          <cell r="F393" t="str">
            <v>BHARAT CO-OP BANK LTD. (WDM)</v>
          </cell>
          <cell r="G393" t="str">
            <v>Clients</v>
          </cell>
          <cell r="I393">
            <v>-3200</v>
          </cell>
        </row>
        <row r="394">
          <cell r="D394">
            <v>90000066</v>
          </cell>
          <cell r="E394" t="str">
            <v>GL1028</v>
          </cell>
          <cell r="F394" t="str">
            <v>CANARA BANK(WDM)</v>
          </cell>
          <cell r="G394" t="str">
            <v>Clients</v>
          </cell>
          <cell r="I394">
            <v>-6000</v>
          </cell>
        </row>
        <row r="395">
          <cell r="D395">
            <v>90000072</v>
          </cell>
          <cell r="E395" t="str">
            <v>GL1028</v>
          </cell>
          <cell r="F395" t="str">
            <v>FEDERAL BANK(WDM)</v>
          </cell>
          <cell r="G395" t="str">
            <v>Clients</v>
          </cell>
          <cell r="I395">
            <v>-1750</v>
          </cell>
        </row>
        <row r="396">
          <cell r="D396">
            <v>90000074</v>
          </cell>
          <cell r="E396" t="str">
            <v>GL1028</v>
          </cell>
          <cell r="F396" t="str">
            <v>ICHALKARANJI JANTA SAHAKARI BANK(WDM)</v>
          </cell>
          <cell r="G396" t="str">
            <v>Clients</v>
          </cell>
          <cell r="I396">
            <v>-491</v>
          </cell>
        </row>
        <row r="397">
          <cell r="D397">
            <v>90000082</v>
          </cell>
          <cell r="E397" t="str">
            <v>GL1028</v>
          </cell>
          <cell r="F397" t="str">
            <v>JANTA SAHAKARI BANK(WDM)</v>
          </cell>
          <cell r="G397" t="str">
            <v>Clients</v>
          </cell>
          <cell r="I397">
            <v>-7000</v>
          </cell>
        </row>
        <row r="398">
          <cell r="D398">
            <v>90000088</v>
          </cell>
          <cell r="E398" t="str">
            <v>GL1028</v>
          </cell>
          <cell r="F398" t="str">
            <v>NAGPUR NAGRIK SAHAKARI B</v>
          </cell>
          <cell r="G398" t="str">
            <v>Clients</v>
          </cell>
          <cell r="I398">
            <v>-7264</v>
          </cell>
        </row>
        <row r="399">
          <cell r="D399">
            <v>90000092</v>
          </cell>
          <cell r="E399" t="str">
            <v>GL1028</v>
          </cell>
          <cell r="F399" t="str">
            <v>ORIENTAL BANK OF COMM. (WDM)</v>
          </cell>
          <cell r="G399" t="str">
            <v>Clients</v>
          </cell>
          <cell r="I399">
            <v>-19500</v>
          </cell>
        </row>
        <row r="400">
          <cell r="D400">
            <v>90000099</v>
          </cell>
          <cell r="E400" t="str">
            <v>GL1028</v>
          </cell>
          <cell r="F400" t="str">
            <v>SBI MUTUAL FUND (WDM)</v>
          </cell>
          <cell r="G400" t="str">
            <v>Clients</v>
          </cell>
          <cell r="I400">
            <v>-3500</v>
          </cell>
        </row>
        <row r="401">
          <cell r="D401">
            <v>90000104</v>
          </cell>
          <cell r="E401" t="str">
            <v>GL1028</v>
          </cell>
          <cell r="F401" t="str">
            <v>STATE BANK OF INDIA (WDM)</v>
          </cell>
          <cell r="G401" t="str">
            <v>Clients</v>
          </cell>
          <cell r="I401">
            <v>-11500</v>
          </cell>
        </row>
        <row r="402">
          <cell r="D402">
            <v>90000106</v>
          </cell>
          <cell r="E402" t="str">
            <v>GL1028</v>
          </cell>
          <cell r="F402" t="str">
            <v>STATE BANK OF SHAURASHTR</v>
          </cell>
          <cell r="G402" t="str">
            <v>Clients</v>
          </cell>
          <cell r="I402">
            <v>-500</v>
          </cell>
        </row>
        <row r="403">
          <cell r="D403">
            <v>90000109</v>
          </cell>
          <cell r="E403" t="str">
            <v>GL1028</v>
          </cell>
          <cell r="F403" t="str">
            <v>THE SANGLI BANK (WDM)</v>
          </cell>
          <cell r="G403" t="str">
            <v>Clients</v>
          </cell>
          <cell r="I403">
            <v>-3500</v>
          </cell>
        </row>
        <row r="404">
          <cell r="D404">
            <v>90000111</v>
          </cell>
          <cell r="E404" t="str">
            <v>GL1028</v>
          </cell>
          <cell r="F404" t="str">
            <v>UCO BANK</v>
          </cell>
          <cell r="G404" t="str">
            <v>Clients</v>
          </cell>
          <cell r="I404">
            <v>-2250</v>
          </cell>
        </row>
        <row r="405">
          <cell r="D405">
            <v>90000183</v>
          </cell>
          <cell r="E405" t="str">
            <v>GA05050</v>
          </cell>
          <cell r="F405" t="str">
            <v>Bombay Stock Exchange Limited</v>
          </cell>
          <cell r="G405" t="str">
            <v>Clients</v>
          </cell>
          <cell r="I405">
            <v>103186.87</v>
          </cell>
        </row>
        <row r="406">
          <cell r="D406">
            <v>90000184</v>
          </cell>
          <cell r="E406" t="str">
            <v>GA05050</v>
          </cell>
          <cell r="F406" t="str">
            <v>Bombay Stock Exchange Limited - STT A/C</v>
          </cell>
          <cell r="G406" t="str">
            <v>Clients</v>
          </cell>
          <cell r="I406">
            <v>-1248.73</v>
          </cell>
        </row>
        <row r="407">
          <cell r="D407">
            <v>90000186</v>
          </cell>
          <cell r="E407" t="str">
            <v>GA05050</v>
          </cell>
          <cell r="F407" t="str">
            <v>National Stock Exchange</v>
          </cell>
          <cell r="G407" t="str">
            <v>Clients</v>
          </cell>
          <cell r="I407">
            <v>-1474306.53</v>
          </cell>
        </row>
        <row r="408">
          <cell r="D408">
            <v>90000187</v>
          </cell>
          <cell r="E408" t="str">
            <v>GA05050</v>
          </cell>
          <cell r="F408" t="str">
            <v>National Stock Exchange - STT A/C</v>
          </cell>
          <cell r="G408" t="str">
            <v>Clients</v>
          </cell>
          <cell r="I408">
            <v>1462266.76</v>
          </cell>
        </row>
        <row r="409">
          <cell r="D409">
            <v>90000188</v>
          </cell>
          <cell r="E409" t="str">
            <v>GA05050</v>
          </cell>
          <cell r="F409" t="str">
            <v>National Stock Exchange - Short Sale A/c</v>
          </cell>
          <cell r="G409" t="str">
            <v>Clients</v>
          </cell>
          <cell r="I409">
            <v>54.05</v>
          </cell>
        </row>
        <row r="410">
          <cell r="D410">
            <v>90000189</v>
          </cell>
          <cell r="E410" t="str">
            <v>GA05050</v>
          </cell>
          <cell r="F410" t="str">
            <v>Bombay Stock Exchange Limited - Auction A/C</v>
          </cell>
          <cell r="G410" t="str">
            <v>Clients</v>
          </cell>
          <cell r="I410">
            <v>10637.8</v>
          </cell>
        </row>
        <row r="411">
          <cell r="D411">
            <v>90000200</v>
          </cell>
          <cell r="E411" t="str">
            <v>GL1028</v>
          </cell>
          <cell r="F411" t="str">
            <v>AHMEDNAGAR SAHAR SAHAKARI BANK (WDM)</v>
          </cell>
          <cell r="G411" t="str">
            <v>Clients</v>
          </cell>
          <cell r="I411">
            <v>-2000</v>
          </cell>
        </row>
        <row r="412">
          <cell r="D412">
            <v>90000215</v>
          </cell>
          <cell r="E412">
            <v>90000215</v>
          </cell>
          <cell r="F412" t="str">
            <v>Sundry Debtors-Customers IPO</v>
          </cell>
          <cell r="G412" t="str">
            <v>Clients</v>
          </cell>
          <cell r="I412">
            <v>0</v>
          </cell>
        </row>
        <row r="413">
          <cell r="D413">
            <v>90000309</v>
          </cell>
          <cell r="E413">
            <v>90000309</v>
          </cell>
          <cell r="F413" t="str">
            <v>Sundry Debtrors -Customers (Others)</v>
          </cell>
          <cell r="G413" t="str">
            <v>Clients</v>
          </cell>
          <cell r="I413">
            <v>-3655</v>
          </cell>
        </row>
        <row r="414">
          <cell r="D414">
            <v>90000335</v>
          </cell>
          <cell r="E414" t="str">
            <v>GL1028</v>
          </cell>
          <cell r="F414" t="str">
            <v>ALLAHABAD BANK (WDM)</v>
          </cell>
          <cell r="G414" t="str">
            <v>Clients</v>
          </cell>
          <cell r="I414">
            <v>-8500</v>
          </cell>
        </row>
        <row r="415">
          <cell r="D415">
            <v>90000480</v>
          </cell>
          <cell r="E415" t="str">
            <v>GL1028</v>
          </cell>
          <cell r="F415" t="str">
            <v>Bank of Rajasthan (wdm)</v>
          </cell>
          <cell r="G415" t="str">
            <v>Clients</v>
          </cell>
          <cell r="I415">
            <v>-2000</v>
          </cell>
        </row>
        <row r="416">
          <cell r="D416">
            <v>90000622</v>
          </cell>
          <cell r="E416">
            <v>90000622</v>
          </cell>
          <cell r="F416" t="str">
            <v>Sundry Debitors-Customer IPO Commission</v>
          </cell>
          <cell r="G416" t="str">
            <v>Clients</v>
          </cell>
          <cell r="I416">
            <v>217.34</v>
          </cell>
        </row>
        <row r="418">
          <cell r="D418">
            <v>13114004</v>
          </cell>
          <cell r="E418" t="str">
            <v>GL01DIV</v>
          </cell>
          <cell r="F418" t="str">
            <v>Dividend Clients Payable</v>
          </cell>
          <cell r="G418" t="str">
            <v>Clients</v>
          </cell>
          <cell r="I418">
            <v>0</v>
          </cell>
        </row>
        <row r="419">
          <cell r="D419">
            <v>14890953</v>
          </cell>
          <cell r="E419" t="str">
            <v>GLFRACTION</v>
          </cell>
          <cell r="F419" t="str">
            <v>CA FRACTION (CLIENT)</v>
          </cell>
          <cell r="G419" t="str">
            <v>Clients</v>
          </cell>
          <cell r="I419">
            <v>0</v>
          </cell>
        </row>
        <row r="420">
          <cell r="D420">
            <v>14890746</v>
          </cell>
          <cell r="F420" t="str">
            <v>RIGHTS ISSUE</v>
          </cell>
          <cell r="G420" t="str">
            <v>Clients</v>
          </cell>
          <cell r="I420">
            <v>0</v>
          </cell>
        </row>
        <row r="421">
          <cell r="F421" t="str">
            <v>DP Debtors</v>
          </cell>
          <cell r="G421" t="str">
            <v>Clients</v>
          </cell>
        </row>
        <row r="422">
          <cell r="F422" t="str">
            <v>DP Advances</v>
          </cell>
          <cell r="G422" t="str">
            <v>Clients</v>
          </cell>
        </row>
        <row r="423">
          <cell r="F423" t="str">
            <v>MT Debtors</v>
          </cell>
          <cell r="G423" t="str">
            <v>Clients</v>
          </cell>
        </row>
        <row r="424">
          <cell r="F424" t="str">
            <v>Debtors</v>
          </cell>
          <cell r="G424" t="str">
            <v>Clients</v>
          </cell>
        </row>
        <row r="426">
          <cell r="F426" t="str">
            <v>MT Debtors</v>
          </cell>
        </row>
        <row r="427">
          <cell r="F427" t="str">
            <v>Margin Recd</v>
          </cell>
        </row>
        <row r="429">
          <cell r="F429" t="str">
            <v>Debtors Exceeding 6 months</v>
          </cell>
        </row>
        <row r="430">
          <cell r="D430">
            <v>14890013</v>
          </cell>
          <cell r="E430" t="str">
            <v>GL01018</v>
          </cell>
          <cell r="F430" t="str">
            <v>Provision For Doubtful Debts</v>
          </cell>
          <cell r="I430">
            <v>-43067907.210000001</v>
          </cell>
        </row>
        <row r="432">
          <cell r="F432" t="str">
            <v>Trade Receivables - Others</v>
          </cell>
        </row>
        <row r="433">
          <cell r="F433" t="str">
            <v>Debtors less than not more than 6 months</v>
          </cell>
        </row>
        <row r="436">
          <cell r="F436" t="str">
            <v>Unclaimed Dividend</v>
          </cell>
        </row>
        <row r="437">
          <cell r="D437">
            <v>14890378</v>
          </cell>
          <cell r="F437" t="str">
            <v>Unpaid Equity Dividend Account 2007-08</v>
          </cell>
          <cell r="I437">
            <v>-4161945.5</v>
          </cell>
        </row>
        <row r="438">
          <cell r="D438">
            <v>14890687</v>
          </cell>
          <cell r="F438" t="str">
            <v>ISL Unpaid Equity Dividend Account 2008-09</v>
          </cell>
          <cell r="I438">
            <v>-2001638</v>
          </cell>
        </row>
        <row r="439">
          <cell r="D439">
            <v>14890730</v>
          </cell>
          <cell r="F439" t="str">
            <v>ISL Unpaid Equity Dividend Account 2009-10</v>
          </cell>
          <cell r="I439">
            <v>-2451078</v>
          </cell>
        </row>
        <row r="440">
          <cell r="D440">
            <v>14890751</v>
          </cell>
          <cell r="F440" t="str">
            <v>Unpaid Interim Dividend a/c 10-11</v>
          </cell>
          <cell r="I440">
            <v>-1870339</v>
          </cell>
        </row>
        <row r="441">
          <cell r="D441">
            <v>14890937</v>
          </cell>
          <cell r="F441" t="str">
            <v>Unpaid Interim Dividend a/c 12-13 -III</v>
          </cell>
          <cell r="I441">
            <v>-2029765</v>
          </cell>
        </row>
        <row r="442">
          <cell r="D442">
            <v>14890916</v>
          </cell>
          <cell r="F442" t="str">
            <v>Unpaid Interim Dividend a/c 12-13 -II</v>
          </cell>
          <cell r="I442">
            <v>-2307369</v>
          </cell>
        </row>
        <row r="443">
          <cell r="D443">
            <v>14890951</v>
          </cell>
          <cell r="F443" t="str">
            <v>Unpaid Interim Dividend a/c 2013-14</v>
          </cell>
          <cell r="I443">
            <v>-1699418</v>
          </cell>
        </row>
        <row r="444">
          <cell r="D444">
            <v>14890957</v>
          </cell>
          <cell r="F444" t="str">
            <v>Unpaid Interim Dividend a/c 2013-14 -II</v>
          </cell>
          <cell r="I444">
            <v>-1882427</v>
          </cell>
        </row>
        <row r="445">
          <cell r="D445">
            <v>14890961</v>
          </cell>
          <cell r="F445" t="str">
            <v>Unpaid Interim Dividend a/c 2013-14 -III</v>
          </cell>
          <cell r="I445">
            <v>-1813244</v>
          </cell>
        </row>
        <row r="446">
          <cell r="D446">
            <v>14890967</v>
          </cell>
          <cell r="F446" t="str">
            <v>Unpaid Interim Dividend a/c 2013-14 –IV</v>
          </cell>
          <cell r="I446">
            <v>-1615104</v>
          </cell>
        </row>
        <row r="447">
          <cell r="D447">
            <v>14890979</v>
          </cell>
          <cell r="F447" t="str">
            <v>Unpaid Interim Dividend a/c FY 2014-15</v>
          </cell>
          <cell r="I447">
            <v>-260776036</v>
          </cell>
        </row>
        <row r="448">
          <cell r="D448">
            <v>14890909</v>
          </cell>
          <cell r="F448" t="str">
            <v>Unpaid Interim Dividend a/c FY 2012-13</v>
          </cell>
          <cell r="I448">
            <v>-2555448</v>
          </cell>
        </row>
        <row r="449">
          <cell r="F449" t="str">
            <v>Interest accrued and due on Working Capital Loan</v>
          </cell>
        </row>
        <row r="450">
          <cell r="D450">
            <v>13113951</v>
          </cell>
          <cell r="F450" t="str">
            <v>Interest Payable Hdfc</v>
          </cell>
          <cell r="I450">
            <v>0</v>
          </cell>
        </row>
        <row r="452">
          <cell r="F452" t="str">
            <v>Temporary Overdrawn bank balances as per books</v>
          </cell>
        </row>
        <row r="453">
          <cell r="F453" t="str">
            <v>Temporary Overdrawn bank balances as per books</v>
          </cell>
        </row>
        <row r="455">
          <cell r="F455" t="str">
            <v xml:space="preserve">Other Liabilities </v>
          </cell>
        </row>
        <row r="457">
          <cell r="F457" t="str">
            <v>Others</v>
          </cell>
        </row>
        <row r="458">
          <cell r="F458" t="str">
            <v>ARCK Sheet</v>
          </cell>
        </row>
        <row r="460">
          <cell r="F460" t="str">
            <v>Diff. Focus &amp; SAP</v>
          </cell>
        </row>
        <row r="461">
          <cell r="D461">
            <v>14890955</v>
          </cell>
          <cell r="I461">
            <v>0</v>
          </cell>
        </row>
        <row r="462">
          <cell r="F462" t="str">
            <v>Erroneous</v>
          </cell>
        </row>
        <row r="464">
          <cell r="F464" t="str">
            <v>Long Term - Trade - Unquoted</v>
          </cell>
        </row>
        <row r="465">
          <cell r="D465">
            <v>22001002</v>
          </cell>
          <cell r="E465" t="str">
            <v>GINVE</v>
          </cell>
          <cell r="F465" t="str">
            <v>Investment In Bse</v>
          </cell>
          <cell r="I465">
            <v>10000</v>
          </cell>
        </row>
        <row r="466">
          <cell r="D466">
            <v>22011131</v>
          </cell>
          <cell r="F466" t="str">
            <v>Investment in Subsidiary</v>
          </cell>
          <cell r="I466">
            <v>62500000</v>
          </cell>
        </row>
        <row r="467">
          <cell r="D467">
            <v>14400000</v>
          </cell>
          <cell r="F467" t="str">
            <v>Prov-dimunition in value-long term investm</v>
          </cell>
          <cell r="I467">
            <v>-500000</v>
          </cell>
        </row>
        <row r="468">
          <cell r="D468">
            <v>22010158</v>
          </cell>
          <cell r="E468" t="str">
            <v>GICPL</v>
          </cell>
          <cell r="F468" t="str">
            <v>Investment in Copal Partners Limited</v>
          </cell>
          <cell r="I468">
            <v>125332487.87</v>
          </cell>
        </row>
        <row r="469">
          <cell r="D469">
            <v>22401017</v>
          </cell>
          <cell r="F469" t="str">
            <v>Investment in RELIANCE Mutual Fund</v>
          </cell>
          <cell r="I469">
            <v>0</v>
          </cell>
        </row>
        <row r="470">
          <cell r="D470">
            <v>22401079</v>
          </cell>
          <cell r="F470" t="str">
            <v>Investment in Indiabulls Mutual Fund</v>
          </cell>
          <cell r="I470">
            <v>0</v>
          </cell>
        </row>
        <row r="471">
          <cell r="D471">
            <v>22401030</v>
          </cell>
          <cell r="F471" t="str">
            <v>Investment In HDFC Mutual Fund</v>
          </cell>
          <cell r="I471">
            <v>0</v>
          </cell>
        </row>
        <row r="474">
          <cell r="D474">
            <v>22001003</v>
          </cell>
          <cell r="E474" t="str">
            <v>GTRADE</v>
          </cell>
          <cell r="F474" t="str">
            <v>Trading Account</v>
          </cell>
          <cell r="I474">
            <v>0</v>
          </cell>
        </row>
        <row r="476">
          <cell r="D476">
            <v>21100000</v>
          </cell>
          <cell r="F476" t="str">
            <v>Asset under construction</v>
          </cell>
          <cell r="I476">
            <v>0</v>
          </cell>
        </row>
        <row r="477">
          <cell r="D477">
            <v>14890807</v>
          </cell>
          <cell r="F477" t="str">
            <v>Provision for Doubtful Capital Advances Provided f</v>
          </cell>
          <cell r="I477">
            <v>0</v>
          </cell>
        </row>
        <row r="479">
          <cell r="F479" t="str">
            <v>Deposit with Stock Exchange</v>
          </cell>
        </row>
        <row r="481">
          <cell r="F481" t="str">
            <v>BSE</v>
          </cell>
        </row>
        <row r="482">
          <cell r="D482">
            <v>24700013</v>
          </cell>
          <cell r="E482" t="str">
            <v>GBDEP</v>
          </cell>
          <cell r="F482" t="str">
            <v>Security Deposit With Bse</v>
          </cell>
          <cell r="I482">
            <v>500000</v>
          </cell>
        </row>
        <row r="483">
          <cell r="D483">
            <v>24710159</v>
          </cell>
          <cell r="E483" t="str">
            <v>GBCDEP</v>
          </cell>
          <cell r="F483" t="str">
            <v>BSE COLLATERAL DEPOSIT (BASE CAPITAL)</v>
          </cell>
          <cell r="I483">
            <v>1000000</v>
          </cell>
        </row>
        <row r="484">
          <cell r="D484">
            <v>24700112</v>
          </cell>
          <cell r="F484" t="str">
            <v>Security Deposit with BSE for SLBS Registration</v>
          </cell>
          <cell r="I484">
            <v>1000000</v>
          </cell>
        </row>
        <row r="485">
          <cell r="D485">
            <v>24710158</v>
          </cell>
          <cell r="E485" t="str">
            <v>GBCTGF</v>
          </cell>
          <cell r="F485" t="str">
            <v>BSE COLLATERAL -TRADE GUARANTEE FEE</v>
          </cell>
          <cell r="I485">
            <v>1000000</v>
          </cell>
        </row>
        <row r="486">
          <cell r="D486">
            <v>24710171</v>
          </cell>
          <cell r="E486" t="str">
            <v>GBSVD</v>
          </cell>
          <cell r="F486" t="str">
            <v>VSAT DEPOSIT (BSE)</v>
          </cell>
          <cell r="I486">
            <v>0</v>
          </cell>
        </row>
        <row r="487">
          <cell r="D487">
            <v>24710801</v>
          </cell>
          <cell r="E487" t="str">
            <v>GL01220</v>
          </cell>
          <cell r="F487" t="str">
            <v>Additional Margin with BSE</v>
          </cell>
          <cell r="I487">
            <v>500000</v>
          </cell>
        </row>
        <row r="489">
          <cell r="F489" t="str">
            <v>NSE</v>
          </cell>
        </row>
        <row r="490">
          <cell r="D490">
            <v>90000498</v>
          </cell>
          <cell r="F490" t="str">
            <v>Deposits of Trading Membership Currency Derivative</v>
          </cell>
          <cell r="I490">
            <v>1000000</v>
          </cell>
        </row>
        <row r="491">
          <cell r="D491">
            <v>24711026</v>
          </cell>
          <cell r="F491" t="str">
            <v>IFSD - Leased LINE (NSE)</v>
          </cell>
          <cell r="I491">
            <v>1600000</v>
          </cell>
        </row>
        <row r="492">
          <cell r="D492">
            <v>24710166</v>
          </cell>
          <cell r="E492" t="str">
            <v>GA0120</v>
          </cell>
          <cell r="F492" t="str">
            <v>SECURITY FOR FUTURE SEGME</v>
          </cell>
          <cell r="I492">
            <v>600000</v>
          </cell>
        </row>
        <row r="493">
          <cell r="D493">
            <v>24710161</v>
          </cell>
          <cell r="E493" t="str">
            <v>GA0072</v>
          </cell>
          <cell r="F493" t="str">
            <v>NSE FUTURES SEGMENT MARGI</v>
          </cell>
          <cell r="I493">
            <v>200000</v>
          </cell>
        </row>
        <row r="494">
          <cell r="D494">
            <v>24710160</v>
          </cell>
          <cell r="E494" t="str">
            <v>GA0035</v>
          </cell>
          <cell r="F494" t="str">
            <v>NSE DEPOSITS</v>
          </cell>
          <cell r="I494">
            <v>6600000</v>
          </cell>
        </row>
        <row r="495">
          <cell r="D495">
            <v>24710170</v>
          </cell>
          <cell r="E495" t="str">
            <v>GE0039</v>
          </cell>
          <cell r="F495" t="str">
            <v>Security Deposit -VSAT</v>
          </cell>
          <cell r="I495">
            <v>0</v>
          </cell>
        </row>
        <row r="496">
          <cell r="D496">
            <v>24710162</v>
          </cell>
          <cell r="E496" t="str">
            <v>GA0304</v>
          </cell>
          <cell r="F496" t="str">
            <v>NSE SECURITY FOR WHOLESAL</v>
          </cell>
          <cell r="I496">
            <v>5000000</v>
          </cell>
        </row>
        <row r="497">
          <cell r="D497">
            <v>90000379</v>
          </cell>
          <cell r="E497" t="str">
            <v>GL01005</v>
          </cell>
          <cell r="F497" t="str">
            <v>NSE MARGIN A/C</v>
          </cell>
          <cell r="I497">
            <v>10000000</v>
          </cell>
        </row>
        <row r="498">
          <cell r="D498">
            <v>24711057</v>
          </cell>
          <cell r="F498" t="str">
            <v>NSE DEPOSITS -ARBITRATION</v>
          </cell>
          <cell r="I498">
            <v>612791</v>
          </cell>
        </row>
        <row r="499">
          <cell r="D499">
            <v>24711112</v>
          </cell>
          <cell r="F499" t="str">
            <v>NSE COLLATERAL DEPOSIT (BASE CAPITAL)</v>
          </cell>
          <cell r="I499">
            <v>2500000</v>
          </cell>
        </row>
        <row r="500">
          <cell r="D500">
            <v>90000509</v>
          </cell>
          <cell r="E500" t="str">
            <v>GNABCSLB</v>
          </cell>
          <cell r="F500" t="str">
            <v>ABC MARGIN - NSE (SLB)</v>
          </cell>
          <cell r="I500">
            <v>500000</v>
          </cell>
        </row>
        <row r="502">
          <cell r="F502" t="str">
            <v>NSCCL</v>
          </cell>
        </row>
        <row r="503">
          <cell r="D503">
            <v>24710921</v>
          </cell>
          <cell r="E503" t="str">
            <v>GDSLBS</v>
          </cell>
          <cell r="F503" t="str">
            <v>IFSD- SLB</v>
          </cell>
          <cell r="I503">
            <v>1000000</v>
          </cell>
        </row>
        <row r="504">
          <cell r="D504">
            <v>90000499</v>
          </cell>
          <cell r="F504" t="str">
            <v>IFSD- CDS</v>
          </cell>
          <cell r="I504">
            <v>2500000</v>
          </cell>
        </row>
        <row r="505">
          <cell r="D505">
            <v>24710163</v>
          </cell>
          <cell r="E505" t="str">
            <v>GL01006</v>
          </cell>
          <cell r="F505" t="str">
            <v>IFSD- RDM</v>
          </cell>
          <cell r="I505">
            <v>500000</v>
          </cell>
        </row>
        <row r="506">
          <cell r="D506">
            <v>24710167</v>
          </cell>
          <cell r="E506" t="str">
            <v>GSNSC</v>
          </cell>
          <cell r="F506" t="str">
            <v>IFSD- F&amp; O</v>
          </cell>
          <cell r="I506">
            <v>2500000</v>
          </cell>
        </row>
        <row r="507">
          <cell r="D507">
            <v>24710169</v>
          </cell>
          <cell r="E507" t="str">
            <v>GANSE</v>
          </cell>
          <cell r="F507" t="str">
            <v>IFSD- CM</v>
          </cell>
          <cell r="I507">
            <v>900000</v>
          </cell>
        </row>
        <row r="509">
          <cell r="F509" t="str">
            <v>Others</v>
          </cell>
        </row>
        <row r="510">
          <cell r="D510">
            <v>24710164</v>
          </cell>
          <cell r="E510" t="str">
            <v>GA0442</v>
          </cell>
          <cell r="F510" t="str">
            <v>SECURITY DEPOSIT WITH CDS</v>
          </cell>
          <cell r="I510">
            <v>250000</v>
          </cell>
        </row>
        <row r="511">
          <cell r="D511">
            <v>24710165</v>
          </cell>
          <cell r="E511" t="str">
            <v>GAMCX</v>
          </cell>
          <cell r="F511" t="str">
            <v>SECURITY DEPOSIT WITH MCX</v>
          </cell>
          <cell r="I511">
            <v>500000</v>
          </cell>
        </row>
        <row r="512">
          <cell r="D512">
            <v>24710168</v>
          </cell>
          <cell r="E512" t="str">
            <v>GANSDL</v>
          </cell>
          <cell r="F512" t="str">
            <v>SECURITY WITH NSDL</v>
          </cell>
          <cell r="I512">
            <v>1000000</v>
          </cell>
        </row>
        <row r="513">
          <cell r="D513">
            <v>24710723</v>
          </cell>
          <cell r="E513" t="str">
            <v>GSNCD</v>
          </cell>
          <cell r="F513" t="str">
            <v>EMPANALMENT OF DP WITH NCDEX</v>
          </cell>
          <cell r="I513">
            <v>500000</v>
          </cell>
        </row>
        <row r="514">
          <cell r="D514">
            <v>24711013</v>
          </cell>
          <cell r="F514" t="str">
            <v>SECURITY DEPOSIT WITH MCX - SX</v>
          </cell>
          <cell r="I514">
            <v>200000</v>
          </cell>
        </row>
        <row r="516">
          <cell r="F516" t="str">
            <v>Security Deposit</v>
          </cell>
        </row>
        <row r="517">
          <cell r="F517" t="str">
            <v>ARCK Sheet</v>
          </cell>
          <cell r="G517" t="str">
            <v>Other Non-Current Assets</v>
          </cell>
          <cell r="H517" t="str">
            <v>Security Deposits</v>
          </cell>
        </row>
        <row r="519">
          <cell r="D519">
            <v>14890383</v>
          </cell>
          <cell r="E519" t="str">
            <v>GL00116</v>
          </cell>
          <cell r="F519" t="str">
            <v>Prov For Doubtful Advance</v>
          </cell>
          <cell r="I519">
            <v>-1267137.3799999999</v>
          </cell>
        </row>
        <row r="521">
          <cell r="F521" t="str">
            <v>Other loans and advances</v>
          </cell>
        </row>
        <row r="522">
          <cell r="F522" t="str">
            <v>ARCK Sheet</v>
          </cell>
        </row>
        <row r="524">
          <cell r="D524">
            <v>14890384</v>
          </cell>
          <cell r="E524" t="str">
            <v>GA1112</v>
          </cell>
          <cell r="F524" t="str">
            <v>Deffered Tax-Liablities</v>
          </cell>
          <cell r="G524" t="str">
            <v>Deferred Tax Liability</v>
          </cell>
          <cell r="I524">
            <v>-4627868</v>
          </cell>
        </row>
        <row r="526">
          <cell r="F526" t="str">
            <v>Petty Cash</v>
          </cell>
        </row>
        <row r="527">
          <cell r="D527">
            <v>23520009</v>
          </cell>
          <cell r="E527" t="str">
            <v>GI067</v>
          </cell>
          <cell r="F527" t="str">
            <v xml:space="preserve"> Ahmedabad Offline Petty Cash</v>
          </cell>
          <cell r="I527">
            <v>0</v>
          </cell>
        </row>
        <row r="528">
          <cell r="D528">
            <v>23520020</v>
          </cell>
          <cell r="E528" t="str">
            <v>GI059</v>
          </cell>
          <cell r="F528" t="str">
            <v>Allahabad Offline Petty Cash</v>
          </cell>
          <cell r="I528">
            <v>0</v>
          </cell>
        </row>
        <row r="529">
          <cell r="D529">
            <v>23521159</v>
          </cell>
          <cell r="F529" t="str">
            <v>Pune Kasturba Marg Online Petty Cash</v>
          </cell>
          <cell r="I529">
            <v>0</v>
          </cell>
        </row>
        <row r="530">
          <cell r="D530">
            <v>23520029</v>
          </cell>
          <cell r="E530" t="str">
            <v>GI02</v>
          </cell>
          <cell r="F530" t="str">
            <v>Amritsar Offline Petty Cash</v>
          </cell>
          <cell r="I530">
            <v>0</v>
          </cell>
        </row>
        <row r="531">
          <cell r="D531">
            <v>23520262</v>
          </cell>
          <cell r="F531" t="str">
            <v>Lucknow Online Petty Cash</v>
          </cell>
          <cell r="I531">
            <v>0</v>
          </cell>
        </row>
        <row r="532">
          <cell r="D532">
            <v>23520047</v>
          </cell>
          <cell r="E532" t="str">
            <v>GI028</v>
          </cell>
          <cell r="F532" t="str">
            <v>Banglore M.G. Road Petty Cash</v>
          </cell>
          <cell r="I532">
            <v>0</v>
          </cell>
        </row>
        <row r="533">
          <cell r="D533">
            <v>23520052</v>
          </cell>
          <cell r="E533" t="str">
            <v>GI0260</v>
          </cell>
          <cell r="F533" t="str">
            <v>Baroda Online Petty Cash</v>
          </cell>
          <cell r="I533">
            <v>0</v>
          </cell>
        </row>
        <row r="534">
          <cell r="D534">
            <v>23520081</v>
          </cell>
          <cell r="E534" t="str">
            <v>GI040</v>
          </cell>
          <cell r="F534" t="str">
            <v>Calcutta Lee Road Petty Cash</v>
          </cell>
          <cell r="I534">
            <v>0</v>
          </cell>
        </row>
        <row r="535">
          <cell r="D535">
            <v>23520085</v>
          </cell>
          <cell r="E535" t="str">
            <v>GI0167</v>
          </cell>
          <cell r="F535" t="str">
            <v>Chandigarh Sector-35 Online Petty Cash</v>
          </cell>
          <cell r="I535">
            <v>0</v>
          </cell>
        </row>
        <row r="536">
          <cell r="D536">
            <v>23520096</v>
          </cell>
          <cell r="E536" t="str">
            <v>GI0125</v>
          </cell>
          <cell r="F536" t="str">
            <v>Chennai T Nagar Online Petty Cash</v>
          </cell>
          <cell r="I536">
            <v>0</v>
          </cell>
        </row>
        <row r="537">
          <cell r="D537">
            <v>23520098</v>
          </cell>
          <cell r="E537" t="str">
            <v>GA03001</v>
          </cell>
          <cell r="F537" t="str">
            <v>Chennai Offline Petty Cash</v>
          </cell>
          <cell r="I537">
            <v>0</v>
          </cell>
        </row>
        <row r="538">
          <cell r="D538">
            <v>23520106</v>
          </cell>
          <cell r="E538" t="str">
            <v>GI060</v>
          </cell>
          <cell r="F538" t="str">
            <v>Cochin Petty Cash</v>
          </cell>
          <cell r="I538">
            <v>0</v>
          </cell>
        </row>
        <row r="539">
          <cell r="D539">
            <v>23520108</v>
          </cell>
          <cell r="E539" t="str">
            <v>GI070</v>
          </cell>
          <cell r="F539" t="str">
            <v>Coimbatore Offline Petty Cash</v>
          </cell>
          <cell r="I539">
            <v>0</v>
          </cell>
        </row>
        <row r="540">
          <cell r="D540">
            <v>23520114</v>
          </cell>
          <cell r="E540" t="str">
            <v>GI094</v>
          </cell>
          <cell r="F540" t="str">
            <v>Calcutta Dalhousie Petty Cash</v>
          </cell>
          <cell r="I540">
            <v>0</v>
          </cell>
        </row>
        <row r="541">
          <cell r="D541">
            <v>23520134</v>
          </cell>
          <cell r="E541" t="str">
            <v>GI0176</v>
          </cell>
          <cell r="F541" t="str">
            <v>Delhi F Block Offline Petty Cash</v>
          </cell>
          <cell r="I541">
            <v>0</v>
          </cell>
        </row>
        <row r="542">
          <cell r="D542">
            <v>23520139</v>
          </cell>
          <cell r="E542" t="str">
            <v>GI057</v>
          </cell>
          <cell r="F542" t="str">
            <v>Faridabad Sector-15 Online Petty Cash</v>
          </cell>
          <cell r="I542">
            <v>0</v>
          </cell>
        </row>
        <row r="543">
          <cell r="D543">
            <v>23520152</v>
          </cell>
          <cell r="E543" t="str">
            <v>GI065</v>
          </cell>
          <cell r="F543" t="str">
            <v>GOA PETTY CASH</v>
          </cell>
          <cell r="I543">
            <v>0</v>
          </cell>
        </row>
        <row r="544">
          <cell r="D544">
            <v>23520197</v>
          </cell>
          <cell r="E544" t="str">
            <v>GI0367</v>
          </cell>
          <cell r="F544" t="str">
            <v>Jaipur Raja Park Online Petty Cash</v>
          </cell>
          <cell r="I544">
            <v>0</v>
          </cell>
        </row>
        <row r="545">
          <cell r="D545">
            <v>23520199</v>
          </cell>
          <cell r="E545" t="str">
            <v>GI01</v>
          </cell>
          <cell r="F545" t="str">
            <v>Jaipur Offline Petty Cash</v>
          </cell>
          <cell r="I545">
            <v>0</v>
          </cell>
        </row>
        <row r="546">
          <cell r="D546">
            <v>23520212</v>
          </cell>
          <cell r="E546" t="str">
            <v>GI09</v>
          </cell>
          <cell r="F546" t="str">
            <v>Banglore Jayanagar Petty Cash</v>
          </cell>
          <cell r="I546">
            <v>0</v>
          </cell>
        </row>
        <row r="547">
          <cell r="D547">
            <v>23520231</v>
          </cell>
          <cell r="E547" t="str">
            <v>GI0132</v>
          </cell>
          <cell r="F547" t="str">
            <v>Kanpur Krishna Tower Online Petty Cash</v>
          </cell>
          <cell r="I547">
            <v>0</v>
          </cell>
        </row>
        <row r="548">
          <cell r="D548">
            <v>23520310</v>
          </cell>
          <cell r="F548" t="str">
            <v>Delhi Kirti Nagar Offline Petty Cash A/c</v>
          </cell>
          <cell r="I548">
            <v>0</v>
          </cell>
        </row>
        <row r="549">
          <cell r="D549">
            <v>23520314</v>
          </cell>
          <cell r="E549" t="str">
            <v>GI0148</v>
          </cell>
          <cell r="F549" t="str">
            <v>Noida Online Petty Cash</v>
          </cell>
          <cell r="I549">
            <v>0</v>
          </cell>
        </row>
        <row r="550">
          <cell r="D550">
            <v>23520358</v>
          </cell>
          <cell r="E550" t="str">
            <v>GI061</v>
          </cell>
          <cell r="F550" t="str">
            <v>Rajkot Offline Petty Cash</v>
          </cell>
          <cell r="I550">
            <v>0</v>
          </cell>
        </row>
        <row r="551">
          <cell r="D551">
            <v>23520420</v>
          </cell>
          <cell r="E551" t="str">
            <v>GI0392</v>
          </cell>
          <cell r="F551" t="str">
            <v>Surat Online Petty Cash</v>
          </cell>
          <cell r="I551">
            <v>0</v>
          </cell>
        </row>
        <row r="552">
          <cell r="D552">
            <v>23520462</v>
          </cell>
          <cell r="E552" t="str">
            <v>GI055</v>
          </cell>
          <cell r="F552" t="str">
            <v>Vizag Offline Petty Cash</v>
          </cell>
          <cell r="I552">
            <v>0</v>
          </cell>
        </row>
        <row r="553">
          <cell r="D553">
            <v>24500000</v>
          </cell>
          <cell r="E553" t="str">
            <v>GA001</v>
          </cell>
          <cell r="F553" t="str">
            <v>Cash in hand</v>
          </cell>
          <cell r="I553">
            <v>27286</v>
          </cell>
        </row>
        <row r="554">
          <cell r="D554">
            <v>23520849</v>
          </cell>
          <cell r="F554" t="str">
            <v>Gurgaon Cyber City Petty Cash</v>
          </cell>
          <cell r="I554">
            <v>0</v>
          </cell>
        </row>
        <row r="555">
          <cell r="D555">
            <v>23520788</v>
          </cell>
          <cell r="F555" t="str">
            <v>Hydrabad Banajara Hills Petty Cash</v>
          </cell>
          <cell r="I555">
            <v>0</v>
          </cell>
        </row>
        <row r="556">
          <cell r="D556">
            <v>24500001</v>
          </cell>
          <cell r="E556" t="str">
            <v>GI033</v>
          </cell>
          <cell r="F556" t="str">
            <v>Mumbai Cash</v>
          </cell>
          <cell r="I556">
            <v>3456</v>
          </cell>
        </row>
        <row r="557">
          <cell r="D557">
            <v>24532331</v>
          </cell>
          <cell r="F557" t="str">
            <v>Ghaziabad Online Petty Cash</v>
          </cell>
          <cell r="I557">
            <v>0</v>
          </cell>
        </row>
        <row r="558">
          <cell r="D558">
            <v>23520492</v>
          </cell>
          <cell r="F558" t="str">
            <v>Chennai Franking Petty Cash</v>
          </cell>
          <cell r="I558">
            <v>0</v>
          </cell>
        </row>
        <row r="559">
          <cell r="D559">
            <v>24500004</v>
          </cell>
          <cell r="F559" t="str">
            <v>Faridabad Online Petty Cash</v>
          </cell>
          <cell r="I559">
            <v>0</v>
          </cell>
        </row>
        <row r="561">
          <cell r="F561" t="str">
            <v>BANK</v>
          </cell>
        </row>
        <row r="563">
          <cell r="D563">
            <v>23500090</v>
          </cell>
          <cell r="E563" t="str">
            <v>GA00B211</v>
          </cell>
          <cell r="F563" t="str">
            <v>Hdfc Bank (Brokers) 10340005474</v>
          </cell>
          <cell r="I563">
            <v>54843.88</v>
          </cell>
        </row>
        <row r="564">
          <cell r="D564">
            <v>23500380</v>
          </cell>
          <cell r="E564" t="str">
            <v>GA00B173</v>
          </cell>
          <cell r="F564" t="str">
            <v>2612340000011 Hdfc Bank</v>
          </cell>
          <cell r="I564">
            <v>11221.37</v>
          </cell>
        </row>
        <row r="565">
          <cell r="D565">
            <v>23522690</v>
          </cell>
          <cell r="F565" t="str">
            <v>ISL A/c No-02790340000013 HDFC BANK LTD</v>
          </cell>
          <cell r="I565">
            <v>15496</v>
          </cell>
        </row>
        <row r="566">
          <cell r="D566">
            <v>23500400</v>
          </cell>
          <cell r="E566" t="str">
            <v>GA00B175</v>
          </cell>
          <cell r="F566" t="str">
            <v>1270340002975 Hdfc Bank</v>
          </cell>
          <cell r="I566">
            <v>31955.06</v>
          </cell>
        </row>
        <row r="567">
          <cell r="D567">
            <v>23500410</v>
          </cell>
          <cell r="E567" t="str">
            <v>GA00B209</v>
          </cell>
          <cell r="F567" t="str">
            <v>0880340000064 Hdfc Bank</v>
          </cell>
          <cell r="I567">
            <v>57166.06</v>
          </cell>
        </row>
        <row r="568">
          <cell r="D568">
            <v>23526830</v>
          </cell>
          <cell r="F568" t="str">
            <v>Citi Bank 0325250038</v>
          </cell>
          <cell r="I568">
            <v>0</v>
          </cell>
        </row>
        <row r="569">
          <cell r="D569">
            <v>23501920</v>
          </cell>
          <cell r="F569" t="str">
            <v>0032340000732  Hdfc Bank Ltd</v>
          </cell>
          <cell r="I569">
            <v>0</v>
          </cell>
        </row>
        <row r="570">
          <cell r="D570">
            <v>23502980</v>
          </cell>
          <cell r="F570" t="str">
            <v>3312340000023 Hdfc Bank Ltd.</v>
          </cell>
          <cell r="I570">
            <v>0</v>
          </cell>
        </row>
        <row r="571">
          <cell r="D571">
            <v>23504440</v>
          </cell>
          <cell r="F571" t="str">
            <v>4672340000026 Hdfc Bank Ltd.</v>
          </cell>
          <cell r="I571">
            <v>0</v>
          </cell>
        </row>
        <row r="572">
          <cell r="D572">
            <v>23512480</v>
          </cell>
          <cell r="F572" t="str">
            <v>HDFC Bank Ltd. SRTRR2 00670340000865</v>
          </cell>
          <cell r="I572">
            <v>12326.17</v>
          </cell>
        </row>
        <row r="573">
          <cell r="D573">
            <v>12160051</v>
          </cell>
          <cell r="F573" t="str">
            <v>Oriental Bank of Commerce A/c 04195011000692 O/D</v>
          </cell>
          <cell r="I573">
            <v>0</v>
          </cell>
        </row>
        <row r="574">
          <cell r="D574">
            <v>23524710</v>
          </cell>
          <cell r="E574" t="str">
            <v>GA00B628</v>
          </cell>
          <cell r="F574" t="str">
            <v>AXIS BANK LTD.BULS/23524710</v>
          </cell>
          <cell r="I574">
            <v>451.68</v>
          </cell>
        </row>
        <row r="576">
          <cell r="D576">
            <v>12160052</v>
          </cell>
          <cell r="F576" t="str">
            <v>Oriental Bank of Commerce A/c '01795011000505 O/D</v>
          </cell>
          <cell r="I576">
            <v>0</v>
          </cell>
        </row>
        <row r="577">
          <cell r="D577">
            <v>23514750</v>
          </cell>
          <cell r="E577" t="str">
            <v>GA00B609</v>
          </cell>
          <cell r="F577" t="str">
            <v>IDBI A/C 038102000015543(F/D A/C, GURGAON)</v>
          </cell>
          <cell r="I577">
            <v>12033.24</v>
          </cell>
        </row>
        <row r="578">
          <cell r="D578">
            <v>23500450</v>
          </cell>
          <cell r="E578" t="str">
            <v>GA00B213</v>
          </cell>
          <cell r="F578" t="str">
            <v>2440340000110 Hdfc Bank</v>
          </cell>
          <cell r="I578">
            <v>0</v>
          </cell>
        </row>
        <row r="579">
          <cell r="D579">
            <v>23500470</v>
          </cell>
          <cell r="E579" t="str">
            <v xml:space="preserve">GA00B39 </v>
          </cell>
          <cell r="F579" t="str">
            <v>ISL -ICICI-HO -000705001615</v>
          </cell>
          <cell r="I579">
            <v>-47377.83</v>
          </cell>
        </row>
        <row r="580">
          <cell r="D580">
            <v>23500490</v>
          </cell>
          <cell r="E580" t="str">
            <v>GA00B130</v>
          </cell>
          <cell r="F580" t="str">
            <v>Standard Chartered Bank-52505051059</v>
          </cell>
          <cell r="I580">
            <v>57846.559999999998</v>
          </cell>
        </row>
        <row r="581">
          <cell r="D581">
            <v>23500560</v>
          </cell>
          <cell r="E581" t="str">
            <v>GA00B185</v>
          </cell>
          <cell r="F581" t="str">
            <v>0030340018472-HDFC ISL</v>
          </cell>
          <cell r="I581">
            <v>-299755.84999999998</v>
          </cell>
        </row>
        <row r="582">
          <cell r="D582">
            <v>23500570</v>
          </cell>
          <cell r="E582" t="str">
            <v>GA00B234</v>
          </cell>
          <cell r="F582" t="str">
            <v>Dena Bank a/c no116211001016</v>
          </cell>
          <cell r="I582">
            <v>0</v>
          </cell>
        </row>
        <row r="583">
          <cell r="D583">
            <v>23500640</v>
          </cell>
          <cell r="E583" t="str">
            <v>GA00B99</v>
          </cell>
          <cell r="F583" t="str">
            <v>Union Bank Of India Mumbai 317901010025136</v>
          </cell>
          <cell r="I583">
            <v>0</v>
          </cell>
        </row>
        <row r="584">
          <cell r="D584">
            <v>23500660</v>
          </cell>
          <cell r="E584" t="str">
            <v>GA00B107</v>
          </cell>
          <cell r="F584" t="str">
            <v>Royal Bank of Scotland (ABN) 6523927</v>
          </cell>
          <cell r="I584">
            <v>95095.79</v>
          </cell>
        </row>
        <row r="585">
          <cell r="D585">
            <v>23500670</v>
          </cell>
          <cell r="E585" t="str">
            <v>GA00B108</v>
          </cell>
          <cell r="F585" t="str">
            <v>Hdfc Bank A/C - Nri Product (5982340002925)</v>
          </cell>
          <cell r="I585">
            <v>5731.32</v>
          </cell>
        </row>
        <row r="586">
          <cell r="D586">
            <v>23500720</v>
          </cell>
          <cell r="E586" t="str">
            <v>GA00B280</v>
          </cell>
          <cell r="F586" t="str">
            <v>1220340000152  Hdfc Bank Ltd</v>
          </cell>
          <cell r="I586">
            <v>0</v>
          </cell>
        </row>
        <row r="587">
          <cell r="D587">
            <v>23500840</v>
          </cell>
          <cell r="E587" t="str">
            <v>GA00B262</v>
          </cell>
          <cell r="F587" t="str">
            <v>0030340022261 Hdfc Bank Ltd</v>
          </cell>
          <cell r="I587">
            <v>0</v>
          </cell>
        </row>
        <row r="588">
          <cell r="D588">
            <v>23500890</v>
          </cell>
          <cell r="E588" t="str">
            <v>GA00B104</v>
          </cell>
          <cell r="F588" t="str">
            <v>ICICI Bank ( Mumbai) A/C 000405015895</v>
          </cell>
          <cell r="I588">
            <v>26911.54</v>
          </cell>
        </row>
        <row r="589">
          <cell r="D589">
            <v>23500900</v>
          </cell>
          <cell r="E589" t="str">
            <v>GA00B232</v>
          </cell>
          <cell r="F589" t="str">
            <v>Indiabulls  Securities Ltd  A/C 0780340000853 Hdfc</v>
          </cell>
          <cell r="I589">
            <v>12000</v>
          </cell>
        </row>
        <row r="590">
          <cell r="D590">
            <v>23500920</v>
          </cell>
          <cell r="E590" t="str">
            <v>GA00B237</v>
          </cell>
          <cell r="F590" t="str">
            <v>A/C No.3192340000054 Hdfc Bank Ltd</v>
          </cell>
          <cell r="I590">
            <v>0</v>
          </cell>
        </row>
        <row r="591">
          <cell r="D591">
            <v>23500940</v>
          </cell>
          <cell r="E591" t="str">
            <v>GA00B159</v>
          </cell>
          <cell r="F591" t="str">
            <v>Karnataka Bank-Mumbai A/c 1012000100615201</v>
          </cell>
          <cell r="I591">
            <v>0</v>
          </cell>
        </row>
        <row r="592">
          <cell r="D592">
            <v>23518570</v>
          </cell>
          <cell r="F592" t="str">
            <v>ISL A/c No. 02802340000031 HDFC Bank Ltd.</v>
          </cell>
          <cell r="I592">
            <v>11157.3</v>
          </cell>
        </row>
        <row r="593">
          <cell r="D593">
            <v>23501000</v>
          </cell>
          <cell r="E593" t="str">
            <v>GA00B167</v>
          </cell>
          <cell r="F593" t="str">
            <v>0040340002766 Hdfc Bank</v>
          </cell>
          <cell r="I593">
            <v>86432.63</v>
          </cell>
        </row>
        <row r="594">
          <cell r="D594">
            <v>23501360</v>
          </cell>
          <cell r="E594" t="str">
            <v>GA00B58</v>
          </cell>
          <cell r="F594" t="str">
            <v>0500340000185 Hdfc Bank</v>
          </cell>
          <cell r="I594">
            <v>0</v>
          </cell>
        </row>
        <row r="595">
          <cell r="D595">
            <v>23501370</v>
          </cell>
          <cell r="E595" t="str">
            <v>GA00B61</v>
          </cell>
          <cell r="F595" t="str">
            <v>0590340000047 Hdfc Bank</v>
          </cell>
          <cell r="I595">
            <v>41814.21</v>
          </cell>
        </row>
        <row r="596">
          <cell r="D596">
            <v>23501400</v>
          </cell>
          <cell r="E596" t="str">
            <v>GA00B92</v>
          </cell>
          <cell r="F596" t="str">
            <v>0540340000958 Hdfc Bank</v>
          </cell>
          <cell r="I596">
            <v>0</v>
          </cell>
        </row>
        <row r="597">
          <cell r="D597">
            <v>23501470</v>
          </cell>
          <cell r="E597" t="str">
            <v>GA00B96</v>
          </cell>
          <cell r="F597" t="str">
            <v>Hdfc Bank - Mumbai 0032340000395</v>
          </cell>
          <cell r="I597">
            <v>13513.45</v>
          </cell>
        </row>
        <row r="598">
          <cell r="D598">
            <v>23501510</v>
          </cell>
          <cell r="E598" t="str">
            <v>GA00B050</v>
          </cell>
          <cell r="F598" t="str">
            <v>Indusind Bank 0033-567046-050</v>
          </cell>
          <cell r="I598">
            <v>0</v>
          </cell>
        </row>
        <row r="599">
          <cell r="D599">
            <v>23515250</v>
          </cell>
          <cell r="F599" t="str">
            <v>ISL - MFSS - IndusInd Bank A/c 0033-567046-051</v>
          </cell>
          <cell r="I599">
            <v>0</v>
          </cell>
        </row>
        <row r="600">
          <cell r="D600">
            <v>23501590</v>
          </cell>
          <cell r="E600" t="str">
            <v>GA00B142</v>
          </cell>
          <cell r="F600" t="str">
            <v>HSBC Account 51-895951-002</v>
          </cell>
          <cell r="I600">
            <v>25905.84</v>
          </cell>
        </row>
        <row r="601">
          <cell r="D601">
            <v>23501640</v>
          </cell>
          <cell r="E601" t="str">
            <v>GA00B272</v>
          </cell>
          <cell r="F601" t="str">
            <v>0780340001027 Hdfc Bank Ltd.</v>
          </cell>
          <cell r="I601">
            <v>0</v>
          </cell>
        </row>
        <row r="602">
          <cell r="D602">
            <v>23501690</v>
          </cell>
          <cell r="E602" t="str">
            <v>GA00B251</v>
          </cell>
          <cell r="F602" t="str">
            <v>Punjab National Bank - 0061002101604825</v>
          </cell>
          <cell r="I602">
            <v>0</v>
          </cell>
        </row>
        <row r="603">
          <cell r="D603">
            <v>23501750</v>
          </cell>
          <cell r="E603" t="str">
            <v>GA00B69</v>
          </cell>
          <cell r="F603" t="str">
            <v>0600340006963 Hdfc Bank</v>
          </cell>
          <cell r="I603">
            <v>44894.55</v>
          </cell>
        </row>
        <row r="604">
          <cell r="D604">
            <v>23501930</v>
          </cell>
          <cell r="E604" t="str">
            <v>GA00B309</v>
          </cell>
          <cell r="F604" t="str">
            <v>4290340000281  Hdfc Bank Ltd.</v>
          </cell>
          <cell r="I604">
            <v>0</v>
          </cell>
        </row>
        <row r="605">
          <cell r="D605">
            <v>23502020</v>
          </cell>
          <cell r="E605" t="str">
            <v>GA00B111</v>
          </cell>
          <cell r="F605" t="str">
            <v>0200340000425 Hdfc Bank</v>
          </cell>
          <cell r="I605">
            <v>0</v>
          </cell>
        </row>
        <row r="606">
          <cell r="D606">
            <v>23502040</v>
          </cell>
          <cell r="E606" t="str">
            <v>GA00B113</v>
          </cell>
          <cell r="F606" t="str">
            <v>Canara Bank- Mumbai A/C No.2426201040957</v>
          </cell>
          <cell r="I606">
            <v>116600</v>
          </cell>
        </row>
        <row r="607">
          <cell r="D607">
            <v>23502050</v>
          </cell>
          <cell r="E607" t="str">
            <v>GA00B114</v>
          </cell>
          <cell r="F607" t="str">
            <v>1150340000107 Hdfc Bank</v>
          </cell>
          <cell r="I607">
            <v>17479.259999999998</v>
          </cell>
        </row>
        <row r="608">
          <cell r="D608">
            <v>23502060</v>
          </cell>
          <cell r="E608" t="str">
            <v>GA00B115</v>
          </cell>
          <cell r="F608" t="str">
            <v>0070340000352 Hdfc Bank</v>
          </cell>
          <cell r="I608">
            <v>0</v>
          </cell>
        </row>
        <row r="609">
          <cell r="D609">
            <v>23502080</v>
          </cell>
          <cell r="E609" t="str">
            <v>GA00B117</v>
          </cell>
          <cell r="F609" t="str">
            <v>0310340000354 Hdfc Bank</v>
          </cell>
          <cell r="I609">
            <v>0</v>
          </cell>
        </row>
        <row r="610">
          <cell r="D610">
            <v>23502580</v>
          </cell>
          <cell r="E610" t="str">
            <v>GA00B182</v>
          </cell>
          <cell r="F610" t="str">
            <v>ISL-HDFC Bank Ltd. 0030340018143</v>
          </cell>
          <cell r="I610">
            <v>20416.009999999998</v>
          </cell>
        </row>
        <row r="611">
          <cell r="D611">
            <v>23502600</v>
          </cell>
          <cell r="E611" t="str">
            <v>GA00B240</v>
          </cell>
          <cell r="F611" t="str">
            <v>0440340000200  Hdfc Bank Ltd</v>
          </cell>
          <cell r="I611">
            <v>0</v>
          </cell>
        </row>
        <row r="612">
          <cell r="D612">
            <v>23502610</v>
          </cell>
          <cell r="E612" t="str">
            <v>GA00B241</v>
          </cell>
          <cell r="F612" t="str">
            <v>0350340000712  Hdfc Bank Ltd</v>
          </cell>
          <cell r="I612">
            <v>35942.01</v>
          </cell>
        </row>
        <row r="613">
          <cell r="D613">
            <v>23502620</v>
          </cell>
          <cell r="E613" t="str">
            <v>GA00B243</v>
          </cell>
          <cell r="F613" t="str">
            <v>ISL- Axis bank Ltd. For Ho-007010200039622</v>
          </cell>
          <cell r="I613">
            <v>14400.87</v>
          </cell>
        </row>
        <row r="614">
          <cell r="D614">
            <v>23502780</v>
          </cell>
          <cell r="E614" t="str">
            <v>GA00B3</v>
          </cell>
          <cell r="F614" t="str">
            <v>Hdfc Bank  A/C 0030340000640 (Old No. 08)</v>
          </cell>
          <cell r="I614">
            <v>-34898.410000000003</v>
          </cell>
        </row>
        <row r="615">
          <cell r="D615">
            <v>23502460</v>
          </cell>
          <cell r="F615" t="str">
            <v>2732340000057 Hdfc Bank Ltd</v>
          </cell>
          <cell r="I615">
            <v>0</v>
          </cell>
        </row>
        <row r="616">
          <cell r="D616">
            <v>23502800</v>
          </cell>
          <cell r="E616" t="str">
            <v>GA00B22</v>
          </cell>
          <cell r="F616" t="str">
            <v>0140340002609 Hdfc Bank</v>
          </cell>
          <cell r="I616">
            <v>12500</v>
          </cell>
        </row>
        <row r="617">
          <cell r="D617">
            <v>23502810</v>
          </cell>
          <cell r="E617" t="str">
            <v>GA00B23</v>
          </cell>
          <cell r="F617" t="str">
            <v>0062340000381 Hdfc Bank</v>
          </cell>
          <cell r="I617">
            <v>21942.28</v>
          </cell>
        </row>
        <row r="618">
          <cell r="D618">
            <v>23502820</v>
          </cell>
          <cell r="E618" t="str">
            <v>GA00B24</v>
          </cell>
          <cell r="F618" t="str">
            <v>0090340000292 Hdfc Bank</v>
          </cell>
          <cell r="I618">
            <v>12000</v>
          </cell>
        </row>
        <row r="619">
          <cell r="D619">
            <v>23502830</v>
          </cell>
          <cell r="E619" t="str">
            <v>GA00B25</v>
          </cell>
          <cell r="F619" t="str">
            <v>0040340001021 Hdfc Bank</v>
          </cell>
          <cell r="I619">
            <v>50438.97</v>
          </cell>
        </row>
        <row r="620">
          <cell r="D620">
            <v>23502850</v>
          </cell>
          <cell r="E620" t="str">
            <v>GA00B29</v>
          </cell>
          <cell r="F620" t="str">
            <v>0012320000871 Hdfc Bank</v>
          </cell>
          <cell r="I620">
            <v>251225.61</v>
          </cell>
        </row>
        <row r="621">
          <cell r="D621">
            <v>23502890</v>
          </cell>
          <cell r="E621" t="str">
            <v>GA00B45</v>
          </cell>
          <cell r="F621" t="str">
            <v>Oriental Bank of Commerce(GTB 1940) 10481010053100</v>
          </cell>
          <cell r="I621">
            <v>9218</v>
          </cell>
        </row>
        <row r="622">
          <cell r="D622">
            <v>23503160</v>
          </cell>
          <cell r="E622" t="str">
            <v>GA00B88</v>
          </cell>
          <cell r="F622" t="str">
            <v>0930340000022 Hdfc Bank</v>
          </cell>
          <cell r="I622">
            <v>58445.26</v>
          </cell>
        </row>
        <row r="623">
          <cell r="D623">
            <v>23503180</v>
          </cell>
          <cell r="E623" t="str">
            <v>GA00B90</v>
          </cell>
          <cell r="F623" t="str">
            <v>2260340000039 Hdfc Bank</v>
          </cell>
          <cell r="I623">
            <v>12185.47</v>
          </cell>
        </row>
        <row r="624">
          <cell r="D624">
            <v>23503680</v>
          </cell>
          <cell r="E624" t="str">
            <v>GA00B149</v>
          </cell>
          <cell r="F624" t="str">
            <v>0080340011214 Hdfc Bank</v>
          </cell>
          <cell r="I624">
            <v>12500</v>
          </cell>
        </row>
        <row r="625">
          <cell r="D625">
            <v>23503720</v>
          </cell>
          <cell r="E625" t="str">
            <v>GA00B214</v>
          </cell>
          <cell r="F625" t="str">
            <v>Axis Bank Ltd. 004010200559638</v>
          </cell>
          <cell r="I625">
            <v>58645.14</v>
          </cell>
        </row>
        <row r="626">
          <cell r="D626">
            <v>23503790</v>
          </cell>
          <cell r="E626" t="str">
            <v>GA00B215</v>
          </cell>
          <cell r="F626" t="str">
            <v>UCO Bank - Mumbai A/c no 19790200269443</v>
          </cell>
          <cell r="I626">
            <v>0</v>
          </cell>
        </row>
        <row r="627">
          <cell r="D627">
            <v>23503800</v>
          </cell>
          <cell r="E627" t="str">
            <v>GA00B216</v>
          </cell>
          <cell r="F627" t="str">
            <v xml:space="preserve"> Bank of Maharastra 20007603128</v>
          </cell>
          <cell r="I627">
            <v>0</v>
          </cell>
        </row>
        <row r="628">
          <cell r="D628">
            <v>23503920</v>
          </cell>
          <cell r="E628" t="str">
            <v>GA00B440</v>
          </cell>
          <cell r="F628" t="str">
            <v>0430002101005835 Pnb</v>
          </cell>
          <cell r="I628">
            <v>26231</v>
          </cell>
        </row>
        <row r="629">
          <cell r="D629">
            <v>23503980</v>
          </cell>
          <cell r="E629" t="str">
            <v>GA00B525</v>
          </cell>
          <cell r="F629" t="str">
            <v>0540340003004 Hdfc Bank Ltd</v>
          </cell>
          <cell r="I629">
            <v>3556748.51</v>
          </cell>
        </row>
        <row r="630">
          <cell r="D630">
            <v>23504170</v>
          </cell>
          <cell r="E630" t="str">
            <v>GA00B443</v>
          </cell>
          <cell r="F630" t="str">
            <v xml:space="preserve"> 0070340000819 Hdfc Bank Ltd</v>
          </cell>
          <cell r="I630">
            <v>38362.06</v>
          </cell>
        </row>
        <row r="631">
          <cell r="D631">
            <v>23504330</v>
          </cell>
          <cell r="E631" t="str">
            <v>GA00B394</v>
          </cell>
          <cell r="F631" t="str">
            <v>5260340000038 Hdfc Bank Ltd.</v>
          </cell>
          <cell r="I631">
            <v>0</v>
          </cell>
        </row>
        <row r="632">
          <cell r="D632">
            <v>23504480</v>
          </cell>
          <cell r="E632" t="str">
            <v>GA00B410</v>
          </cell>
          <cell r="F632" t="str">
            <v>0540340002936  Hdfc Bank Ltd.</v>
          </cell>
          <cell r="I632">
            <v>2002.78</v>
          </cell>
        </row>
        <row r="633">
          <cell r="D633">
            <v>23505120</v>
          </cell>
          <cell r="E633" t="str">
            <v>GA00B477</v>
          </cell>
          <cell r="F633" t="str">
            <v>Allahabad Bank a/c no 20015744423</v>
          </cell>
          <cell r="I633">
            <v>0</v>
          </cell>
        </row>
        <row r="634">
          <cell r="D634">
            <v>23505560</v>
          </cell>
          <cell r="F634" t="str">
            <v>Hdfc Bank  0040340003733</v>
          </cell>
          <cell r="I634">
            <v>0</v>
          </cell>
        </row>
        <row r="635">
          <cell r="D635">
            <v>23505610</v>
          </cell>
          <cell r="E635" t="str">
            <v>GA00B551</v>
          </cell>
          <cell r="F635" t="str">
            <v>Hdfc Bank Limited 4832340000023</v>
          </cell>
          <cell r="I635">
            <v>0</v>
          </cell>
        </row>
        <row r="636">
          <cell r="D636">
            <v>23505690</v>
          </cell>
          <cell r="E636" t="str">
            <v>GA00B572</v>
          </cell>
          <cell r="F636" t="str">
            <v>1530340000103 Hdfc Bank Ltd.</v>
          </cell>
          <cell r="I636">
            <v>0</v>
          </cell>
        </row>
        <row r="637">
          <cell r="D637">
            <v>23509780</v>
          </cell>
          <cell r="E637" t="str">
            <v>GA00B561</v>
          </cell>
          <cell r="F637" t="str">
            <v>State Bank Of Patiala 65016496315 -ISL</v>
          </cell>
          <cell r="I637">
            <v>0</v>
          </cell>
        </row>
        <row r="638">
          <cell r="D638">
            <v>23509910</v>
          </cell>
          <cell r="E638" t="str">
            <v>GA00B535</v>
          </cell>
          <cell r="F638" t="str">
            <v>ISL.3682340000014 HDFC Bank Ltd.</v>
          </cell>
          <cell r="I638">
            <v>0</v>
          </cell>
        </row>
        <row r="639">
          <cell r="D639">
            <v>23510470</v>
          </cell>
          <cell r="E639" t="str">
            <v>GA00B604</v>
          </cell>
          <cell r="F639" t="str">
            <v>Indian Bank  a/c no 723815435</v>
          </cell>
          <cell r="I639">
            <v>0</v>
          </cell>
        </row>
        <row r="640">
          <cell r="D640">
            <v>23513090</v>
          </cell>
          <cell r="F640" t="str">
            <v>Punjab and Sind bank a/c no. 105742</v>
          </cell>
          <cell r="I640">
            <v>9226</v>
          </cell>
        </row>
        <row r="641">
          <cell r="D641">
            <v>23513140</v>
          </cell>
          <cell r="F641" t="str">
            <v>Vijaya Bank A/C 500600301000135</v>
          </cell>
          <cell r="I641">
            <v>22618</v>
          </cell>
        </row>
        <row r="642">
          <cell r="D642">
            <v>23515080</v>
          </cell>
          <cell r="F642" t="str">
            <v>ISL-Hdfc Bank A/c No. 13172340000019</v>
          </cell>
          <cell r="I642">
            <v>0</v>
          </cell>
        </row>
        <row r="643">
          <cell r="D643">
            <v>23515140</v>
          </cell>
          <cell r="F643" t="str">
            <v>ISL HDFC Bank Ltd A/c No. 03632340000019</v>
          </cell>
          <cell r="I643">
            <v>11157.3</v>
          </cell>
        </row>
        <row r="644">
          <cell r="D644">
            <v>23515230</v>
          </cell>
          <cell r="E644" t="str">
            <v>GA00B750</v>
          </cell>
          <cell r="F644" t="str">
            <v>ISL A/c No. 910020000584265 Axis Bank Ltd</v>
          </cell>
          <cell r="I644">
            <v>10000</v>
          </cell>
        </row>
        <row r="645">
          <cell r="D645">
            <v>23515310</v>
          </cell>
          <cell r="F645" t="str">
            <v>ISL SBI A/C NO - 31023077002</v>
          </cell>
          <cell r="I645">
            <v>63230.35</v>
          </cell>
        </row>
        <row r="646">
          <cell r="D646">
            <v>23515740</v>
          </cell>
          <cell r="F646" t="str">
            <v>HDFC BANK LTD. A/C no- 13300340000017</v>
          </cell>
          <cell r="I646">
            <v>0</v>
          </cell>
        </row>
        <row r="647">
          <cell r="D647">
            <v>23515950</v>
          </cell>
          <cell r="F647" t="str">
            <v>ISL A/c No. 06340340000097 HDFC Bank Ltd.</v>
          </cell>
          <cell r="I647">
            <v>0</v>
          </cell>
        </row>
        <row r="648">
          <cell r="D648">
            <v>23516020</v>
          </cell>
          <cell r="F648" t="str">
            <v>Karur Vysya Bank A/c Mumbai- 2119135000000014</v>
          </cell>
          <cell r="I648">
            <v>0</v>
          </cell>
        </row>
        <row r="649">
          <cell r="D649">
            <v>23516270</v>
          </cell>
          <cell r="F649" t="str">
            <v>HDFC Bank Ltd. A/c 00030340047441 MCX SX Business</v>
          </cell>
          <cell r="I649">
            <v>10000</v>
          </cell>
        </row>
        <row r="650">
          <cell r="D650">
            <v>23516530</v>
          </cell>
          <cell r="F650" t="str">
            <v>IDBI Bank Ltd. A/c 171102000006385</v>
          </cell>
          <cell r="I650">
            <v>438226.3</v>
          </cell>
        </row>
        <row r="651">
          <cell r="D651">
            <v>23517090</v>
          </cell>
          <cell r="F651" t="str">
            <v>YES BANK '010585700000020</v>
          </cell>
          <cell r="I651">
            <v>356052.67</v>
          </cell>
        </row>
        <row r="652">
          <cell r="D652">
            <v>12160050</v>
          </cell>
          <cell r="F652" t="str">
            <v>Allahabad Bank- 50073011629.</v>
          </cell>
          <cell r="I652">
            <v>0</v>
          </cell>
        </row>
        <row r="653">
          <cell r="D653">
            <v>23520600</v>
          </cell>
          <cell r="F653" t="str">
            <v>United Bank of India Delhi 0276050413756</v>
          </cell>
          <cell r="I653">
            <v>0</v>
          </cell>
        </row>
        <row r="654">
          <cell r="D654">
            <v>24532030</v>
          </cell>
          <cell r="F654" t="str">
            <v>Oriental Bank of Commerce a/c no 01791011001474</v>
          </cell>
          <cell r="I654">
            <v>17593</v>
          </cell>
        </row>
        <row r="655">
          <cell r="D655">
            <v>24532050</v>
          </cell>
          <cell r="E655" t="str">
            <v>GA00B602</v>
          </cell>
          <cell r="F655" t="str">
            <v>CITI BANK A/C NO 325250046.</v>
          </cell>
          <cell r="I655">
            <v>0</v>
          </cell>
        </row>
        <row r="656">
          <cell r="D656">
            <v>24532140</v>
          </cell>
          <cell r="F656" t="str">
            <v>UNION BANK OF INDIA 317901011012025</v>
          </cell>
          <cell r="I656">
            <v>0</v>
          </cell>
        </row>
        <row r="657">
          <cell r="D657">
            <v>23500190</v>
          </cell>
          <cell r="E657" t="str">
            <v>GA00B5</v>
          </cell>
          <cell r="F657" t="str">
            <v>Icici Bank  &lt;Delhi&gt; 05/22 705000229</v>
          </cell>
          <cell r="I657">
            <v>-1781233.74</v>
          </cell>
        </row>
        <row r="658">
          <cell r="D658">
            <v>23500270</v>
          </cell>
          <cell r="E658" t="str">
            <v>GA00B131</v>
          </cell>
          <cell r="F658" t="str">
            <v>Ing Vysya Bank 503011007955</v>
          </cell>
          <cell r="I658">
            <v>1189829.43</v>
          </cell>
        </row>
        <row r="659">
          <cell r="D659">
            <v>23501420</v>
          </cell>
          <cell r="E659" t="str">
            <v>GA00B64</v>
          </cell>
          <cell r="F659" t="str">
            <v>1010340000329 Hdfc Bank</v>
          </cell>
          <cell r="I659">
            <v>0</v>
          </cell>
        </row>
        <row r="660">
          <cell r="D660">
            <v>23501570</v>
          </cell>
          <cell r="E660" t="str">
            <v>GA0B5</v>
          </cell>
          <cell r="F660" t="str">
            <v>Hdfc Bank Ltd. - 0030340015511</v>
          </cell>
          <cell r="I660">
            <v>-3823867.06</v>
          </cell>
        </row>
        <row r="661">
          <cell r="D661">
            <v>23505190</v>
          </cell>
          <cell r="E661" t="str">
            <v>GA00B28</v>
          </cell>
          <cell r="F661" t="str">
            <v>Citi Bank (Delhi) 421751226</v>
          </cell>
          <cell r="I661">
            <v>0</v>
          </cell>
        </row>
        <row r="662">
          <cell r="D662">
            <v>23505210</v>
          </cell>
          <cell r="E662" t="str">
            <v>GA00B11</v>
          </cell>
          <cell r="F662" t="str">
            <v>Axis Bank Ltd. (Delhi) 7010200009867</v>
          </cell>
          <cell r="I662">
            <v>-1493862.45</v>
          </cell>
        </row>
        <row r="663">
          <cell r="D663">
            <v>23522730</v>
          </cell>
          <cell r="F663" t="str">
            <v>Axis bank Ltd A/c no 912020056404872</v>
          </cell>
          <cell r="I663">
            <v>18096.52</v>
          </cell>
        </row>
        <row r="664">
          <cell r="D664">
            <v>23505230</v>
          </cell>
          <cell r="E664" t="str">
            <v>GA00B109</v>
          </cell>
          <cell r="F664" t="str">
            <v>HSBC Account 51-895951-001</v>
          </cell>
          <cell r="I664">
            <v>473072.14</v>
          </cell>
        </row>
        <row r="665">
          <cell r="D665">
            <v>23505240</v>
          </cell>
          <cell r="E665" t="str">
            <v>GA00B71</v>
          </cell>
          <cell r="F665" t="str">
            <v>Royal Bank of Scotland (ABN) A/C 6518796</v>
          </cell>
          <cell r="I665">
            <v>843978.81</v>
          </cell>
        </row>
        <row r="666">
          <cell r="D666">
            <v>23505250</v>
          </cell>
          <cell r="E666" t="str">
            <v>GA00B84</v>
          </cell>
          <cell r="F666" t="str">
            <v>Canara Bank A/c Shimoga -0524201002309</v>
          </cell>
          <cell r="I666">
            <v>0</v>
          </cell>
        </row>
        <row r="667">
          <cell r="D667">
            <v>23505260</v>
          </cell>
          <cell r="E667" t="str">
            <v>GA00B73</v>
          </cell>
          <cell r="F667" t="str">
            <v>Idbi 102000015075</v>
          </cell>
          <cell r="I667">
            <v>2821258.22</v>
          </cell>
        </row>
        <row r="668">
          <cell r="D668">
            <v>23505270</v>
          </cell>
          <cell r="E668" t="str">
            <v>GA00B77</v>
          </cell>
          <cell r="F668" t="str">
            <v>Indusland Bank 5109794060</v>
          </cell>
          <cell r="I668">
            <v>174080.95</v>
          </cell>
        </row>
        <row r="669">
          <cell r="D669">
            <v>23505280</v>
          </cell>
          <cell r="E669" t="str">
            <v>GA00B146</v>
          </cell>
          <cell r="F669" t="str">
            <v>Karur Vysya Bank 410112700000020</v>
          </cell>
          <cell r="I669">
            <v>189587.09</v>
          </cell>
        </row>
        <row r="670">
          <cell r="D670">
            <v>23505300</v>
          </cell>
          <cell r="E670" t="str">
            <v>GA00B191</v>
          </cell>
          <cell r="F670" t="str">
            <v>Union Bank Of India - Client A/C 307801010917312</v>
          </cell>
          <cell r="I670">
            <v>335152.40999999997</v>
          </cell>
        </row>
        <row r="671">
          <cell r="D671">
            <v>23519820</v>
          </cell>
          <cell r="E671" t="str">
            <v>GA00B610</v>
          </cell>
          <cell r="F671" t="str">
            <v>Yes Bank A/C ISL - Client A/c</v>
          </cell>
          <cell r="I671">
            <v>690401.64</v>
          </cell>
        </row>
        <row r="672">
          <cell r="D672">
            <v>23521700</v>
          </cell>
          <cell r="E672" t="str">
            <v>GA00B626</v>
          </cell>
          <cell r="F672" t="str">
            <v>Karnataka Bank 1012000100631101 Client A/c</v>
          </cell>
          <cell r="I672">
            <v>209831</v>
          </cell>
        </row>
        <row r="673">
          <cell r="D673">
            <v>23521710</v>
          </cell>
          <cell r="F673" t="str">
            <v>UCO Bank 19790210006580 Client A/c</v>
          </cell>
          <cell r="I673">
            <v>0</v>
          </cell>
        </row>
        <row r="674">
          <cell r="D674">
            <v>23505320</v>
          </cell>
          <cell r="E674" t="str">
            <v>GA00B740</v>
          </cell>
          <cell r="F674" t="str">
            <v>Hdfc Bank - 0030340020740</v>
          </cell>
          <cell r="I674">
            <v>-76084462.060000002</v>
          </cell>
        </row>
        <row r="675">
          <cell r="D675">
            <v>23505330</v>
          </cell>
          <cell r="E675" t="str">
            <v>GA00B164</v>
          </cell>
          <cell r="F675" t="str">
            <v>Andhra Bank - Client A/c  8411011093286</v>
          </cell>
          <cell r="I675">
            <v>50878.87</v>
          </cell>
        </row>
        <row r="676">
          <cell r="D676">
            <v>23505350</v>
          </cell>
          <cell r="E676" t="str">
            <v>GA00B183</v>
          </cell>
          <cell r="F676" t="str">
            <v>Syndicate Bank 90363050000067</v>
          </cell>
          <cell r="I676">
            <v>492681.75</v>
          </cell>
        </row>
        <row r="677">
          <cell r="D677">
            <v>23501330</v>
          </cell>
          <cell r="E677" t="str">
            <v>GA00B136</v>
          </cell>
          <cell r="F677" t="str">
            <v>Royal Bank of Scotland (Dividend A/C04-05) 6528414</v>
          </cell>
          <cell r="I677">
            <v>807.03</v>
          </cell>
        </row>
        <row r="678">
          <cell r="D678">
            <v>23505360</v>
          </cell>
          <cell r="E678" t="str">
            <v>GA00B250</v>
          </cell>
          <cell r="F678" t="str">
            <v>Pnb A/C No.   1988002100183894</v>
          </cell>
          <cell r="I678">
            <v>337089.46</v>
          </cell>
        </row>
        <row r="679">
          <cell r="D679">
            <v>23505370</v>
          </cell>
          <cell r="E679" t="str">
            <v>GL1019</v>
          </cell>
          <cell r="F679" t="str">
            <v>0030130000080-HDFC ACCOUNT ISL</v>
          </cell>
          <cell r="I679">
            <v>-17543841.850000001</v>
          </cell>
        </row>
        <row r="680">
          <cell r="D680">
            <v>23505380</v>
          </cell>
          <cell r="E680" t="str">
            <v>GA00B10</v>
          </cell>
          <cell r="F680" t="str">
            <v>Standard Charter (Vasant) 523-0-513377-9</v>
          </cell>
          <cell r="I680">
            <v>62662.47</v>
          </cell>
        </row>
        <row r="681">
          <cell r="D681">
            <v>23505400</v>
          </cell>
          <cell r="E681" t="str">
            <v>GA0B3</v>
          </cell>
          <cell r="F681" t="str">
            <v>Hdfc (Delhi)- 00030340000657</v>
          </cell>
          <cell r="I681">
            <v>3843867.08</v>
          </cell>
        </row>
        <row r="682">
          <cell r="D682">
            <v>23505420</v>
          </cell>
          <cell r="E682" t="str">
            <v>GA00B7</v>
          </cell>
          <cell r="F682" t="str">
            <v>0032340000015 Hdfc Isl Client A/C</v>
          </cell>
          <cell r="I682">
            <v>-8618483.4700000007</v>
          </cell>
        </row>
        <row r="683">
          <cell r="D683">
            <v>23505430</v>
          </cell>
          <cell r="E683" t="str">
            <v>GA00B82</v>
          </cell>
          <cell r="F683" t="str">
            <v>Hdfc Bank Ltd.</v>
          </cell>
          <cell r="I683">
            <v>-34488387.280000001</v>
          </cell>
        </row>
        <row r="684">
          <cell r="D684">
            <v>23505440</v>
          </cell>
          <cell r="E684" t="str">
            <v>GA00B153</v>
          </cell>
          <cell r="F684" t="str">
            <v xml:space="preserve"> ICICI BANK LTD. 663005113762</v>
          </cell>
          <cell r="I684">
            <v>0</v>
          </cell>
        </row>
        <row r="685">
          <cell r="D685">
            <v>23505450</v>
          </cell>
          <cell r="E685" t="str">
            <v>GA00B03</v>
          </cell>
          <cell r="F685" t="str">
            <v>Citi Bank 325250003</v>
          </cell>
          <cell r="I685">
            <v>-4943993.3</v>
          </cell>
        </row>
        <row r="686">
          <cell r="D686">
            <v>23510510</v>
          </cell>
          <cell r="E686" t="str">
            <v>GA00B507</v>
          </cell>
          <cell r="F686" t="str">
            <v>Bank Of India-Client A/c 600320110000136</v>
          </cell>
          <cell r="I686">
            <v>104976.43</v>
          </cell>
        </row>
        <row r="687">
          <cell r="D687">
            <v>23511750</v>
          </cell>
          <cell r="E687" t="str">
            <v>GA00B603</v>
          </cell>
          <cell r="F687" t="str">
            <v>AXIS Bank 007010200049799</v>
          </cell>
          <cell r="I687">
            <v>592023.06000000006</v>
          </cell>
        </row>
        <row r="688">
          <cell r="D688">
            <v>23515110</v>
          </cell>
          <cell r="E688" t="str">
            <v>GA00B590</v>
          </cell>
          <cell r="F688" t="str">
            <v>Indusind Bank A/c  0148-AZ0161-050</v>
          </cell>
          <cell r="I688">
            <v>-863807.08</v>
          </cell>
        </row>
        <row r="689">
          <cell r="D689">
            <v>23515240</v>
          </cell>
          <cell r="E689" t="str">
            <v>GA00B850</v>
          </cell>
          <cell r="F689" t="str">
            <v>ISL A/c No. 910020000572673 Axis Bank Ltd</v>
          </cell>
          <cell r="I689">
            <v>10000</v>
          </cell>
        </row>
        <row r="690">
          <cell r="D690">
            <v>23515770</v>
          </cell>
          <cell r="E690" t="str">
            <v>GA00B855</v>
          </cell>
          <cell r="F690" t="str">
            <v>BANK OF BRODA Client 00950200000776</v>
          </cell>
          <cell r="I690">
            <v>355875.49</v>
          </cell>
        </row>
        <row r="691">
          <cell r="D691">
            <v>23515860</v>
          </cell>
          <cell r="E691" t="str">
            <v>GA00B19</v>
          </cell>
          <cell r="F691" t="str">
            <v>Citi Bank A/c 29232229 Client A/c</v>
          </cell>
          <cell r="I691">
            <v>0</v>
          </cell>
        </row>
        <row r="692">
          <cell r="D692">
            <v>23515990</v>
          </cell>
          <cell r="E692" t="str">
            <v>GA00B254</v>
          </cell>
          <cell r="F692" t="str">
            <v>ICICI BANK, 000705034254 Client A/c</v>
          </cell>
          <cell r="I692">
            <v>-3160138.54</v>
          </cell>
        </row>
        <row r="693">
          <cell r="D693">
            <v>23516000</v>
          </cell>
          <cell r="E693" t="str">
            <v>GA00B857</v>
          </cell>
          <cell r="F693" t="str">
            <v>STATE BANK OF INDIA 31269652734 Client A/C</v>
          </cell>
          <cell r="I693">
            <v>530675.23</v>
          </cell>
        </row>
        <row r="694">
          <cell r="D694">
            <v>23516010</v>
          </cell>
          <cell r="E694" t="str">
            <v>GA00B859</v>
          </cell>
          <cell r="F694" t="str">
            <v>Indusind Bank A/c - 0148-AZ0161-051Client A/c</v>
          </cell>
          <cell r="I694">
            <v>0</v>
          </cell>
        </row>
        <row r="695">
          <cell r="D695">
            <v>23516260</v>
          </cell>
          <cell r="E695" t="str">
            <v>GA00B860</v>
          </cell>
          <cell r="F695" t="str">
            <v>HDFC Bank Ltd. A/c 00030340047431 - MCX SX Client</v>
          </cell>
          <cell r="I695">
            <v>10000</v>
          </cell>
        </row>
        <row r="696">
          <cell r="D696">
            <v>23520880</v>
          </cell>
          <cell r="E696" t="str">
            <v>GA00B16</v>
          </cell>
          <cell r="F696" t="str">
            <v>HDFC BANK 5982340005073</v>
          </cell>
          <cell r="I696">
            <v>10000</v>
          </cell>
        </row>
        <row r="697">
          <cell r="D697">
            <v>23520890</v>
          </cell>
          <cell r="E697" t="str">
            <v>GIPO</v>
          </cell>
          <cell r="F697" t="str">
            <v>HDFC BANK '0030340025525</v>
          </cell>
          <cell r="I697">
            <v>13644.28</v>
          </cell>
        </row>
        <row r="698">
          <cell r="D698">
            <v>23520900</v>
          </cell>
          <cell r="E698" t="str">
            <v>GA00B17</v>
          </cell>
          <cell r="F698" t="str">
            <v>ICICI BANK  000705017636</v>
          </cell>
          <cell r="I698">
            <v>0</v>
          </cell>
        </row>
        <row r="699">
          <cell r="D699">
            <v>23520910</v>
          </cell>
          <cell r="E699" t="str">
            <v>GA00B15</v>
          </cell>
          <cell r="F699" t="str">
            <v>IDBI BANK 038102000010779</v>
          </cell>
          <cell r="I699">
            <v>10000</v>
          </cell>
        </row>
        <row r="700">
          <cell r="D700">
            <v>23517990</v>
          </cell>
          <cell r="E700" t="str">
            <v>GA00B625</v>
          </cell>
          <cell r="F700" t="str">
            <v>HDFC Bank Ltd. A/c 00030340052965 Client A/c</v>
          </cell>
          <cell r="I700">
            <v>16104.18</v>
          </cell>
        </row>
        <row r="701">
          <cell r="D701">
            <v>23527160</v>
          </cell>
          <cell r="F701" t="str">
            <v>HDFC Bank ltd- Client A/c</v>
          </cell>
          <cell r="I701">
            <v>253759.15</v>
          </cell>
        </row>
        <row r="702">
          <cell r="D702">
            <v>23518150</v>
          </cell>
          <cell r="F702" t="str">
            <v>HDFC Bank  A/c No. 12280340000018</v>
          </cell>
          <cell r="I702">
            <v>16555.38</v>
          </cell>
        </row>
        <row r="703">
          <cell r="D703">
            <v>23505470</v>
          </cell>
          <cell r="E703" t="str">
            <v>GA00B4</v>
          </cell>
          <cell r="F703" t="str">
            <v>0990650000155  Hdfc  Bank</v>
          </cell>
          <cell r="I703">
            <v>243904</v>
          </cell>
        </row>
        <row r="704">
          <cell r="D704">
            <v>23525600</v>
          </cell>
          <cell r="F704" t="str">
            <v>Yes Bank Ltd 000185600000310 MCXSX EXCHNG DUES A/C</v>
          </cell>
          <cell r="I704">
            <v>0</v>
          </cell>
        </row>
        <row r="705">
          <cell r="D705">
            <v>23525630</v>
          </cell>
          <cell r="F705" t="str">
            <v>Yes Bank Ltd 000185600000341 MCXSX CASH SETT A/C</v>
          </cell>
          <cell r="I705">
            <v>0</v>
          </cell>
        </row>
        <row r="706">
          <cell r="D706">
            <v>23505480</v>
          </cell>
          <cell r="E706" t="str">
            <v>GA00B81</v>
          </cell>
          <cell r="F706" t="str">
            <v>Hdfc F&amp;O Clearing (0990630001246)</v>
          </cell>
          <cell r="I706">
            <v>100000</v>
          </cell>
        </row>
        <row r="707">
          <cell r="D707">
            <v>23505490</v>
          </cell>
          <cell r="E707" t="str">
            <v>GA00B125</v>
          </cell>
          <cell r="F707" t="str">
            <v>Icici Bank - Bse Clearing Account 000405019074</v>
          </cell>
          <cell r="I707">
            <v>12610.55</v>
          </cell>
        </row>
        <row r="708">
          <cell r="D708">
            <v>23505500</v>
          </cell>
          <cell r="E708" t="str">
            <v>GA00B1</v>
          </cell>
          <cell r="F708" t="str">
            <v>Hdfc Bank (246 Clearing A/C 02) 990610000246</v>
          </cell>
          <cell r="I708">
            <v>100000</v>
          </cell>
        </row>
        <row r="709">
          <cell r="D709">
            <v>23515220</v>
          </cell>
          <cell r="E709" t="str">
            <v>GA00B550</v>
          </cell>
          <cell r="F709" t="str">
            <v>ISL A/c No. 910020000663449 Axis Bank Ltd</v>
          </cell>
          <cell r="I709">
            <v>11124404.859999999</v>
          </cell>
        </row>
        <row r="710">
          <cell r="D710">
            <v>23515510</v>
          </cell>
          <cell r="E710" t="str">
            <v>GA00B126</v>
          </cell>
          <cell r="F710" t="str">
            <v>ISL BSE F&amp;O Settla/c ICICI Bank Ltd 000405058620</v>
          </cell>
          <cell r="I710">
            <v>190706.45</v>
          </cell>
        </row>
        <row r="711">
          <cell r="D711">
            <v>23520850</v>
          </cell>
          <cell r="E711" t="str">
            <v>GA00B605</v>
          </cell>
          <cell r="F711" t="str">
            <v>00990630003199 (Settlement a\c ) HDFC BANK A\C</v>
          </cell>
          <cell r="I711">
            <v>876647.68</v>
          </cell>
        </row>
        <row r="712">
          <cell r="D712">
            <v>23517520</v>
          </cell>
          <cell r="F712" t="str">
            <v>HDFC Bank Ltd. A/c 05982340006657</v>
          </cell>
          <cell r="I712">
            <v>11429.7</v>
          </cell>
        </row>
        <row r="713">
          <cell r="D713">
            <v>23521320</v>
          </cell>
          <cell r="E713" t="str">
            <v>GA00B856</v>
          </cell>
          <cell r="F713" t="str">
            <v>Canara Bank A/c 2577201017424 (ISL)</v>
          </cell>
          <cell r="I713">
            <v>79334</v>
          </cell>
        </row>
        <row r="714">
          <cell r="D714">
            <v>23500540</v>
          </cell>
          <cell r="F714" t="str">
            <v>3002340000055 Hdfc Bank</v>
          </cell>
          <cell r="I714">
            <v>0</v>
          </cell>
        </row>
        <row r="715">
          <cell r="D715">
            <v>23515390</v>
          </cell>
          <cell r="F715" t="str">
            <v>HDFC Bank Ltd.(Inst &amp; Client Sett)- 00030340042231</v>
          </cell>
          <cell r="I715">
            <v>10000</v>
          </cell>
        </row>
        <row r="716">
          <cell r="D716">
            <v>23518200</v>
          </cell>
          <cell r="F716" t="str">
            <v>UCO Bank A/c '01200210001080 Salary A/c</v>
          </cell>
          <cell r="I716">
            <v>0</v>
          </cell>
        </row>
        <row r="717">
          <cell r="D717">
            <v>23526800</v>
          </cell>
          <cell r="F717" t="str">
            <v>Yes Bank Ltd. 000183000002494 Business A/c</v>
          </cell>
          <cell r="I717">
            <v>-1496733.42</v>
          </cell>
        </row>
        <row r="718">
          <cell r="D718">
            <v>12160053</v>
          </cell>
          <cell r="F718" t="str">
            <v>AXIS BANK LTD. 911030044553906</v>
          </cell>
          <cell r="I718">
            <v>99.74</v>
          </cell>
        </row>
        <row r="719">
          <cell r="D719">
            <v>23527890</v>
          </cell>
          <cell r="F719" t="str">
            <v>HDFC BANK 00030140000471 OD</v>
          </cell>
          <cell r="I719">
            <v>9887.64</v>
          </cell>
        </row>
        <row r="720">
          <cell r="D720">
            <v>23528200</v>
          </cell>
          <cell r="F720" t="str">
            <v>State Bank of India A/c -  33798489485</v>
          </cell>
          <cell r="I720">
            <v>40000</v>
          </cell>
        </row>
        <row r="721">
          <cell r="D721">
            <v>23517590</v>
          </cell>
          <cell r="F721" t="str">
            <v>SBI A/c No. 31748946887 Indiabulls Securities Ltd.</v>
          </cell>
          <cell r="I721">
            <v>48264</v>
          </cell>
        </row>
        <row r="722">
          <cell r="F722" t="str">
            <v>Temporary Overdrawn bank balances as per books</v>
          </cell>
          <cell r="I722">
            <v>0</v>
          </cell>
        </row>
        <row r="723">
          <cell r="F723" t="str">
            <v>DP Bank</v>
          </cell>
        </row>
        <row r="724">
          <cell r="F724" t="str">
            <v>Positive OD Bank Accounts</v>
          </cell>
        </row>
        <row r="726">
          <cell r="F726" t="str">
            <v>Unclaimed dividend account</v>
          </cell>
        </row>
        <row r="728">
          <cell r="D728">
            <v>23514070</v>
          </cell>
          <cell r="F728" t="str">
            <v>HDFC Bank Ltd. 05988510000240 ISL DIVIDEND 07-08</v>
          </cell>
          <cell r="I728">
            <v>4161945.5</v>
          </cell>
        </row>
        <row r="729">
          <cell r="D729">
            <v>23522600</v>
          </cell>
          <cell r="F729" t="str">
            <v>Yes Bank 000184400003981- Interim Dividend 2012-13</v>
          </cell>
          <cell r="I729">
            <v>2555448</v>
          </cell>
        </row>
        <row r="730">
          <cell r="D730">
            <v>23525700</v>
          </cell>
          <cell r="F730" t="str">
            <v>Axis 913020004572245 Interim Divid 2012-13 -II</v>
          </cell>
          <cell r="I730">
            <v>2307369</v>
          </cell>
        </row>
        <row r="731">
          <cell r="D731">
            <v>23525730</v>
          </cell>
          <cell r="F731" t="str">
            <v>Axis Bank 913020004572520 Interim Div A/c 2012-13</v>
          </cell>
          <cell r="I731">
            <v>0</v>
          </cell>
        </row>
        <row r="732">
          <cell r="D732">
            <v>23515830</v>
          </cell>
          <cell r="F732" t="str">
            <v>Axis Bank 910020018494420 Dividend A/c</v>
          </cell>
          <cell r="I732">
            <v>2451078</v>
          </cell>
        </row>
        <row r="733">
          <cell r="D733">
            <v>23516290</v>
          </cell>
          <cell r="F733" t="str">
            <v>HDFC Bank 05988510000586 DIVIDEND A/C 2010-2011</v>
          </cell>
          <cell r="I733">
            <v>1870339</v>
          </cell>
        </row>
        <row r="734">
          <cell r="D734">
            <v>23528010</v>
          </cell>
          <cell r="F734" t="str">
            <v>Axis Bank 914020014255429 Inter divi IV_13-14</v>
          </cell>
          <cell r="I734">
            <v>1615004</v>
          </cell>
        </row>
        <row r="735">
          <cell r="D735">
            <v>23526010</v>
          </cell>
          <cell r="F735" t="str">
            <v>Axis Bank 913020020658570 Inte Divid III A/c 12-13</v>
          </cell>
          <cell r="I735">
            <v>2029765</v>
          </cell>
        </row>
        <row r="736">
          <cell r="D736">
            <v>23526870</v>
          </cell>
          <cell r="F736" t="str">
            <v>Axis Bank 913020034658050 Interim Dividend 2013-14</v>
          </cell>
          <cell r="I736">
            <v>1699418</v>
          </cell>
        </row>
        <row r="737">
          <cell r="D737">
            <v>23526920</v>
          </cell>
          <cell r="F737" t="str">
            <v>Axis Bank 913020034658966 Inter Divi A/c 13-14 ECS</v>
          </cell>
          <cell r="I737">
            <v>0</v>
          </cell>
        </row>
        <row r="738">
          <cell r="D738">
            <v>23527240</v>
          </cell>
          <cell r="F738" t="str">
            <v>IDBI Bank 0127103000013800 Inte Divid II A/c 13-14</v>
          </cell>
          <cell r="I738">
            <v>1882427</v>
          </cell>
        </row>
        <row r="739">
          <cell r="D739">
            <v>23528100</v>
          </cell>
          <cell r="F739" t="str">
            <v>Axis Bank 914020014256095 Inter divi IV_13-14 ECS</v>
          </cell>
          <cell r="I739">
            <v>100</v>
          </cell>
        </row>
        <row r="740">
          <cell r="D740">
            <v>23527670</v>
          </cell>
          <cell r="F740" t="str">
            <v>YES BANK 000184400006551 Inte Divid III_13-14</v>
          </cell>
          <cell r="I740">
            <v>1813244</v>
          </cell>
        </row>
        <row r="741">
          <cell r="D741">
            <v>23520127</v>
          </cell>
          <cell r="F741" t="str">
            <v>ISL-DIVIDEND A/C-08-09 -HDFC 05988510000422</v>
          </cell>
          <cell r="I741">
            <v>2001638</v>
          </cell>
        </row>
        <row r="742">
          <cell r="D742">
            <v>23528370</v>
          </cell>
          <cell r="F742" t="str">
            <v>HDFC Bank 50200006765934 Inter divi 14-15</v>
          </cell>
          <cell r="I742">
            <v>260776036</v>
          </cell>
        </row>
        <row r="744">
          <cell r="D744">
            <v>23510570</v>
          </cell>
          <cell r="E744" t="str">
            <v>GFDR</v>
          </cell>
          <cell r="F744" t="str">
            <v>FDR General</v>
          </cell>
          <cell r="I744">
            <v>1066120276.36</v>
          </cell>
        </row>
        <row r="746">
          <cell r="D746">
            <v>90000265</v>
          </cell>
          <cell r="E746" t="str">
            <v>GINRE</v>
          </cell>
          <cell r="F746" t="str">
            <v>INTEREST RECEIVABLE ON FDR</v>
          </cell>
          <cell r="I746">
            <v>12696030.619999999</v>
          </cell>
        </row>
        <row r="752">
          <cell r="D752">
            <v>14890671</v>
          </cell>
          <cell r="F752" t="str">
            <v>Provision For Doubtful Security Deposits</v>
          </cell>
          <cell r="G752" t="str">
            <v>Other Non-Current Assets</v>
          </cell>
          <cell r="H752" t="str">
            <v>Security Deposits</v>
          </cell>
          <cell r="I752">
            <v>-20435138.91</v>
          </cell>
        </row>
        <row r="755">
          <cell r="F755" t="str">
            <v>ARCK</v>
          </cell>
        </row>
        <row r="756">
          <cell r="F756" t="str">
            <v>ARCK Sheet</v>
          </cell>
        </row>
        <row r="759">
          <cell r="F759" t="str">
            <v>ICD Given - ARCK Sheet</v>
          </cell>
        </row>
        <row r="762">
          <cell r="D762">
            <v>43500002</v>
          </cell>
          <cell r="E762" t="str">
            <v>GCBROK</v>
          </cell>
          <cell r="F762" t="str">
            <v>Brokerage Curreny Derivate</v>
          </cell>
          <cell r="I762">
            <v>-1223507.3</v>
          </cell>
        </row>
        <row r="763">
          <cell r="D763">
            <v>44020018</v>
          </cell>
          <cell r="E763" t="str">
            <v>GBROK</v>
          </cell>
          <cell r="F763" t="str">
            <v>Brokerage Income</v>
          </cell>
          <cell r="I763">
            <v>-75665544.569999993</v>
          </cell>
        </row>
        <row r="764">
          <cell r="D764">
            <v>44020019</v>
          </cell>
          <cell r="E764" t="str">
            <v>GBBROK</v>
          </cell>
          <cell r="F764" t="str">
            <v>Brokerage Income Bse</v>
          </cell>
          <cell r="I764">
            <v>-5506939.4400000004</v>
          </cell>
        </row>
        <row r="765">
          <cell r="D765">
            <v>44020020</v>
          </cell>
          <cell r="E765" t="str">
            <v>GFBROK</v>
          </cell>
          <cell r="F765" t="str">
            <v>Brokerage Income F&amp;O</v>
          </cell>
          <cell r="I765">
            <v>-82359228.620000005</v>
          </cell>
        </row>
        <row r="766">
          <cell r="D766">
            <v>44020125</v>
          </cell>
          <cell r="E766" t="str">
            <v>GBROKS</v>
          </cell>
          <cell r="F766" t="str">
            <v>BROKERAGE &amp; SERVICE CHARGES-SCHEME</v>
          </cell>
          <cell r="I766">
            <v>-1606591.34</v>
          </cell>
        </row>
        <row r="767">
          <cell r="D767">
            <v>44020147</v>
          </cell>
          <cell r="E767" t="str">
            <v>GIBROK</v>
          </cell>
          <cell r="F767" t="str">
            <v>Brokerage Income – Institutional</v>
          </cell>
          <cell r="I767">
            <v>0</v>
          </cell>
        </row>
        <row r="770">
          <cell r="D770">
            <v>44020002</v>
          </cell>
          <cell r="E770" t="str">
            <v>GINT1</v>
          </cell>
          <cell r="F770" t="str">
            <v>Interest</v>
          </cell>
          <cell r="I770">
            <v>-17488007.859999999</v>
          </cell>
        </row>
        <row r="772">
          <cell r="D772">
            <v>46000123</v>
          </cell>
          <cell r="E772" t="str">
            <v>GIDP</v>
          </cell>
          <cell r="F772" t="str">
            <v>DP INCOME A/C</v>
          </cell>
          <cell r="I772">
            <v>-21965658.640000001</v>
          </cell>
        </row>
        <row r="774">
          <cell r="D774">
            <v>44020032</v>
          </cell>
          <cell r="E774" t="str">
            <v>GTRANS</v>
          </cell>
          <cell r="F774" t="str">
            <v>Other Charges (including transaction Charges) NSE</v>
          </cell>
          <cell r="I774">
            <v>-3713465.74</v>
          </cell>
        </row>
        <row r="775">
          <cell r="D775">
            <v>44020034</v>
          </cell>
          <cell r="E775" t="str">
            <v>GBTRANS</v>
          </cell>
          <cell r="F775" t="str">
            <v>Other Charges (including transaction Charges) BSE</v>
          </cell>
          <cell r="I775">
            <v>-261100.37</v>
          </cell>
        </row>
        <row r="776">
          <cell r="D776">
            <v>44020035</v>
          </cell>
          <cell r="E776" t="str">
            <v>GFTRANS</v>
          </cell>
          <cell r="F776" t="str">
            <v>Other Charges (including transaction Charges) F&amp;O</v>
          </cell>
          <cell r="I776">
            <v>-6452936.4699999997</v>
          </cell>
        </row>
        <row r="777">
          <cell r="D777">
            <v>44020036</v>
          </cell>
          <cell r="E777" t="str">
            <v>GTRAN</v>
          </cell>
          <cell r="F777" t="str">
            <v>Other Charges(including transaction Charges)Refund</v>
          </cell>
          <cell r="I777">
            <v>868083.41</v>
          </cell>
        </row>
        <row r="778">
          <cell r="D778">
            <v>44020077</v>
          </cell>
          <cell r="E778" t="str">
            <v>GSDTX</v>
          </cell>
          <cell r="F778" t="str">
            <v>Other Charg(includ transaction Charges)Service Tax</v>
          </cell>
          <cell r="I778">
            <v>804582</v>
          </cell>
        </row>
        <row r="779">
          <cell r="D779">
            <v>46000044</v>
          </cell>
          <cell r="E779" t="str">
            <v>GTRXNCG</v>
          </cell>
          <cell r="F779" t="str">
            <v>Other Charges(includ transaction Charges)-GTRXNCG</v>
          </cell>
          <cell r="I779">
            <v>-6796409.3399999999</v>
          </cell>
        </row>
        <row r="780">
          <cell r="D780">
            <v>46000045</v>
          </cell>
          <cell r="E780" t="str">
            <v>GL01002</v>
          </cell>
          <cell r="F780" t="str">
            <v>Other Charges(includ transaction Charges)-GLO1002</v>
          </cell>
          <cell r="I780">
            <v>6772860.0800000001</v>
          </cell>
        </row>
        <row r="781">
          <cell r="D781">
            <v>46000136</v>
          </cell>
          <cell r="E781" t="str">
            <v>GSDT</v>
          </cell>
          <cell r="F781" t="str">
            <v>Other Processing Charges - BSE</v>
          </cell>
          <cell r="I781">
            <v>-784999.82</v>
          </cell>
        </row>
        <row r="782">
          <cell r="D782">
            <v>44020193</v>
          </cell>
          <cell r="E782" t="str">
            <v>GCTRANS</v>
          </cell>
          <cell r="F782" t="str">
            <v>Other Charges (including transaction Charges) CDS</v>
          </cell>
          <cell r="I782">
            <v>-43826.2</v>
          </cell>
        </row>
        <row r="783">
          <cell r="D783">
            <v>46000137</v>
          </cell>
          <cell r="E783" t="str">
            <v>GSDT</v>
          </cell>
          <cell r="F783" t="str">
            <v>Other Processing Charges - NSE</v>
          </cell>
          <cell r="I783">
            <v>-9506169.5</v>
          </cell>
        </row>
        <row r="786">
          <cell r="D786">
            <v>44010001</v>
          </cell>
          <cell r="E786" t="str">
            <v>GINTR</v>
          </cell>
          <cell r="F786" t="str">
            <v>Interest On FDR</v>
          </cell>
          <cell r="I786">
            <v>-39012680.520000003</v>
          </cell>
        </row>
        <row r="788">
          <cell r="D788">
            <v>44100004</v>
          </cell>
          <cell r="E788" t="str">
            <v>GIADV</v>
          </cell>
          <cell r="F788" t="str">
            <v>Advisory Income</v>
          </cell>
          <cell r="I788">
            <v>0</v>
          </cell>
        </row>
        <row r="790">
          <cell r="D790">
            <v>44020014</v>
          </cell>
          <cell r="E790" t="str">
            <v>GAOC</v>
          </cell>
          <cell r="F790" t="str">
            <v>Income from Account Opening Charges</v>
          </cell>
          <cell r="I790">
            <v>-179824.5</v>
          </cell>
        </row>
        <row r="791">
          <cell r="D791">
            <v>44020025</v>
          </cell>
          <cell r="E791" t="str">
            <v>GMFB</v>
          </cell>
          <cell r="F791" t="str">
            <v>Mutual Fund Brokerage</v>
          </cell>
          <cell r="I791">
            <v>-47255.49</v>
          </cell>
        </row>
        <row r="792">
          <cell r="D792">
            <v>44020038</v>
          </cell>
          <cell r="E792" t="str">
            <v>GIPOC</v>
          </cell>
          <cell r="F792" t="str">
            <v>Ipo Commission Recd</v>
          </cell>
          <cell r="I792">
            <v>-3851.46</v>
          </cell>
        </row>
        <row r="793">
          <cell r="D793">
            <v>44020041</v>
          </cell>
          <cell r="E793" t="str">
            <v>GI01010</v>
          </cell>
          <cell r="F793" t="str">
            <v>Power Activation Charges</v>
          </cell>
          <cell r="I793">
            <v>-192240</v>
          </cell>
        </row>
        <row r="794">
          <cell r="D794">
            <v>44100076</v>
          </cell>
          <cell r="E794" t="str">
            <v>IMC</v>
          </cell>
          <cell r="F794" t="str">
            <v>Account Maintenance Charges</v>
          </cell>
          <cell r="I794">
            <v>471785.16</v>
          </cell>
        </row>
        <row r="795">
          <cell r="D795">
            <v>44020043</v>
          </cell>
          <cell r="F795" t="str">
            <v>Income-Equity Analysis</v>
          </cell>
          <cell r="I795">
            <v>0</v>
          </cell>
        </row>
        <row r="798">
          <cell r="D798">
            <v>44000000</v>
          </cell>
          <cell r="F798" t="str">
            <v>Interest received-Inter company deposits</v>
          </cell>
          <cell r="I798">
            <v>-88080493</v>
          </cell>
        </row>
        <row r="800">
          <cell r="D800">
            <v>45000000</v>
          </cell>
          <cell r="I800">
            <v>0</v>
          </cell>
        </row>
        <row r="803">
          <cell r="D803">
            <v>44020006</v>
          </cell>
          <cell r="E803" t="str">
            <v>GDIVMF</v>
          </cell>
          <cell r="F803" t="str">
            <v>Dividend On Mutual Fund</v>
          </cell>
          <cell r="I803">
            <v>0</v>
          </cell>
        </row>
        <row r="804">
          <cell r="D804">
            <v>44000027</v>
          </cell>
          <cell r="F804" t="str">
            <v>Dividend Income from Subsidiary Company</v>
          </cell>
          <cell r="I804">
            <v>-130000000</v>
          </cell>
        </row>
        <row r="805">
          <cell r="D805">
            <v>44020015</v>
          </cell>
          <cell r="E805" t="str">
            <v>GDIVPR</v>
          </cell>
          <cell r="F805" t="str">
            <v>Dividend Income (Pro Account)</v>
          </cell>
          <cell r="I805">
            <v>0</v>
          </cell>
        </row>
        <row r="806">
          <cell r="D806">
            <v>44100014</v>
          </cell>
          <cell r="F806" t="str">
            <v>Dividend Copal Partners Ltd</v>
          </cell>
          <cell r="I806">
            <v>-9271866.1899999995</v>
          </cell>
        </row>
        <row r="809">
          <cell r="D809">
            <v>50100023</v>
          </cell>
          <cell r="E809" t="str">
            <v>GSTMP</v>
          </cell>
          <cell r="F809" t="str">
            <v>Stamp Paper Expenses</v>
          </cell>
          <cell r="I809">
            <v>4012</v>
          </cell>
        </row>
        <row r="810">
          <cell r="D810">
            <v>50100024</v>
          </cell>
          <cell r="E810" t="str">
            <v>GSTAM</v>
          </cell>
          <cell r="F810" t="str">
            <v>Stamp Duty Charges</v>
          </cell>
          <cell r="I810">
            <v>7685380</v>
          </cell>
        </row>
        <row r="811">
          <cell r="D811">
            <v>58165012</v>
          </cell>
          <cell r="F811" t="str">
            <v>Stamp Paper/Franking Charges</v>
          </cell>
          <cell r="I811">
            <v>88470</v>
          </cell>
        </row>
        <row r="813">
          <cell r="D813">
            <v>58242025</v>
          </cell>
          <cell r="F813" t="str">
            <v>Demat Charges</v>
          </cell>
          <cell r="I813">
            <v>0</v>
          </cell>
        </row>
        <row r="814">
          <cell r="D814">
            <v>50100054</v>
          </cell>
          <cell r="E814" t="str">
            <v>GSEBI</v>
          </cell>
          <cell r="F814" t="str">
            <v>Sebi Charges</v>
          </cell>
          <cell r="I814">
            <v>13015.32</v>
          </cell>
        </row>
        <row r="815">
          <cell r="D815">
            <v>50100053</v>
          </cell>
          <cell r="F815" t="str">
            <v>Sebi Registration Fees</v>
          </cell>
          <cell r="I815">
            <v>0</v>
          </cell>
        </row>
        <row r="816">
          <cell r="D816">
            <v>50100055</v>
          </cell>
          <cell r="F816" t="str">
            <v>Sebi Turnover Fee</v>
          </cell>
          <cell r="I816">
            <v>424746.4</v>
          </cell>
        </row>
        <row r="817">
          <cell r="D817">
            <v>50100068</v>
          </cell>
          <cell r="F817" t="str">
            <v>SEBI Fees for Renewal of Reg. as Merchant Banker</v>
          </cell>
          <cell r="I817">
            <v>0</v>
          </cell>
        </row>
        <row r="818">
          <cell r="D818">
            <v>56000166</v>
          </cell>
          <cell r="E818" t="str">
            <v>GEPM</v>
          </cell>
          <cell r="F818" t="str">
            <v>SEBI FEES FOR PORTFLIO MANAGEMENT</v>
          </cell>
          <cell r="I818">
            <v>0</v>
          </cell>
        </row>
        <row r="820">
          <cell r="D820">
            <v>50100012</v>
          </cell>
          <cell r="E820" t="str">
            <v>GCOMMB</v>
          </cell>
          <cell r="F820" t="str">
            <v>Commission &amp; Brokerage (Rent)</v>
          </cell>
          <cell r="I820">
            <v>0</v>
          </cell>
        </row>
        <row r="821">
          <cell r="D821">
            <v>50100065</v>
          </cell>
          <cell r="E821" t="str">
            <v>GCOB</v>
          </cell>
          <cell r="F821" t="str">
            <v>Commision</v>
          </cell>
          <cell r="I821">
            <v>417500</v>
          </cell>
        </row>
        <row r="823">
          <cell r="D823">
            <v>58040130</v>
          </cell>
          <cell r="F823" t="str">
            <v>Annual Custody Fee A/c</v>
          </cell>
          <cell r="I823">
            <v>185693.84</v>
          </cell>
        </row>
        <row r="824">
          <cell r="D824">
            <v>58040131</v>
          </cell>
          <cell r="F824" t="str">
            <v>Annual Issuer Fee A/c</v>
          </cell>
          <cell r="I824">
            <v>122542.73</v>
          </cell>
        </row>
        <row r="825">
          <cell r="D825">
            <v>56000164</v>
          </cell>
          <cell r="E825" t="str">
            <v>GDEPO</v>
          </cell>
          <cell r="F825" t="str">
            <v>Depository Charges</v>
          </cell>
          <cell r="I825">
            <v>1683160.95</v>
          </cell>
        </row>
        <row r="826">
          <cell r="D826">
            <v>50100011</v>
          </cell>
          <cell r="E826" t="str">
            <v>GL00117</v>
          </cell>
          <cell r="F826" t="str">
            <v>Nse Transaction Charges  (Exp. )</v>
          </cell>
          <cell r="I826">
            <v>6816837.6799999997</v>
          </cell>
        </row>
        <row r="827">
          <cell r="D827">
            <v>50100026</v>
          </cell>
          <cell r="E827" t="str">
            <v>GL00118</v>
          </cell>
          <cell r="F827" t="str">
            <v>Bse Transaction Charges (Exp)</v>
          </cell>
          <cell r="I827">
            <v>81636.240000000005</v>
          </cell>
        </row>
        <row r="829">
          <cell r="D829">
            <v>50100020</v>
          </cell>
          <cell r="E829" t="str">
            <v>GMEMB</v>
          </cell>
          <cell r="F829" t="str">
            <v>Membership Fees</v>
          </cell>
          <cell r="I829">
            <v>275713.94</v>
          </cell>
        </row>
        <row r="830">
          <cell r="D830">
            <v>58030001</v>
          </cell>
          <cell r="F830" t="str">
            <v>Annual Listing Fees</v>
          </cell>
          <cell r="I830">
            <v>80219.17</v>
          </cell>
        </row>
        <row r="833">
          <cell r="D833">
            <v>50100111</v>
          </cell>
          <cell r="E833" t="str">
            <v>GWEBH</v>
          </cell>
          <cell r="F833" t="str">
            <v>Web Hosting Charges</v>
          </cell>
          <cell r="I833">
            <v>2632132.0699999998</v>
          </cell>
        </row>
        <row r="835">
          <cell r="D835">
            <v>50100010</v>
          </cell>
          <cell r="E835" t="str">
            <v>GVSAT</v>
          </cell>
          <cell r="F835" t="str">
            <v>Vsat Charges</v>
          </cell>
          <cell r="I835">
            <v>318746.21999999997</v>
          </cell>
        </row>
        <row r="837">
          <cell r="D837">
            <v>55230001</v>
          </cell>
          <cell r="F837" t="str">
            <v>MPLS Charges</v>
          </cell>
          <cell r="I837">
            <v>440063.96</v>
          </cell>
        </row>
        <row r="838">
          <cell r="D838">
            <v>58040008</v>
          </cell>
          <cell r="E838" t="str">
            <v>GINTN</v>
          </cell>
          <cell r="F838" t="str">
            <v>Internet Band Width Cost</v>
          </cell>
          <cell r="I838">
            <v>91288.31</v>
          </cell>
        </row>
        <row r="839">
          <cell r="D839">
            <v>58040009</v>
          </cell>
          <cell r="E839" t="str">
            <v>GLEAS</v>
          </cell>
          <cell r="F839" t="str">
            <v>Lease Line Charges</v>
          </cell>
          <cell r="I839">
            <v>908085.58</v>
          </cell>
        </row>
        <row r="842">
          <cell r="D842">
            <v>62100010</v>
          </cell>
          <cell r="E842" t="str">
            <v>GCONT</v>
          </cell>
          <cell r="F842" t="str">
            <v>Content Expenses</v>
          </cell>
          <cell r="I842">
            <v>403496.96000000002</v>
          </cell>
        </row>
        <row r="844">
          <cell r="D844">
            <v>50100025</v>
          </cell>
          <cell r="E844" t="str">
            <v>GSOFT</v>
          </cell>
          <cell r="F844" t="str">
            <v>Software Charges</v>
          </cell>
          <cell r="I844">
            <v>186123.07</v>
          </cell>
        </row>
        <row r="846">
          <cell r="D846">
            <v>50100002</v>
          </cell>
          <cell r="E846" t="str">
            <v>GINCE</v>
          </cell>
          <cell r="F846" t="str">
            <v>Incentive Expenses</v>
          </cell>
          <cell r="I846">
            <v>0</v>
          </cell>
        </row>
        <row r="847">
          <cell r="D847">
            <v>50100004</v>
          </cell>
          <cell r="E847" t="str">
            <v>GSALA</v>
          </cell>
          <cell r="F847" t="str">
            <v>Salary Expenses</v>
          </cell>
          <cell r="I847">
            <v>61236373.369999997</v>
          </cell>
        </row>
        <row r="848">
          <cell r="D848">
            <v>44020133</v>
          </cell>
          <cell r="F848" t="str">
            <v>Notice Period Deduction</v>
          </cell>
          <cell r="I848">
            <v>-82027</v>
          </cell>
        </row>
        <row r="849">
          <cell r="D849">
            <v>50100102</v>
          </cell>
          <cell r="F849" t="str">
            <v>Exgratia Expense</v>
          </cell>
          <cell r="I849">
            <v>-533</v>
          </cell>
        </row>
        <row r="850">
          <cell r="D850">
            <v>50100109</v>
          </cell>
          <cell r="F850" t="str">
            <v>Bonus</v>
          </cell>
          <cell r="I850">
            <v>0</v>
          </cell>
        </row>
        <row r="851">
          <cell r="D851">
            <v>58242072</v>
          </cell>
          <cell r="F851" t="str">
            <v>Enhanced Benefit Plan</v>
          </cell>
          <cell r="I851">
            <v>0</v>
          </cell>
        </row>
        <row r="852">
          <cell r="D852">
            <v>62100009</v>
          </cell>
          <cell r="E852" t="str">
            <v>GSTIP</v>
          </cell>
          <cell r="F852" t="str">
            <v>Stipend Expenses</v>
          </cell>
          <cell r="I852">
            <v>0</v>
          </cell>
        </row>
        <row r="854">
          <cell r="D854">
            <v>50100208</v>
          </cell>
          <cell r="F854" t="str">
            <v>Labour Welfare Fund expenses</v>
          </cell>
          <cell r="I854">
            <v>6385.25</v>
          </cell>
        </row>
        <row r="855">
          <cell r="D855">
            <v>58030019</v>
          </cell>
          <cell r="F855" t="str">
            <v>ESI Expenses Employer Contribution</v>
          </cell>
          <cell r="I855">
            <v>0</v>
          </cell>
        </row>
        <row r="856">
          <cell r="D856">
            <v>58030018</v>
          </cell>
          <cell r="F856" t="str">
            <v>EPF Expenses Employer Contribution</v>
          </cell>
          <cell r="I856">
            <v>121320</v>
          </cell>
        </row>
        <row r="857">
          <cell r="D857">
            <v>58242032</v>
          </cell>
          <cell r="F857" t="str">
            <v>EPF Admin &amp; EDLI Charges</v>
          </cell>
          <cell r="I857">
            <v>14637.05</v>
          </cell>
        </row>
        <row r="858">
          <cell r="D858">
            <v>58030094</v>
          </cell>
          <cell r="F858" t="str">
            <v>Employee National Pension Scheme -Exp</v>
          </cell>
          <cell r="I858">
            <v>79594</v>
          </cell>
        </row>
        <row r="860">
          <cell r="D860">
            <v>50100032</v>
          </cell>
          <cell r="E860" t="str">
            <v>GSTAF</v>
          </cell>
          <cell r="F860" t="str">
            <v>Staff Welfare Expenses</v>
          </cell>
          <cell r="I860">
            <v>1810664.43</v>
          </cell>
        </row>
        <row r="861">
          <cell r="D861">
            <v>58040138</v>
          </cell>
          <cell r="F861" t="str">
            <v>Recovery from Bus fare</v>
          </cell>
          <cell r="I861">
            <v>12870</v>
          </cell>
        </row>
        <row r="862">
          <cell r="D862">
            <v>50100034</v>
          </cell>
          <cell r="E862" t="str">
            <v>GDIWA</v>
          </cell>
          <cell r="F862" t="str">
            <v>Diwali Expenses</v>
          </cell>
          <cell r="I862">
            <v>0</v>
          </cell>
        </row>
        <row r="863">
          <cell r="D863">
            <v>50100035</v>
          </cell>
          <cell r="F863" t="str">
            <v>Mediclaim Expenses</v>
          </cell>
          <cell r="I863">
            <v>0</v>
          </cell>
        </row>
        <row r="864">
          <cell r="D864">
            <v>50100318</v>
          </cell>
          <cell r="F864" t="str">
            <v>Pooja Expenses</v>
          </cell>
          <cell r="I864">
            <v>0</v>
          </cell>
        </row>
        <row r="865">
          <cell r="D865">
            <v>58040020</v>
          </cell>
          <cell r="F865" t="str">
            <v>TEA EXPENSES</v>
          </cell>
          <cell r="I865">
            <v>0</v>
          </cell>
        </row>
        <row r="866">
          <cell r="D866">
            <v>58040026</v>
          </cell>
          <cell r="F866" t="str">
            <v>TEA EXPENSES</v>
          </cell>
          <cell r="I866">
            <v>0</v>
          </cell>
        </row>
        <row r="867">
          <cell r="D867">
            <v>58163000</v>
          </cell>
          <cell r="F867" t="str">
            <v>Donations and Contributions</v>
          </cell>
          <cell r="I867">
            <v>0</v>
          </cell>
        </row>
        <row r="868">
          <cell r="D868">
            <v>58165016</v>
          </cell>
          <cell r="F868" t="str">
            <v>Relocation Expenses</v>
          </cell>
          <cell r="I868">
            <v>0</v>
          </cell>
        </row>
        <row r="869">
          <cell r="D869">
            <v>58040021</v>
          </cell>
          <cell r="F869" t="str">
            <v>WATER EXPENSES</v>
          </cell>
          <cell r="I869">
            <v>9108</v>
          </cell>
        </row>
        <row r="872">
          <cell r="D872">
            <v>50100003</v>
          </cell>
          <cell r="E872" t="str">
            <v>GLEAV</v>
          </cell>
          <cell r="F872" t="str">
            <v>Leave Encashment Expenses</v>
          </cell>
          <cell r="I872">
            <v>-53832</v>
          </cell>
        </row>
        <row r="873">
          <cell r="D873">
            <v>50100001</v>
          </cell>
          <cell r="E873" t="str">
            <v>GGRAT</v>
          </cell>
          <cell r="F873" t="str">
            <v>Gratuity Expenses</v>
          </cell>
          <cell r="I873">
            <v>2256484</v>
          </cell>
        </row>
        <row r="875">
          <cell r="D875">
            <v>58242015</v>
          </cell>
          <cell r="F875" t="str">
            <v>Processing Charges Expenses</v>
          </cell>
          <cell r="I875">
            <v>0</v>
          </cell>
        </row>
        <row r="876">
          <cell r="D876">
            <v>58165015</v>
          </cell>
          <cell r="E876" t="str">
            <v>GBGPC</v>
          </cell>
          <cell r="F876" t="str">
            <v>Bank Guarantee Charges</v>
          </cell>
          <cell r="I876">
            <v>2811929.03</v>
          </cell>
        </row>
        <row r="878">
          <cell r="D878">
            <v>56000003</v>
          </cell>
          <cell r="F878" t="str">
            <v>Interest On Corporate Deposits</v>
          </cell>
          <cell r="I878">
            <v>0</v>
          </cell>
        </row>
        <row r="879">
          <cell r="D879">
            <v>58242016</v>
          </cell>
          <cell r="F879" t="str">
            <v>Interest on Bank OD</v>
          </cell>
          <cell r="I879">
            <v>3228034.27</v>
          </cell>
        </row>
        <row r="880">
          <cell r="D880">
            <v>56000017</v>
          </cell>
          <cell r="E880" t="str">
            <v>GE0015</v>
          </cell>
          <cell r="F880" t="str">
            <v>Interest Paid</v>
          </cell>
          <cell r="I880">
            <v>0</v>
          </cell>
        </row>
        <row r="882">
          <cell r="D882">
            <v>50100387</v>
          </cell>
          <cell r="F882" t="str">
            <v>Interest Vikas Sachdeva Honda City (Legal)</v>
          </cell>
          <cell r="I882">
            <v>0</v>
          </cell>
        </row>
        <row r="883">
          <cell r="D883">
            <v>62100061</v>
          </cell>
          <cell r="F883" t="str">
            <v>Interest on Car Loans</v>
          </cell>
          <cell r="I883">
            <v>50574.12</v>
          </cell>
        </row>
        <row r="885">
          <cell r="D885">
            <v>56000016</v>
          </cell>
          <cell r="F885" t="str">
            <v>Interest On Ncd</v>
          </cell>
          <cell r="I885">
            <v>0</v>
          </cell>
        </row>
        <row r="887">
          <cell r="D887">
            <v>56000002</v>
          </cell>
          <cell r="F887" t="str">
            <v>Interest On Commercial Paper</v>
          </cell>
          <cell r="I887">
            <v>61283793.030000001</v>
          </cell>
        </row>
        <row r="889">
          <cell r="F889" t="str">
            <v>Lease Rent</v>
          </cell>
        </row>
        <row r="890">
          <cell r="D890">
            <v>50100038</v>
          </cell>
          <cell r="E890" t="str">
            <v>GSERV</v>
          </cell>
          <cell r="F890" t="str">
            <v>Service Charges</v>
          </cell>
          <cell r="I890">
            <v>1045884.08</v>
          </cell>
        </row>
        <row r="891">
          <cell r="D891">
            <v>58040002</v>
          </cell>
          <cell r="E891" t="str">
            <v>GRENT</v>
          </cell>
          <cell r="F891" t="str">
            <v>Rent Expenses</v>
          </cell>
          <cell r="I891">
            <v>8897142.7100000009</v>
          </cell>
        </row>
        <row r="895">
          <cell r="F895" t="str">
            <v>Rates and Taxes</v>
          </cell>
        </row>
        <row r="896">
          <cell r="D896">
            <v>58030002</v>
          </cell>
          <cell r="F896" t="str">
            <v>Filing Fees</v>
          </cell>
          <cell r="I896">
            <v>14200</v>
          </cell>
        </row>
        <row r="897">
          <cell r="D897">
            <v>50100080</v>
          </cell>
          <cell r="F897" t="str">
            <v>Registration Charges</v>
          </cell>
          <cell r="I897">
            <v>0</v>
          </cell>
        </row>
        <row r="898">
          <cell r="D898">
            <v>58040140</v>
          </cell>
          <cell r="F898" t="str">
            <v>Cenvat Reversal Exp - Negative List</v>
          </cell>
          <cell r="I898">
            <v>2116295.3199999998</v>
          </cell>
        </row>
        <row r="899">
          <cell r="D899">
            <v>50100385</v>
          </cell>
          <cell r="F899" t="str">
            <v>Wealth Tax Expenditure</v>
          </cell>
          <cell r="I899">
            <v>0</v>
          </cell>
        </row>
        <row r="900">
          <cell r="D900">
            <v>58030004</v>
          </cell>
          <cell r="E900" t="str">
            <v>GRATE</v>
          </cell>
          <cell r="F900" t="str">
            <v>Rates &amp; Taxes</v>
          </cell>
          <cell r="I900">
            <v>334036</v>
          </cell>
        </row>
        <row r="902">
          <cell r="D902">
            <v>58030016</v>
          </cell>
          <cell r="E902" t="str">
            <v>GELEC</v>
          </cell>
          <cell r="F902" t="str">
            <v>Electricity Expenses</v>
          </cell>
          <cell r="I902">
            <v>624975.32999999996</v>
          </cell>
        </row>
        <row r="904">
          <cell r="F904" t="str">
            <v>Insurance</v>
          </cell>
        </row>
        <row r="905">
          <cell r="D905">
            <v>50100058</v>
          </cell>
          <cell r="E905" t="str">
            <v>GINSV</v>
          </cell>
          <cell r="F905" t="str">
            <v>Insurance Expenses Vehicles</v>
          </cell>
          <cell r="I905">
            <v>78918.850000000006</v>
          </cell>
        </row>
        <row r="906">
          <cell r="D906">
            <v>50100060</v>
          </cell>
          <cell r="F906" t="str">
            <v>Insurance Expenses General</v>
          </cell>
          <cell r="I906">
            <v>0</v>
          </cell>
        </row>
        <row r="907">
          <cell r="D907">
            <v>50100061</v>
          </cell>
          <cell r="F907" t="str">
            <v>Insurance Expenses Stock Broker Policy</v>
          </cell>
          <cell r="I907">
            <v>82370.009999999995</v>
          </cell>
        </row>
        <row r="908">
          <cell r="D908">
            <v>58242056</v>
          </cell>
          <cell r="F908" t="str">
            <v>Insurance Expenses- Depository</v>
          </cell>
          <cell r="I908">
            <v>6350.68</v>
          </cell>
        </row>
        <row r="910">
          <cell r="F910" t="str">
            <v>Communication Expenses</v>
          </cell>
        </row>
        <row r="911">
          <cell r="D911">
            <v>50100057</v>
          </cell>
          <cell r="E911" t="str">
            <v>GPOST</v>
          </cell>
          <cell r="F911" t="str">
            <v>Postage &amp; Courier Charges</v>
          </cell>
          <cell r="I911">
            <v>924474.43</v>
          </cell>
        </row>
        <row r="912">
          <cell r="D912">
            <v>58040006</v>
          </cell>
          <cell r="E912" t="str">
            <v>GMOBI</v>
          </cell>
          <cell r="F912" t="str">
            <v>Telephone Exp.(Mobile)</v>
          </cell>
          <cell r="I912">
            <v>85876.54</v>
          </cell>
        </row>
        <row r="913">
          <cell r="D913">
            <v>58242031</v>
          </cell>
          <cell r="F913" t="str">
            <v>Telephone Expenses -PRI Lines</v>
          </cell>
          <cell r="I913">
            <v>29676.03</v>
          </cell>
        </row>
        <row r="914">
          <cell r="D914">
            <v>58030071</v>
          </cell>
          <cell r="F914" t="str">
            <v>Data Card Charges</v>
          </cell>
          <cell r="I914">
            <v>22898.71</v>
          </cell>
        </row>
        <row r="915">
          <cell r="D915">
            <v>58040007</v>
          </cell>
          <cell r="E915" t="str">
            <v>GTELE</v>
          </cell>
          <cell r="F915" t="str">
            <v>Telephone Expenses(Fixed Line)</v>
          </cell>
          <cell r="I915">
            <v>410918.21</v>
          </cell>
        </row>
        <row r="916">
          <cell r="D916">
            <v>58040047</v>
          </cell>
          <cell r="F916" t="str">
            <v>Telephone &amp; Communication (Other)</v>
          </cell>
          <cell r="I916">
            <v>27096.84</v>
          </cell>
        </row>
        <row r="917">
          <cell r="D917">
            <v>58040139</v>
          </cell>
          <cell r="F917" t="str">
            <v>Recovery from Mobile/Blackberry Deduction</v>
          </cell>
          <cell r="I917">
            <v>-10476.76</v>
          </cell>
        </row>
        <row r="919">
          <cell r="F919" t="str">
            <v>Professional Charges</v>
          </cell>
        </row>
        <row r="920">
          <cell r="D920">
            <v>58040016</v>
          </cell>
          <cell r="E920" t="str">
            <v>GPROI</v>
          </cell>
          <cell r="F920" t="str">
            <v>Professional &amp; Consultancy Charges</v>
          </cell>
          <cell r="I920">
            <v>1548646.26</v>
          </cell>
        </row>
        <row r="921">
          <cell r="D921">
            <v>58030063</v>
          </cell>
          <cell r="F921" t="str">
            <v>Web Site Development Expenses</v>
          </cell>
          <cell r="I921">
            <v>210.24</v>
          </cell>
        </row>
        <row r="922">
          <cell r="D922">
            <v>50100007</v>
          </cell>
          <cell r="E922" t="str">
            <v>GRECR</v>
          </cell>
          <cell r="F922" t="str">
            <v>Recruitment &amp; Training Expenses</v>
          </cell>
          <cell r="I922">
            <v>0</v>
          </cell>
        </row>
        <row r="923">
          <cell r="D923">
            <v>58122008</v>
          </cell>
          <cell r="F923" t="str">
            <v>I.T. Support Expenses</v>
          </cell>
          <cell r="I923">
            <v>0</v>
          </cell>
        </row>
        <row r="924">
          <cell r="D924">
            <v>58040013</v>
          </cell>
          <cell r="E924" t="str">
            <v>GLEGAL</v>
          </cell>
          <cell r="F924" t="str">
            <v>Legal Expenses</v>
          </cell>
          <cell r="I924">
            <v>673672.07</v>
          </cell>
        </row>
        <row r="925">
          <cell r="D925">
            <v>58241023</v>
          </cell>
          <cell r="F925" t="str">
            <v>Technical Support Expense</v>
          </cell>
          <cell r="I925">
            <v>0</v>
          </cell>
        </row>
        <row r="927">
          <cell r="F927" t="str">
            <v>Traveling &amp; Conveyance</v>
          </cell>
        </row>
        <row r="928">
          <cell r="D928">
            <v>50100077</v>
          </cell>
          <cell r="F928" t="str">
            <v>TRANSPORT CHARGES</v>
          </cell>
          <cell r="I928">
            <v>0</v>
          </cell>
        </row>
        <row r="929">
          <cell r="D929">
            <v>50100237</v>
          </cell>
          <cell r="F929" t="str">
            <v>Lodging &amp; Fooding</v>
          </cell>
          <cell r="I929">
            <v>79190.55</v>
          </cell>
        </row>
        <row r="930">
          <cell r="D930">
            <v>50100174</v>
          </cell>
          <cell r="F930" t="str">
            <v>Travelling (Air Fare)</v>
          </cell>
          <cell r="I930">
            <v>588176</v>
          </cell>
        </row>
        <row r="931">
          <cell r="D931">
            <v>50100128</v>
          </cell>
          <cell r="F931" t="str">
            <v>CAR FUEL EXPENSES</v>
          </cell>
          <cell r="I931">
            <v>24236</v>
          </cell>
        </row>
        <row r="932">
          <cell r="D932">
            <v>50100129</v>
          </cell>
          <cell r="F932" t="str">
            <v>Car Rental Charges</v>
          </cell>
          <cell r="I932">
            <v>9508.5300000000007</v>
          </cell>
        </row>
        <row r="933">
          <cell r="D933">
            <v>50100172</v>
          </cell>
          <cell r="F933" t="str">
            <v>Travelling-Lodging &amp; Boarding</v>
          </cell>
          <cell r="I933">
            <v>11497</v>
          </cell>
        </row>
        <row r="934">
          <cell r="D934">
            <v>58040003</v>
          </cell>
          <cell r="E934" t="str">
            <v>GCONV</v>
          </cell>
          <cell r="F934" t="str">
            <v>Conveyance Expenses</v>
          </cell>
          <cell r="I934">
            <v>275241.8</v>
          </cell>
        </row>
        <row r="935">
          <cell r="D935">
            <v>58040004</v>
          </cell>
          <cell r="E935" t="str">
            <v>GTRAV</v>
          </cell>
          <cell r="F935" t="str">
            <v>Travelling Expenses</v>
          </cell>
          <cell r="I935">
            <v>20437</v>
          </cell>
        </row>
        <row r="936">
          <cell r="D936">
            <v>58040058</v>
          </cell>
          <cell r="F936" t="str">
            <v>Travelling Air Fare (International)</v>
          </cell>
          <cell r="I936">
            <v>0</v>
          </cell>
        </row>
        <row r="937">
          <cell r="D937">
            <v>58040059</v>
          </cell>
          <cell r="F937" t="str">
            <v>Travelling Expenses - Others (International)</v>
          </cell>
          <cell r="I937">
            <v>0</v>
          </cell>
        </row>
        <row r="939">
          <cell r="F939" t="str">
            <v>Printing and Stationery</v>
          </cell>
        </row>
        <row r="940">
          <cell r="D940">
            <v>50100063</v>
          </cell>
          <cell r="E940" t="str">
            <v>GBOOK</v>
          </cell>
          <cell r="F940" t="str">
            <v>Books &amp; Periodical</v>
          </cell>
          <cell r="I940">
            <v>0</v>
          </cell>
        </row>
        <row r="941">
          <cell r="D941">
            <v>58040019</v>
          </cell>
          <cell r="F941" t="str">
            <v>XEROX EXPENSES</v>
          </cell>
          <cell r="I941">
            <v>39894</v>
          </cell>
        </row>
        <row r="942">
          <cell r="D942">
            <v>58040011</v>
          </cell>
          <cell r="F942" t="str">
            <v>Printing &amp; Stationery</v>
          </cell>
          <cell r="I942">
            <v>1362845.82</v>
          </cell>
        </row>
        <row r="944">
          <cell r="F944" t="str">
            <v>Office Maintenance</v>
          </cell>
        </row>
        <row r="945">
          <cell r="D945">
            <v>50100040</v>
          </cell>
          <cell r="E945" t="str">
            <v>GSHIF</v>
          </cell>
          <cell r="F945" t="str">
            <v>Shifting Charges</v>
          </cell>
          <cell r="I945">
            <v>0</v>
          </cell>
        </row>
        <row r="946">
          <cell r="D946">
            <v>58040032</v>
          </cell>
          <cell r="F946" t="str">
            <v>House Keeping Charges</v>
          </cell>
          <cell r="I946">
            <v>0</v>
          </cell>
        </row>
        <row r="947">
          <cell r="D947">
            <v>50100107</v>
          </cell>
          <cell r="F947" t="str">
            <v>Newspaper &amp; Magazine</v>
          </cell>
          <cell r="I947">
            <v>2255</v>
          </cell>
        </row>
        <row r="948">
          <cell r="D948">
            <v>50100049</v>
          </cell>
          <cell r="E948" t="str">
            <v>GGENE</v>
          </cell>
          <cell r="F948" t="str">
            <v>Generator Expenses</v>
          </cell>
          <cell r="I948">
            <v>48061</v>
          </cell>
        </row>
        <row r="949">
          <cell r="D949">
            <v>50100231</v>
          </cell>
          <cell r="F949" t="str">
            <v>Security Guard Expenses</v>
          </cell>
          <cell r="I949">
            <v>16133.48</v>
          </cell>
        </row>
        <row r="950">
          <cell r="D950">
            <v>50100069</v>
          </cell>
          <cell r="F950" t="str">
            <v>PARKING CHARGES</v>
          </cell>
          <cell r="I950">
            <v>0</v>
          </cell>
        </row>
        <row r="951">
          <cell r="D951">
            <v>58165006</v>
          </cell>
          <cell r="E951" t="str">
            <v>GOFFI</v>
          </cell>
          <cell r="F951" t="str">
            <v>Office Maintenance</v>
          </cell>
          <cell r="I951">
            <v>506037.29</v>
          </cell>
        </row>
        <row r="953">
          <cell r="F953" t="str">
            <v>Repairs and Maintenance - Others</v>
          </cell>
        </row>
        <row r="954">
          <cell r="D954">
            <v>50100420</v>
          </cell>
          <cell r="F954" t="str">
            <v>AMC - Lift &amp; Others</v>
          </cell>
          <cell r="I954">
            <v>0</v>
          </cell>
        </row>
        <row r="955">
          <cell r="D955">
            <v>50100043</v>
          </cell>
          <cell r="E955" t="str">
            <v>GAMCH</v>
          </cell>
          <cell r="F955" t="str">
            <v>Amc Hardware Expenses</v>
          </cell>
          <cell r="I955">
            <v>196606.58</v>
          </cell>
        </row>
        <row r="956">
          <cell r="D956">
            <v>50100044</v>
          </cell>
          <cell r="E956" t="str">
            <v>GAMCS</v>
          </cell>
          <cell r="F956" t="str">
            <v>Amc Software Expenses</v>
          </cell>
          <cell r="I956">
            <v>841042.85</v>
          </cell>
        </row>
        <row r="957">
          <cell r="D957">
            <v>50100045</v>
          </cell>
          <cell r="E957" t="str">
            <v>GAMCC</v>
          </cell>
          <cell r="F957" t="str">
            <v>Amc Hardware Computer</v>
          </cell>
          <cell r="I957">
            <v>550726.9</v>
          </cell>
        </row>
        <row r="958">
          <cell r="D958">
            <v>50100046</v>
          </cell>
          <cell r="E958" t="str">
            <v>GAMCU</v>
          </cell>
          <cell r="F958" t="str">
            <v>Amc Hardware Ups</v>
          </cell>
          <cell r="I958">
            <v>28674.45</v>
          </cell>
        </row>
        <row r="959">
          <cell r="D959">
            <v>50100047</v>
          </cell>
          <cell r="E959" t="str">
            <v>GAMCG</v>
          </cell>
          <cell r="F959" t="str">
            <v>Amc Hardware Generators</v>
          </cell>
          <cell r="I959">
            <v>0</v>
          </cell>
        </row>
        <row r="960">
          <cell r="D960">
            <v>50100048</v>
          </cell>
          <cell r="E960" t="str">
            <v>GAMCA</v>
          </cell>
          <cell r="F960" t="str">
            <v>Amc Air Conditioners</v>
          </cell>
          <cell r="I960">
            <v>0</v>
          </cell>
        </row>
        <row r="961">
          <cell r="D961">
            <v>58030059</v>
          </cell>
          <cell r="F961" t="str">
            <v>AMC-Fire, Safety &amp; Equipment</v>
          </cell>
          <cell r="I961">
            <v>0</v>
          </cell>
        </row>
        <row r="963">
          <cell r="D963">
            <v>50100051</v>
          </cell>
          <cell r="E963" t="str">
            <v>GREPA</v>
          </cell>
          <cell r="F963" t="str">
            <v>Repair &amp; Maintenance</v>
          </cell>
          <cell r="I963">
            <v>587087.05000000005</v>
          </cell>
        </row>
        <row r="964">
          <cell r="D964">
            <v>50100078</v>
          </cell>
          <cell r="F964" t="str">
            <v>VEHICLE REPAIR AND MAINTENANCE</v>
          </cell>
          <cell r="I964">
            <v>12119</v>
          </cell>
        </row>
        <row r="965">
          <cell r="D965">
            <v>50100101</v>
          </cell>
          <cell r="F965" t="str">
            <v>Computer Hardware Expense</v>
          </cell>
          <cell r="I965">
            <v>33399.93</v>
          </cell>
        </row>
        <row r="966">
          <cell r="D966">
            <v>58030050</v>
          </cell>
          <cell r="F966" t="str">
            <v>Lift operating &amp; Maint. expenses</v>
          </cell>
          <cell r="I966">
            <v>0</v>
          </cell>
        </row>
        <row r="967">
          <cell r="D967">
            <v>62000003</v>
          </cell>
          <cell r="F967" t="str">
            <v>Generator Fuel Expenses</v>
          </cell>
          <cell r="I967">
            <v>0</v>
          </cell>
        </row>
        <row r="969">
          <cell r="F969" t="str">
            <v>Business Promotion</v>
          </cell>
        </row>
        <row r="970">
          <cell r="D970">
            <v>50100013</v>
          </cell>
          <cell r="E970" t="str">
            <v>GBUSI</v>
          </cell>
          <cell r="F970" t="str">
            <v>Business Promotion Expenses</v>
          </cell>
          <cell r="I970">
            <v>0</v>
          </cell>
        </row>
        <row r="971">
          <cell r="D971">
            <v>58040017</v>
          </cell>
          <cell r="F971" t="str">
            <v>Advertisement Expenses</v>
          </cell>
          <cell r="I971">
            <v>0</v>
          </cell>
        </row>
        <row r="972">
          <cell r="D972">
            <v>50100015</v>
          </cell>
          <cell r="F972" t="str">
            <v>Conference Expenses</v>
          </cell>
          <cell r="I972">
            <v>0</v>
          </cell>
        </row>
        <row r="973">
          <cell r="D973">
            <v>50100019</v>
          </cell>
          <cell r="E973" t="str">
            <v>GSUBS</v>
          </cell>
          <cell r="F973" t="str">
            <v>Subscription Charges</v>
          </cell>
          <cell r="I973">
            <v>32862.46</v>
          </cell>
        </row>
        <row r="974">
          <cell r="D974">
            <v>58165005</v>
          </cell>
          <cell r="F974" t="str">
            <v>EGM / AGM Expenses</v>
          </cell>
          <cell r="I974">
            <v>20000</v>
          </cell>
        </row>
        <row r="976">
          <cell r="D976">
            <v>58165008</v>
          </cell>
          <cell r="F976" t="str">
            <v>Audit Fee</v>
          </cell>
          <cell r="I976">
            <v>0</v>
          </cell>
        </row>
        <row r="978">
          <cell r="D978" t="str">
            <v>ECSR</v>
          </cell>
          <cell r="F978" t="str">
            <v>Corporate Social Responsibility Expenses</v>
          </cell>
          <cell r="I978">
            <v>0</v>
          </cell>
        </row>
        <row r="980">
          <cell r="D980">
            <v>50100336</v>
          </cell>
          <cell r="F980" t="str">
            <v>Loss on erroneous transactions</v>
          </cell>
          <cell r="I980">
            <v>0</v>
          </cell>
        </row>
        <row r="982">
          <cell r="F982" t="str">
            <v>Loss on sale of Investments</v>
          </cell>
        </row>
        <row r="983">
          <cell r="D983">
            <v>58180000</v>
          </cell>
          <cell r="F983" t="str">
            <v>Loss from sale of investment</v>
          </cell>
          <cell r="I983">
            <v>0</v>
          </cell>
        </row>
        <row r="985">
          <cell r="F985" t="str">
            <v>Loss on Sale/ Scrap of fixed assets</v>
          </cell>
        </row>
        <row r="986">
          <cell r="D986">
            <v>45100000</v>
          </cell>
          <cell r="E986" t="str">
            <v>GEPOS</v>
          </cell>
          <cell r="F986" t="str">
            <v>Profit on sale of fixed assets</v>
          </cell>
          <cell r="I986">
            <v>-103435</v>
          </cell>
        </row>
        <row r="987">
          <cell r="D987">
            <v>50100137</v>
          </cell>
          <cell r="E987" t="str">
            <v>GELOS</v>
          </cell>
          <cell r="F987" t="str">
            <v>Loss on Assets Written off</v>
          </cell>
          <cell r="I987">
            <v>0</v>
          </cell>
        </row>
        <row r="988">
          <cell r="D988">
            <v>58190000</v>
          </cell>
          <cell r="E988" t="str">
            <v>GELOS</v>
          </cell>
          <cell r="F988" t="str">
            <v>Loss on sale of fixed assets</v>
          </cell>
          <cell r="I988">
            <v>76634.039999999994</v>
          </cell>
        </row>
        <row r="990">
          <cell r="F990" t="str">
            <v>Provision for Doubtful Debts, Advances and Security Deposits</v>
          </cell>
        </row>
        <row r="991">
          <cell r="D991">
            <v>58220000</v>
          </cell>
          <cell r="F991" t="str">
            <v>Doubtful Advances Provided for</v>
          </cell>
          <cell r="I991">
            <v>0</v>
          </cell>
        </row>
        <row r="992">
          <cell r="D992">
            <v>58030047</v>
          </cell>
          <cell r="F992" t="str">
            <v>Doubtful Capital Advances Provided for</v>
          </cell>
          <cell r="I992">
            <v>0</v>
          </cell>
        </row>
        <row r="993">
          <cell r="D993">
            <v>58230000</v>
          </cell>
          <cell r="F993" t="str">
            <v>Doubtful Debts Provided for</v>
          </cell>
          <cell r="I993">
            <v>0</v>
          </cell>
        </row>
        <row r="994">
          <cell r="D994">
            <v>58250000</v>
          </cell>
          <cell r="F994" t="str">
            <v>Doubtful Security Deposit</v>
          </cell>
          <cell r="I994">
            <v>0</v>
          </cell>
        </row>
        <row r="996">
          <cell r="F996" t="str">
            <v>Foreign exchange fluctuation</v>
          </cell>
        </row>
        <row r="997">
          <cell r="D997">
            <v>58240000</v>
          </cell>
          <cell r="F997" t="str">
            <v>Realized Loss on Foreign Exchange</v>
          </cell>
          <cell r="I997">
            <v>-460195</v>
          </cell>
        </row>
        <row r="998">
          <cell r="D998">
            <v>44400000</v>
          </cell>
          <cell r="F998" t="str">
            <v>Realized gain on Foreign Exchange</v>
          </cell>
          <cell r="I998">
            <v>0</v>
          </cell>
        </row>
        <row r="1001">
          <cell r="D1001">
            <v>58040082</v>
          </cell>
          <cell r="F1001" t="str">
            <v>Advances Written Off</v>
          </cell>
          <cell r="I1001">
            <v>0</v>
          </cell>
        </row>
        <row r="1002">
          <cell r="D1002">
            <v>58170000</v>
          </cell>
          <cell r="F1002" t="str">
            <v>Old Balances Written Off</v>
          </cell>
          <cell r="I1002">
            <v>0</v>
          </cell>
        </row>
        <row r="1003">
          <cell r="D1003">
            <v>58210000</v>
          </cell>
          <cell r="E1003" t="str">
            <v>GE0056</v>
          </cell>
          <cell r="F1003" t="str">
            <v>Bad debts</v>
          </cell>
          <cell r="I1003">
            <v>-342526.91</v>
          </cell>
        </row>
        <row r="1006">
          <cell r="F1006" t="str">
            <v>Bad Debt W/off</v>
          </cell>
        </row>
        <row r="1010">
          <cell r="F1010" t="str">
            <v>Miscellaneous Expenses</v>
          </cell>
        </row>
        <row r="1011">
          <cell r="D1011">
            <v>45600000</v>
          </cell>
          <cell r="F1011" t="str">
            <v>Other transaction gains</v>
          </cell>
          <cell r="I1011">
            <v>-0.5</v>
          </cell>
        </row>
        <row r="1012">
          <cell r="D1012">
            <v>46000003</v>
          </cell>
          <cell r="F1012" t="str">
            <v>Short &amp; Excess A/C</v>
          </cell>
          <cell r="I1012">
            <v>-0.9</v>
          </cell>
        </row>
        <row r="1013">
          <cell r="D1013">
            <v>50100029</v>
          </cell>
          <cell r="F1013" t="str">
            <v>Other Charges Bse</v>
          </cell>
          <cell r="I1013">
            <v>6788.89</v>
          </cell>
        </row>
        <row r="1014">
          <cell r="D1014">
            <v>50100081</v>
          </cell>
          <cell r="E1014" t="str">
            <v>GNSE</v>
          </cell>
          <cell r="F1014" t="str">
            <v>NSE Expenses</v>
          </cell>
          <cell r="I1014">
            <v>274545.99</v>
          </cell>
        </row>
        <row r="1015">
          <cell r="D1015">
            <v>56000073</v>
          </cell>
          <cell r="E1015" t="str">
            <v>GNCFM</v>
          </cell>
          <cell r="F1015" t="str">
            <v>NCFM Exam Fees</v>
          </cell>
          <cell r="I1015">
            <v>10936</v>
          </cell>
        </row>
        <row r="1016">
          <cell r="D1016">
            <v>58013000</v>
          </cell>
          <cell r="F1016" t="str">
            <v>Other transaction losses</v>
          </cell>
          <cell r="I1016">
            <v>0</v>
          </cell>
        </row>
        <row r="1017">
          <cell r="D1017">
            <v>58040031</v>
          </cell>
          <cell r="F1017" t="str">
            <v>Miscellaneous Expenses</v>
          </cell>
          <cell r="I1017">
            <v>0</v>
          </cell>
        </row>
        <row r="1018">
          <cell r="D1018">
            <v>58242004</v>
          </cell>
          <cell r="E1018" t="str">
            <v>GASE</v>
          </cell>
          <cell r="F1018" t="str">
            <v>Shorts &amp; Excess-GASE</v>
          </cell>
          <cell r="I1018">
            <v>43.34</v>
          </cell>
        </row>
        <row r="1019">
          <cell r="D1019">
            <v>58165007</v>
          </cell>
          <cell r="E1019" t="str">
            <v>GBANK</v>
          </cell>
          <cell r="F1019" t="str">
            <v>Bank Charges</v>
          </cell>
          <cell r="I1019">
            <v>41588.949999999997</v>
          </cell>
        </row>
        <row r="1020">
          <cell r="D1020">
            <v>58242098</v>
          </cell>
          <cell r="E1020" t="str">
            <v>GBSEP</v>
          </cell>
          <cell r="F1020" t="str">
            <v>BSE PENALTY CHARGES</v>
          </cell>
          <cell r="I1020">
            <v>0</v>
          </cell>
        </row>
        <row r="1021">
          <cell r="D1021">
            <v>58242011</v>
          </cell>
          <cell r="E1021" t="str">
            <v>GNSEP</v>
          </cell>
          <cell r="F1021" t="str">
            <v>NSE PENALTY CHARGES</v>
          </cell>
          <cell r="I1021">
            <v>-1918.38</v>
          </cell>
        </row>
        <row r="1023">
          <cell r="F1023" t="str">
            <v>Depreciation</v>
          </cell>
        </row>
        <row r="1024">
          <cell r="D1024">
            <v>57200001</v>
          </cell>
          <cell r="F1024" t="str">
            <v>Depreciation - Computers</v>
          </cell>
          <cell r="I1024">
            <v>2053252.34</v>
          </cell>
        </row>
        <row r="1025">
          <cell r="D1025">
            <v>57200002</v>
          </cell>
          <cell r="F1025" t="str">
            <v>Depreciation - Office Equipment</v>
          </cell>
          <cell r="I1025">
            <v>2675773.6</v>
          </cell>
        </row>
        <row r="1026">
          <cell r="D1026">
            <v>57200003</v>
          </cell>
          <cell r="F1026" t="str">
            <v>Depreciation - Furnitures &amp; Fixtures</v>
          </cell>
          <cell r="I1026">
            <v>6387253.2000000002</v>
          </cell>
        </row>
        <row r="1027">
          <cell r="D1027">
            <v>57200004</v>
          </cell>
          <cell r="F1027" t="str">
            <v>Depreciation - Vehicles</v>
          </cell>
          <cell r="I1027">
            <v>4207150</v>
          </cell>
        </row>
        <row r="1028">
          <cell r="D1028">
            <v>57200010</v>
          </cell>
          <cell r="F1028" t="str">
            <v>Depreciation - Software</v>
          </cell>
          <cell r="I1028">
            <v>401954</v>
          </cell>
        </row>
        <row r="1029">
          <cell r="D1029">
            <v>57200018</v>
          </cell>
          <cell r="F1029" t="str">
            <v>Special Depreciation</v>
          </cell>
          <cell r="I1029">
            <v>0</v>
          </cell>
        </row>
        <row r="1031">
          <cell r="F1031" t="str">
            <v>Wealth Tax Expenditure</v>
          </cell>
        </row>
        <row r="1036">
          <cell r="D1036">
            <v>58030006</v>
          </cell>
          <cell r="E1036" t="str">
            <v>GETAX</v>
          </cell>
          <cell r="F1036" t="str">
            <v>Current Tax Exp</v>
          </cell>
          <cell r="I1036">
            <v>0</v>
          </cell>
        </row>
        <row r="1038">
          <cell r="D1038">
            <v>50100384</v>
          </cell>
          <cell r="E1038" t="str">
            <v>GA1113</v>
          </cell>
          <cell r="F1038" t="str">
            <v>Deffered Tax FY (2010-11)</v>
          </cell>
          <cell r="I1038">
            <v>0</v>
          </cell>
        </row>
        <row r="1040">
          <cell r="D1040">
            <v>58030026</v>
          </cell>
          <cell r="F1040" t="str">
            <v>TAX EXPENSES EARLIER YEARS</v>
          </cell>
          <cell r="I1040">
            <v>0</v>
          </cell>
        </row>
        <row r="1041">
          <cell r="D1041">
            <v>58030007</v>
          </cell>
          <cell r="F1041" t="str">
            <v>Dividend- INTERIM</v>
          </cell>
          <cell r="I1041">
            <v>273901131</v>
          </cell>
        </row>
        <row r="1042">
          <cell r="D1042">
            <v>58030010</v>
          </cell>
          <cell r="E1042" t="str">
            <v>GECDT</v>
          </cell>
          <cell r="F1042" t="str">
            <v>Corporate Dividend Tax - INTERIM</v>
          </cell>
          <cell r="I1042">
            <v>24455997</v>
          </cell>
        </row>
        <row r="1043">
          <cell r="D1043">
            <v>61000000</v>
          </cell>
          <cell r="F1043" t="str">
            <v>Dividends- PROPOSED</v>
          </cell>
          <cell r="I1043">
            <v>0</v>
          </cell>
        </row>
        <row r="1044">
          <cell r="D1044">
            <v>62000000</v>
          </cell>
          <cell r="F1044" t="str">
            <v>Corporate Dividend Tax - PROPOSED</v>
          </cell>
          <cell r="I1044">
            <v>0</v>
          </cell>
        </row>
        <row r="1045">
          <cell r="D1045">
            <v>20500000</v>
          </cell>
          <cell r="F1045" t="str">
            <v>Computers and peripherals - Cost</v>
          </cell>
          <cell r="G1045" t="str">
            <v>Fixed Assets</v>
          </cell>
          <cell r="H1045" t="str">
            <v>Tangible Assets</v>
          </cell>
          <cell r="I1045">
            <v>422238816.04000002</v>
          </cell>
        </row>
        <row r="1046">
          <cell r="D1046">
            <v>20600000</v>
          </cell>
          <cell r="F1046" t="str">
            <v>Furnitures - Cost</v>
          </cell>
          <cell r="G1046" t="str">
            <v>Fixed Assets</v>
          </cell>
          <cell r="H1046" t="str">
            <v>Tangible Assets</v>
          </cell>
          <cell r="I1046">
            <v>127231965.58</v>
          </cell>
        </row>
        <row r="1047">
          <cell r="D1047">
            <v>20602000</v>
          </cell>
          <cell r="F1047" t="str">
            <v>Office equipment - Cost</v>
          </cell>
          <cell r="G1047" t="str">
            <v>Fixed Assets</v>
          </cell>
          <cell r="H1047" t="str">
            <v>Tangible Assets</v>
          </cell>
          <cell r="I1047">
            <v>190920587.91</v>
          </cell>
        </row>
        <row r="1048">
          <cell r="D1048">
            <v>20700000</v>
          </cell>
          <cell r="F1048" t="str">
            <v>Vehicles - Cost</v>
          </cell>
          <cell r="G1048" t="str">
            <v>Fixed Assets</v>
          </cell>
          <cell r="H1048" t="str">
            <v>Tangible Assets</v>
          </cell>
          <cell r="I1048">
            <v>56455388</v>
          </cell>
        </row>
        <row r="1049">
          <cell r="D1049">
            <v>20510000</v>
          </cell>
          <cell r="E1049" t="str">
            <v>GA00001</v>
          </cell>
          <cell r="F1049" t="str">
            <v>Computers and peripherals -Acc dep</v>
          </cell>
          <cell r="G1049" t="str">
            <v>Fixed Assets</v>
          </cell>
          <cell r="H1049" t="str">
            <v>Tangible Assets</v>
          </cell>
          <cell r="I1049">
            <v>-409372153.37</v>
          </cell>
        </row>
        <row r="1050">
          <cell r="D1050">
            <v>20610000</v>
          </cell>
          <cell r="E1050" t="str">
            <v>GA00001</v>
          </cell>
          <cell r="F1050" t="str">
            <v>Acc dep - Furnitures</v>
          </cell>
          <cell r="G1050" t="str">
            <v>Fixed Assets</v>
          </cell>
          <cell r="H1050" t="str">
            <v>Tangible Assets</v>
          </cell>
          <cell r="I1050">
            <v>-71761329.359999999</v>
          </cell>
        </row>
        <row r="1051">
          <cell r="D1051">
            <v>20612000</v>
          </cell>
          <cell r="E1051" t="str">
            <v>GA00001</v>
          </cell>
          <cell r="F1051" t="str">
            <v>Acc dep-Office equipment</v>
          </cell>
          <cell r="G1051" t="str">
            <v>Fixed Assets</v>
          </cell>
          <cell r="H1051" t="str">
            <v>Tangible Assets</v>
          </cell>
          <cell r="I1051">
            <v>-176323143.94</v>
          </cell>
        </row>
        <row r="1052">
          <cell r="D1052">
            <v>20710000</v>
          </cell>
          <cell r="E1052" t="str">
            <v>GA00001</v>
          </cell>
          <cell r="F1052" t="str">
            <v>Vehicles -Acc dep</v>
          </cell>
          <cell r="G1052" t="str">
            <v>Fixed Assets</v>
          </cell>
          <cell r="H1052" t="str">
            <v>Tangible Assets</v>
          </cell>
          <cell r="I1052">
            <v>-42717164.539999999</v>
          </cell>
        </row>
        <row r="1054">
          <cell r="D1054">
            <v>20810001</v>
          </cell>
          <cell r="F1054" t="str">
            <v>Software-Cost</v>
          </cell>
          <cell r="G1054" t="str">
            <v>Fixed Assets</v>
          </cell>
          <cell r="H1054" t="str">
            <v>Intangibles</v>
          </cell>
          <cell r="I1054">
            <v>597575214.39999998</v>
          </cell>
        </row>
        <row r="1055">
          <cell r="D1055">
            <v>20810003</v>
          </cell>
          <cell r="F1055" t="str">
            <v>BSE-Membership Rights</v>
          </cell>
          <cell r="G1055" t="str">
            <v>Fixed Assets</v>
          </cell>
          <cell r="H1055" t="str">
            <v>Intangibles</v>
          </cell>
          <cell r="I1055">
            <v>7005000</v>
          </cell>
        </row>
        <row r="1056">
          <cell r="D1056">
            <v>20810002</v>
          </cell>
          <cell r="E1056" t="str">
            <v>GA00001</v>
          </cell>
          <cell r="F1056" t="str">
            <v>Software-Acc dep</v>
          </cell>
          <cell r="G1056" t="str">
            <v>Fixed Assets</v>
          </cell>
          <cell r="H1056" t="str">
            <v>Intangibles</v>
          </cell>
          <cell r="I1056">
            <v>-595124742.10000002</v>
          </cell>
        </row>
        <row r="1057">
          <cell r="D1057">
            <v>20810004</v>
          </cell>
          <cell r="E1057" t="str">
            <v>GA00001</v>
          </cell>
          <cell r="F1057" t="str">
            <v>BSE-Membership Rights-Acc dep</v>
          </cell>
          <cell r="G1057" t="str">
            <v>Fixed Assets</v>
          </cell>
          <cell r="H1057" t="str">
            <v>Intangibles</v>
          </cell>
          <cell r="I1057">
            <v>-7005000</v>
          </cell>
        </row>
        <row r="1059">
          <cell r="D1059">
            <v>45200000</v>
          </cell>
          <cell r="F1059" t="str">
            <v>Balances written back</v>
          </cell>
          <cell r="I1059">
            <v>-421131.64</v>
          </cell>
        </row>
        <row r="1060">
          <cell r="D1060">
            <v>44020040</v>
          </cell>
          <cell r="E1060" t="str">
            <v>GMII</v>
          </cell>
          <cell r="F1060" t="str">
            <v>Miscellanious Income</v>
          </cell>
          <cell r="I1060">
            <v>0</v>
          </cell>
        </row>
        <row r="1061">
          <cell r="D1061">
            <v>44020151</v>
          </cell>
          <cell r="F1061" t="str">
            <v>Miscellanious Income(Other)</v>
          </cell>
          <cell r="I1061">
            <v>0</v>
          </cell>
        </row>
        <row r="1065">
          <cell r="D1065">
            <v>46000139</v>
          </cell>
          <cell r="F1065" t="str">
            <v>Excess Provision written account</v>
          </cell>
          <cell r="I1065">
            <v>0</v>
          </cell>
        </row>
        <row r="1067">
          <cell r="D1067">
            <v>14890085</v>
          </cell>
          <cell r="F1067" t="str">
            <v>Dividend Payable(IB)</v>
          </cell>
          <cell r="I1067">
            <v>0</v>
          </cell>
        </row>
        <row r="1068">
          <cell r="D1068">
            <v>14880002</v>
          </cell>
          <cell r="F1068" t="str">
            <v xml:space="preserve">Corporate Dividend Tax Payable </v>
          </cell>
          <cell r="I1068">
            <v>-22225387</v>
          </cell>
        </row>
        <row r="1070">
          <cell r="D1070">
            <v>44000010</v>
          </cell>
          <cell r="F1070" t="str">
            <v>Interest Income On Income Tax Refund</v>
          </cell>
          <cell r="I1070">
            <v>0</v>
          </cell>
        </row>
        <row r="1071">
          <cell r="D1071">
            <v>56000015</v>
          </cell>
          <cell r="F1071" t="str">
            <v>Interest On Income Tax</v>
          </cell>
          <cell r="I1071">
            <v>0</v>
          </cell>
        </row>
        <row r="1072">
          <cell r="D1072">
            <v>56000109</v>
          </cell>
          <cell r="F1072" t="str">
            <v>Interest On TDS</v>
          </cell>
          <cell r="I1072">
            <v>0</v>
          </cell>
        </row>
        <row r="1073">
          <cell r="D1073">
            <v>56000021</v>
          </cell>
          <cell r="F1073" t="str">
            <v>Interest Expenses</v>
          </cell>
          <cell r="I1073">
            <v>0</v>
          </cell>
        </row>
        <row r="1074">
          <cell r="F1074" t="str">
            <v>Round Off Adj.</v>
          </cell>
          <cell r="I1074">
            <v>0</v>
          </cell>
        </row>
        <row r="1075">
          <cell r="F1075" t="str">
            <v>Round Off Adj.</v>
          </cell>
        </row>
      </sheetData>
      <sheetData sheetId="15" refreshError="1"/>
      <sheetData sheetId="16" refreshError="1"/>
      <sheetData sheetId="17" refreshError="1"/>
      <sheetData sheetId="18" refreshError="1"/>
      <sheetData sheetId="19" refreshError="1">
        <row r="12">
          <cell r="H12">
            <v>521552072</v>
          </cell>
        </row>
        <row r="13">
          <cell r="H13">
            <v>1595336006</v>
          </cell>
        </row>
        <row r="14">
          <cell r="H14">
            <v>100555004</v>
          </cell>
        </row>
        <row r="20">
          <cell r="H20">
            <v>409854</v>
          </cell>
        </row>
        <row r="22">
          <cell r="H22">
            <v>99786644</v>
          </cell>
        </row>
        <row r="23">
          <cell r="H23">
            <v>24118039</v>
          </cell>
        </row>
        <row r="27">
          <cell r="H27">
            <v>1950000000</v>
          </cell>
        </row>
        <row r="28">
          <cell r="H28">
            <v>5351042</v>
          </cell>
        </row>
        <row r="29">
          <cell r="H29">
            <v>1397078464</v>
          </cell>
        </row>
        <row r="30">
          <cell r="H30">
            <v>129674497</v>
          </cell>
        </row>
        <row r="39">
          <cell r="H39">
            <v>91741967</v>
          </cell>
        </row>
        <row r="40">
          <cell r="H40">
            <v>2450472</v>
          </cell>
        </row>
        <row r="43">
          <cell r="H43">
            <v>94192439</v>
          </cell>
        </row>
        <row r="45">
          <cell r="H45">
            <v>187342488</v>
          </cell>
        </row>
        <row r="46">
          <cell r="H46">
            <v>81065568</v>
          </cell>
        </row>
        <row r="47">
          <cell r="H47">
            <v>339572518</v>
          </cell>
        </row>
        <row r="48">
          <cell r="H48">
            <v>15350495</v>
          </cell>
        </row>
        <row r="52">
          <cell r="H52">
            <v>0</v>
          </cell>
        </row>
        <row r="54">
          <cell r="H54">
            <v>348467873</v>
          </cell>
        </row>
        <row r="55">
          <cell r="H55">
            <v>1413637313</v>
          </cell>
        </row>
        <row r="56">
          <cell r="H56">
            <v>3331536897</v>
          </cell>
        </row>
        <row r="57">
          <cell r="H57">
            <v>12696031</v>
          </cell>
        </row>
        <row r="60">
          <cell r="H60">
            <v>5823861622</v>
          </cell>
        </row>
      </sheetData>
      <sheetData sheetId="20" refreshError="1">
        <row r="1">
          <cell r="D1" t="str">
            <v>Indiabulls Securities Limited</v>
          </cell>
        </row>
        <row r="17">
          <cell r="G17">
            <v>20525383</v>
          </cell>
        </row>
      </sheetData>
      <sheetData sheetId="21" refreshError="1"/>
      <sheetData sheetId="22" refreshError="1"/>
      <sheetData sheetId="23" refreshError="1"/>
      <sheetData sheetId="24" refreshError="1">
        <row r="1">
          <cell r="G1">
            <v>0</v>
          </cell>
        </row>
        <row r="305">
          <cell r="G305">
            <v>100048402</v>
          </cell>
        </row>
      </sheetData>
      <sheetData sheetId="25" refreshError="1"/>
      <sheetData sheetId="26" refreshError="1"/>
      <sheetData sheetId="27" refreshError="1">
        <row r="2">
          <cell r="C2" t="str">
            <v>Indiabulls Securities Limited</v>
          </cell>
        </row>
        <row r="36">
          <cell r="F36">
            <v>122890882</v>
          </cell>
        </row>
        <row r="37">
          <cell r="F37">
            <v>0</v>
          </cell>
        </row>
        <row r="47">
          <cell r="F47">
            <v>0</v>
          </cell>
        </row>
        <row r="49">
          <cell r="F49">
            <v>421132</v>
          </cell>
        </row>
        <row r="50">
          <cell r="F50">
            <v>460195</v>
          </cell>
        </row>
        <row r="51">
          <cell r="F51">
            <v>342527</v>
          </cell>
        </row>
        <row r="62">
          <cell r="F62">
            <v>10788862</v>
          </cell>
        </row>
        <row r="63">
          <cell r="F63">
            <v>0</v>
          </cell>
        </row>
        <row r="64">
          <cell r="F64">
            <v>637762</v>
          </cell>
        </row>
        <row r="65">
          <cell r="F65">
            <v>653500</v>
          </cell>
        </row>
        <row r="68">
          <cell r="F68">
            <v>355933</v>
          </cell>
        </row>
        <row r="72">
          <cell r="F72">
            <v>476497</v>
          </cell>
        </row>
        <row r="73">
          <cell r="F73">
            <v>243123</v>
          </cell>
        </row>
        <row r="81">
          <cell r="F81">
            <v>61153813</v>
          </cell>
        </row>
        <row r="82">
          <cell r="F82">
            <v>221936</v>
          </cell>
        </row>
        <row r="83">
          <cell r="F83">
            <v>1846642</v>
          </cell>
        </row>
        <row r="84">
          <cell r="F84">
            <v>2952652</v>
          </cell>
        </row>
        <row r="96">
          <cell r="F96">
            <v>0</v>
          </cell>
        </row>
        <row r="97">
          <cell r="F97">
            <v>3228034</v>
          </cell>
        </row>
        <row r="98">
          <cell r="F98">
            <v>0</v>
          </cell>
        </row>
        <row r="99">
          <cell r="F99">
            <v>63827</v>
          </cell>
        </row>
        <row r="101">
          <cell r="F101">
            <v>0</v>
          </cell>
        </row>
        <row r="102">
          <cell r="F102">
            <v>0</v>
          </cell>
        </row>
        <row r="111">
          <cell r="F111">
            <v>2789704</v>
          </cell>
        </row>
        <row r="112">
          <cell r="F112">
            <v>975975</v>
          </cell>
        </row>
        <row r="113">
          <cell r="F113">
            <v>167640</v>
          </cell>
        </row>
        <row r="114">
          <cell r="F114">
            <v>4256464</v>
          </cell>
        </row>
        <row r="115">
          <cell r="F115">
            <v>3660529</v>
          </cell>
        </row>
        <row r="116">
          <cell r="F116">
            <v>1008287</v>
          </cell>
        </row>
        <row r="117">
          <cell r="F117">
            <v>2434740</v>
          </cell>
        </row>
        <row r="118">
          <cell r="F118">
            <v>892487</v>
          </cell>
        </row>
        <row r="119">
          <cell r="F119">
            <v>3060657</v>
          </cell>
        </row>
        <row r="120">
          <cell r="F120">
            <v>75862</v>
          </cell>
        </row>
        <row r="122">
          <cell r="F122">
            <v>883333</v>
          </cell>
        </row>
        <row r="123">
          <cell r="F123">
            <v>166667</v>
          </cell>
        </row>
        <row r="124">
          <cell r="F124">
            <v>150000</v>
          </cell>
        </row>
        <row r="125">
          <cell r="F125">
            <v>0</v>
          </cell>
        </row>
        <row r="127">
          <cell r="F127">
            <v>0</v>
          </cell>
        </row>
        <row r="128">
          <cell r="F128">
            <v>104199</v>
          </cell>
        </row>
        <row r="129">
          <cell r="F129">
            <v>300000</v>
          </cell>
        </row>
        <row r="133">
          <cell r="F133">
            <v>0</v>
          </cell>
        </row>
        <row r="134">
          <cell r="F134">
            <v>803770.15999999992</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rial Balance"/>
      <sheetName val="BS"/>
      <sheetName val="PL"/>
      <sheetName val="cash flow"/>
      <sheetName val="Note-1"/>
      <sheetName val="Note-P"/>
      <sheetName val="FA"/>
      <sheetName val="Notes - 2"/>
      <sheetName val="FAR"/>
      <sheetName val="DEP(IT)"/>
      <sheetName val="DT"/>
      <sheetName val="EPS"/>
      <sheetName val="Prov for Tax"/>
      <sheetName val="Adv tax vs PT"/>
    </sheetNames>
    <sheetDataSet>
      <sheetData sheetId="0" refreshError="1">
        <row r="4">
          <cell r="C4" t="str">
            <v>Ginger Science Private Limited</v>
          </cell>
        </row>
        <row r="9">
          <cell r="C9" t="str">
            <v>March 31, 2017</v>
          </cell>
          <cell r="D9" t="str">
            <v>March 31, 2016</v>
          </cell>
        </row>
        <row r="11">
          <cell r="C11" t="str">
            <v>Yogendra Kumar Singh</v>
          </cell>
        </row>
        <row r="12">
          <cell r="C12" t="str">
            <v>Sunil Bapna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 of SAP Entries"/>
      <sheetName val="KG Marg"/>
      <sheetName val="Index"/>
      <sheetName val="BS"/>
      <sheetName val="PL"/>
      <sheetName val="cash flow"/>
      <sheetName val="SOCIE"/>
      <sheetName val="Notes-1-3"/>
      <sheetName val="Note-B"/>
      <sheetName val="Note-P"/>
      <sheetName val="FA"/>
      <sheetName val="FI"/>
      <sheetName val="other notes"/>
      <sheetName val="RPT - BS"/>
      <sheetName val="RPT - PL"/>
      <sheetName val="BS-NBFC"/>
      <sheetName val="PL-NBFC"/>
      <sheetName val="Notes FA &amp; NFA-NBFC"/>
      <sheetName val="Notes FL &amp; NFL-NBFC"/>
      <sheetName val="Equity &amp; other equity-NBFC"/>
      <sheetName val="Notes-FA NBFC"/>
      <sheetName val="Notes PL-NBFC"/>
      <sheetName val="ICD Given"/>
      <sheetName val="ICD Taken"/>
      <sheetName val="INVST"/>
      <sheetName val="Trial 2019"/>
      <sheetName val="C.TRIAL"/>
      <sheetName val="P&amp;L Qtly AS"/>
      <sheetName val="Provisions"/>
      <sheetName val="ARCK"/>
      <sheetName val="Vendor bal."/>
      <sheetName val="C &amp; NC"/>
      <sheetName val="ICD-Taken"/>
      <sheetName val="Customer Bal"/>
      <sheetName val="ICD-Given new"/>
      <sheetName val="Clients"/>
      <sheetName val="Ind AS Entry"/>
      <sheetName val="Investments-NBFC"/>
      <sheetName val="Computation new format"/>
      <sheetName val="checklist"/>
    </sheetNames>
    <sheetDataSet>
      <sheetData sheetId="0" refreshError="1"/>
      <sheetData sheetId="1" refreshError="1"/>
      <sheetData sheetId="2">
        <row r="4">
          <cell r="C4" t="str">
            <v>Pushpanjli Finsolutions Limited</v>
          </cell>
        </row>
        <row r="7">
          <cell r="G7">
            <v>1</v>
          </cell>
        </row>
        <row r="8">
          <cell r="F8" t="str">
            <v>Rs.</v>
          </cell>
        </row>
        <row r="11">
          <cell r="E11">
            <v>42826</v>
          </cell>
          <cell r="F11">
            <v>43465</v>
          </cell>
          <cell r="G11">
            <v>43190</v>
          </cell>
        </row>
        <row r="14">
          <cell r="C14" t="str">
            <v>DIN: 02873125</v>
          </cell>
        </row>
        <row r="16">
          <cell r="C16" t="str">
            <v>DIN: 06955507</v>
          </cell>
        </row>
        <row r="18">
          <cell r="C18" t="str">
            <v>Srishti Garg</v>
          </cell>
        </row>
        <row r="19">
          <cell r="C19" t="str">
            <v>PAN: BXWPG7538R</v>
          </cell>
        </row>
        <row r="22">
          <cell r="C22" t="str">
            <v>For Sumit Mohit &amp; Company</v>
          </cell>
        </row>
        <row r="23">
          <cell r="C23" t="str">
            <v>Sumit Garg</v>
          </cell>
        </row>
      </sheetData>
      <sheetData sheetId="3" refreshError="1"/>
      <sheetData sheetId="4">
        <row r="17">
          <cell r="H17">
            <v>169606</v>
          </cell>
        </row>
      </sheetData>
      <sheetData sheetId="5" refreshError="1"/>
      <sheetData sheetId="6" refreshError="1"/>
      <sheetData sheetId="7" refreshError="1"/>
      <sheetData sheetId="8" refreshError="1"/>
      <sheetData sheetId="9">
        <row r="43">
          <cell r="G43">
            <v>357920041</v>
          </cell>
        </row>
      </sheetData>
      <sheetData sheetId="10">
        <row r="14">
          <cell r="F14">
            <v>2691979272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33">
          <cell r="E133">
            <v>42031849</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ICD Given"/>
      <sheetName val="Segment-Main"/>
      <sheetName val="Segment-Working"/>
      <sheetName val="ICD Taken"/>
      <sheetName val="Index"/>
      <sheetName val="Related Parties - BS"/>
      <sheetName val="Clients"/>
      <sheetName val="Customer Bal"/>
      <sheetName val="Related Parties - PL"/>
      <sheetName val="Vendor bal."/>
      <sheetName val="Check List"/>
      <sheetName val="Imp Points"/>
      <sheetName val="Back Date Entries"/>
      <sheetName val="C.TRIAL"/>
      <sheetName val="Provisions"/>
      <sheetName val="BS"/>
      <sheetName val="ARCK"/>
      <sheetName val="Trial"/>
      <sheetName val="P&amp;L"/>
      <sheetName val="cash flow"/>
      <sheetName val="Note-B"/>
      <sheetName val="Notes - FA"/>
      <sheetName val="Note-P"/>
      <sheetName val="P&amp;L LR"/>
      <sheetName val="Note-P LR"/>
      <sheetName val="P&amp;L Qtly AS"/>
      <sheetName val="FDR"/>
      <sheetName val="Notes"/>
      <sheetName val="preliminary expenses"/>
      <sheetName val="Advance Tax"/>
      <sheetName val="EPS"/>
      <sheetName val="DTAX"/>
      <sheetName val="P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tion"/>
      <sheetName val="EPS ytd"/>
      <sheetName val="EPS qtr"/>
      <sheetName val="PL%"/>
      <sheetName val="snapshot"/>
      <sheetName val="Revenue Break up_Conso"/>
      <sheetName val="cowise-revenue"/>
      <sheetName val="Revenue Break Up_IFSL"/>
      <sheetName val="cowisep&amp;l_till_September"/>
      <sheetName val="cowisep&amp;l_for_october"/>
      <sheetName val="Minority_intt_07-08"/>
      <sheetName val="associates_07-08"/>
      <sheetName val="Fixed assets"/>
      <sheetName val="cowisep&amp;l_till_October "/>
      <sheetName val="cowisep&amp;l_for_November "/>
      <sheetName val="cowisep&amp;l_till_December"/>
      <sheetName val="PL%MOM"/>
      <sheetName val="consoP&amp;L(ashok ji)"/>
      <sheetName val="consoP&amp;L "/>
      <sheetName val="BS"/>
      <sheetName val="PL"/>
      <sheetName val="Sch"/>
      <sheetName val="cashflow"/>
      <sheetName val="Other operating"/>
      <sheetName val="cowisep&amp;l_till_November"/>
      <sheetName val="cowisep&amp;l_for_December"/>
      <sheetName val="cowisep&amp;l_Q3"/>
      <sheetName val="publish"/>
      <sheetName val="submission to S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Note-B"/>
      <sheetName val="PHPL - T"/>
      <sheetName val="ILPL - T"/>
      <sheetName val="Arbutus - T"/>
      <sheetName val="NCD-IVL"/>
      <sheetName val="IBL - T"/>
      <sheetName val="ICL - T"/>
      <sheetName val="ISL - T"/>
      <sheetName val="R Capital - T"/>
      <sheetName val="IndusInd OD - T"/>
      <sheetName val="IHFL - T"/>
      <sheetName val="ASSL - T"/>
      <sheetName val="IIL-T"/>
      <sheetName val="ICD Given"/>
      <sheetName val="ICL - G"/>
      <sheetName val="Albasta - G"/>
      <sheetName val="Airmid - G"/>
      <sheetName val="ILPPL - G"/>
      <sheetName val="GYAN - G"/>
      <sheetName val="ASSL - G"/>
      <sheetName val="SORIL - G"/>
      <sheetName val="Segment-Main"/>
      <sheetName val="Segment-Working"/>
      <sheetName val="ICD Taken"/>
      <sheetName val="Related Parties - BS"/>
      <sheetName val="Clients"/>
      <sheetName val="Customer Bal"/>
      <sheetName val="Vendor bal."/>
      <sheetName val="ARCK"/>
      <sheetName val="Index"/>
      <sheetName val="Related Parties - PL"/>
      <sheetName val="Intergroup Elemination"/>
      <sheetName val="Check List"/>
      <sheetName val="Imp Points"/>
      <sheetName val="C.TRIAL"/>
      <sheetName val="Trial"/>
      <sheetName val="Provisions"/>
      <sheetName val="P&amp;L Qtly AS"/>
      <sheetName val="BS"/>
      <sheetName val="P&amp;L"/>
      <sheetName val="cash flow"/>
      <sheetName val="Notes - FA"/>
      <sheetName val="Note-P"/>
      <sheetName val="Cal Dep."/>
      <sheetName val="Notes"/>
      <sheetName val="preliminary expenses"/>
      <sheetName val="Related Party"/>
      <sheetName val="Related Party Working"/>
      <sheetName val="Exp Trf ILPL"/>
      <sheetName val="Advance Tax"/>
      <sheetName val="EPS"/>
      <sheetName val="CG"/>
      <sheetName val="DTAX"/>
      <sheetName val="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5">
          <cell r="G5">
            <v>0.34608000000000005</v>
          </cell>
        </row>
        <row r="6">
          <cell r="G6">
            <v>0.34608000000000005</v>
          </cell>
        </row>
        <row r="11">
          <cell r="C11">
            <v>42460</v>
          </cell>
          <cell r="D11">
            <v>42094</v>
          </cell>
        </row>
        <row r="30">
          <cell r="C30">
            <v>366</v>
          </cell>
        </row>
        <row r="31">
          <cell r="C31">
            <v>0</v>
          </cell>
        </row>
      </sheetData>
      <sheetData sheetId="31"/>
      <sheetData sheetId="32"/>
      <sheetData sheetId="33"/>
      <sheetData sheetId="34"/>
      <sheetData sheetId="35"/>
      <sheetData sheetId="36"/>
      <sheetData sheetId="37">
        <row r="2">
          <cell r="C2">
            <v>31</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vance Tax"/>
      <sheetName val="Cash Flow"/>
      <sheetName val="Cash flow working"/>
      <sheetName val="Cash Flow (2)"/>
      <sheetName val="Mapping Old "/>
      <sheetName val="Tally TB"/>
      <sheetName val="SAP TB"/>
      <sheetName val="Mapping New"/>
      <sheetName val="Sec deposit wrkg"/>
      <sheetName val="Clients"/>
      <sheetName val="Customer Bal"/>
      <sheetName val="Trial"/>
      <sheetName val="Quarterly (SLM)"/>
      <sheetName val="Provisions"/>
      <sheetName val="SAP Trial"/>
      <sheetName val="ARCK"/>
      <sheetName val="Vendor Bal"/>
      <sheetName val="BS"/>
      <sheetName val="PL"/>
      <sheetName val="Note 3-8"/>
      <sheetName val="Note 9-11"/>
      <sheetName val="Note- 12_FA (SLM) "/>
      <sheetName val="Sheet3"/>
      <sheetName val="WDV to SLM Adjustment"/>
      <sheetName val="Note 13-18"/>
      <sheetName val="Note 19 - 23"/>
      <sheetName val="BS (WDV)"/>
      <sheetName val="PL (WDV)"/>
      <sheetName val="Note 19 - 23 (WDV)"/>
      <sheetName val="Note-12_FA (WDV)"/>
      <sheetName val="Note 3-8 (WDV)"/>
      <sheetName val="CFS"/>
      <sheetName val="CF-W"/>
      <sheetName val="Cash flow working (2)"/>
      <sheetName val="Note 1-2"/>
      <sheetName val="Unamortied Cost Calculation"/>
      <sheetName val="Electricity Provision"/>
      <sheetName val="Sundry Debtors"/>
      <sheetName val="Interest Working Indusind Bank"/>
      <sheetName val="Other Workings"/>
      <sheetName val="Note 25"/>
      <sheetName val="Notes"/>
      <sheetName val="Note 24 - 33"/>
      <sheetName val="notes acturial valuation"/>
      <sheetName val="IDSL - Taken"/>
      <sheetName val="Sheet7"/>
      <sheetName val="TB-Nov working 2"/>
      <sheetName val="TB-Nov - working"/>
      <sheetName val="Note 4 &amp; 5"/>
      <sheetName val="AS 19 Details"/>
      <sheetName val="Fixed Deposit"/>
      <sheetName val="Note 24"/>
      <sheetName val="Cash Flow Workings"/>
      <sheetName val="CWIP FA"/>
      <sheetName val="P.9"/>
      <sheetName val="Loan and int accrued"/>
      <sheetName val="Sundry debtors bifurcation"/>
      <sheetName val="EPS"/>
      <sheetName val="Sheet1"/>
      <sheetName val="TB 2010"/>
      <sheetName val="Income tax working"/>
      <sheetName val="DTA"/>
      <sheetName val="Income tax working (SLM)"/>
      <sheetName val="Income tax working (WDV)"/>
      <sheetName val="DTAX"/>
      <sheetName val="IT Depr working"/>
      <sheetName val="Sheet2"/>
    </sheetNames>
    <sheetDataSet>
      <sheetData sheetId="0" refreshError="1">
        <row r="11">
          <cell r="C11">
            <v>42277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VI"/>
      <sheetName val="INVST"/>
      <sheetName val="TB - SAP"/>
      <sheetName val="TB - Focus"/>
      <sheetName val="To Tally"/>
      <sheetName val="Provisions"/>
      <sheetName val="Monthly P&amp;L"/>
      <sheetName val="Reports"/>
      <sheetName val="TB"/>
      <sheetName val="Director Remuneration"/>
      <sheetName val="Other TBs"/>
      <sheetName val="BS"/>
      <sheetName val="PL"/>
      <sheetName val="CFS"/>
      <sheetName val="Notes-B"/>
      <sheetName val="C &amp; NC"/>
      <sheetName val="Note-P"/>
      <sheetName val="Monthly"/>
      <sheetName val="Note-FA"/>
      <sheetName val="Note-1"/>
      <sheetName val="Note-2"/>
      <sheetName val="EPS"/>
      <sheetName val="ITR vs. Books"/>
      <sheetName val="ARCK-CL-OL"/>
      <sheetName val="Vendor bal."/>
      <sheetName val="Clients"/>
      <sheetName val="DT"/>
      <sheetName val="Tax Prov."/>
      <sheetName val="Segment-Main"/>
      <sheetName val="bad debt"/>
      <sheetName val="pENDING"/>
      <sheetName val="Index"/>
      <sheetName val="NTA"/>
      <sheetName val="Adv Tax"/>
      <sheetName val="SEBI T.O. Fees"/>
      <sheetName val="Trial"/>
      <sheetName val="Provision Working"/>
      <sheetName val="Funds - AS"/>
      <sheetName val="CF-W"/>
      <sheetName val="Segment-Working"/>
      <sheetName val="Dividend Working"/>
      <sheetName val="14A"/>
      <sheetName val="Results_Jun"/>
      <sheetName val="Results_Sep"/>
      <sheetName val="Results_Dec"/>
      <sheetName val="Results_Mar"/>
      <sheetName val="NSE MARGING FUNDING"/>
      <sheetName val="BSE MARGIN FUNDING"/>
      <sheetName val="NET WORTH NSE"/>
      <sheetName val="NET WORTH BSE"/>
      <sheetName val="General NW"/>
      <sheetName val="CDSL"/>
      <sheetName val="NSD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row r="12">
          <cell r="C12" t="str">
            <v>March 31, 2012</v>
          </cell>
          <cell r="D12" t="str">
            <v>March 31, 2011</v>
          </cell>
        </row>
        <row r="13">
          <cell r="C13" t="str">
            <v>Divyesh B. Shah</v>
          </cell>
        </row>
        <row r="14">
          <cell r="C14" t="str">
            <v>Ashok Sharma</v>
          </cell>
        </row>
        <row r="21">
          <cell r="C21" t="str">
            <v>Mumbai</v>
          </cell>
        </row>
        <row r="22">
          <cell r="C22" t="str">
            <v>April 25, 2012</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1"/>
      <sheetName val="Product-wise"/>
      <sheetName val="Summary"/>
      <sheetName val="Jun F1"/>
      <sheetName val="May F2"/>
      <sheetName val="May F1"/>
      <sheetName val="Apr F2"/>
      <sheetName val="Apr F1"/>
      <sheetName val="Mar F2"/>
      <sheetName val="Mar F1"/>
      <sheetName val="Feb F2"/>
      <sheetName val="Feb F1"/>
      <sheetName val="Jan F2"/>
      <sheetName val="Jan F1"/>
      <sheetName val="Jun F2"/>
      <sheetName val="Jul F1"/>
    </sheetNames>
    <sheetDataSet>
      <sheetData sheetId="0">
        <row r="1">
          <cell r="A1" t="str">
            <v>AP00R</v>
          </cell>
          <cell r="B1">
            <v>1</v>
          </cell>
        </row>
        <row r="2">
          <cell r="A2" t="str">
            <v>ENDT15</v>
          </cell>
          <cell r="B2">
            <v>1</v>
          </cell>
        </row>
        <row r="3">
          <cell r="A3" t="str">
            <v>ENDT20</v>
          </cell>
          <cell r="B3">
            <v>1</v>
          </cell>
        </row>
        <row r="4">
          <cell r="A4" t="str">
            <v>EP2006</v>
          </cell>
          <cell r="B4">
            <v>1</v>
          </cell>
        </row>
        <row r="5">
          <cell r="A5" t="str">
            <v>EP2010</v>
          </cell>
          <cell r="B5">
            <v>1</v>
          </cell>
        </row>
        <row r="6">
          <cell r="A6" t="str">
            <v>EP206G</v>
          </cell>
          <cell r="B6">
            <v>1</v>
          </cell>
        </row>
        <row r="7">
          <cell r="A7" t="str">
            <v>EP20</v>
          </cell>
          <cell r="B7">
            <v>1</v>
          </cell>
        </row>
        <row r="8">
          <cell r="A8" t="str">
            <v>EP20G</v>
          </cell>
          <cell r="B8">
            <v>1</v>
          </cell>
        </row>
        <row r="9">
          <cell r="A9" t="str">
            <v>EP24A</v>
          </cell>
          <cell r="B9">
            <v>1</v>
          </cell>
        </row>
        <row r="10">
          <cell r="A10" t="str">
            <v>EP2506</v>
          </cell>
          <cell r="B10">
            <v>1</v>
          </cell>
        </row>
        <row r="11">
          <cell r="A11" t="str">
            <v>EP2515</v>
          </cell>
          <cell r="B11">
            <v>1</v>
          </cell>
        </row>
        <row r="12">
          <cell r="A12" t="str">
            <v>EP256G</v>
          </cell>
          <cell r="B12">
            <v>1</v>
          </cell>
        </row>
        <row r="13">
          <cell r="A13" t="str">
            <v>EP60G</v>
          </cell>
          <cell r="B13">
            <v>1</v>
          </cell>
        </row>
        <row r="14">
          <cell r="A14" t="str">
            <v>EPMB1</v>
          </cell>
          <cell r="B14">
            <v>1</v>
          </cell>
        </row>
        <row r="15">
          <cell r="A15" t="str">
            <v>EPS11G</v>
          </cell>
          <cell r="B15">
            <v>1</v>
          </cell>
        </row>
        <row r="16">
          <cell r="A16" t="str">
            <v>EPS</v>
          </cell>
          <cell r="B16">
            <v>1</v>
          </cell>
        </row>
        <row r="17">
          <cell r="A17" t="str">
            <v>EPSA</v>
          </cell>
          <cell r="B17">
            <v>1</v>
          </cell>
        </row>
        <row r="18">
          <cell r="A18" t="str">
            <v>JM1206</v>
          </cell>
          <cell r="B18">
            <v>1</v>
          </cell>
        </row>
        <row r="19">
          <cell r="A19" t="str">
            <v>JM1506</v>
          </cell>
          <cell r="B19">
            <v>1</v>
          </cell>
        </row>
        <row r="20">
          <cell r="A20" t="str">
            <v>JM1512</v>
          </cell>
          <cell r="B20">
            <v>1</v>
          </cell>
        </row>
        <row r="21">
          <cell r="A21" t="str">
            <v>JV00</v>
          </cell>
          <cell r="B21">
            <v>1</v>
          </cell>
        </row>
        <row r="22">
          <cell r="A22" t="str">
            <v>TN05</v>
          </cell>
          <cell r="B22">
            <v>1</v>
          </cell>
        </row>
        <row r="23">
          <cell r="A23" t="str">
            <v>TN10</v>
          </cell>
          <cell r="B23">
            <v>1</v>
          </cell>
        </row>
        <row r="24">
          <cell r="A24" t="str">
            <v>TN20</v>
          </cell>
          <cell r="B24">
            <v>1</v>
          </cell>
        </row>
        <row r="25">
          <cell r="A25" t="str">
            <v>TN25</v>
          </cell>
          <cell r="B25">
            <v>1</v>
          </cell>
        </row>
        <row r="26">
          <cell r="A26" t="str">
            <v>TN60</v>
          </cell>
          <cell r="B26">
            <v>1</v>
          </cell>
        </row>
        <row r="27">
          <cell r="A27" t="str">
            <v>UABLI</v>
          </cell>
          <cell r="B27">
            <v>1</v>
          </cell>
        </row>
        <row r="28">
          <cell r="A28" t="str">
            <v>UABLL</v>
          </cell>
          <cell r="B28">
            <v>1</v>
          </cell>
        </row>
        <row r="29">
          <cell r="A29" t="str">
            <v>UABSI</v>
          </cell>
          <cell r="B29">
            <v>1</v>
          </cell>
        </row>
        <row r="30">
          <cell r="A30" t="str">
            <v>UABSL</v>
          </cell>
          <cell r="B30">
            <v>1</v>
          </cell>
        </row>
        <row r="31">
          <cell r="A31" t="str">
            <v>UNERE</v>
          </cell>
          <cell r="B31">
            <v>1</v>
          </cell>
        </row>
        <row r="32">
          <cell r="A32" t="str">
            <v>UNEREI</v>
          </cell>
          <cell r="B32">
            <v>1</v>
          </cell>
        </row>
        <row r="33">
          <cell r="A33" t="str">
            <v>UNHP01</v>
          </cell>
          <cell r="B33">
            <v>1</v>
          </cell>
        </row>
        <row r="34">
          <cell r="A34" t="str">
            <v>UNHP03</v>
          </cell>
          <cell r="B34">
            <v>1</v>
          </cell>
        </row>
        <row r="35">
          <cell r="A35" t="str">
            <v>UNHP05</v>
          </cell>
          <cell r="B35">
            <v>1</v>
          </cell>
        </row>
        <row r="36">
          <cell r="A36" t="str">
            <v>UNHP10</v>
          </cell>
          <cell r="B36">
            <v>1</v>
          </cell>
        </row>
        <row r="37">
          <cell r="A37" t="str">
            <v>UNHPE</v>
          </cell>
          <cell r="B37">
            <v>1</v>
          </cell>
        </row>
        <row r="38">
          <cell r="A38" t="str">
            <v>UNPRE</v>
          </cell>
          <cell r="B38">
            <v>1</v>
          </cell>
        </row>
        <row r="39">
          <cell r="A39" t="str">
            <v>UNPRE3</v>
          </cell>
          <cell r="B39">
            <v>1</v>
          </cell>
        </row>
        <row r="40">
          <cell r="A40" t="str">
            <v>UNPREI</v>
          </cell>
          <cell r="B40">
            <v>1</v>
          </cell>
        </row>
        <row r="41">
          <cell r="A41" t="str">
            <v>WP00</v>
          </cell>
          <cell r="B41">
            <v>1</v>
          </cell>
        </row>
        <row r="42">
          <cell r="A42" t="str">
            <v>WP00L</v>
          </cell>
          <cell r="B42">
            <v>1</v>
          </cell>
        </row>
        <row r="43">
          <cell r="A43" t="str">
            <v>WPLP10</v>
          </cell>
          <cell r="B43">
            <v>1</v>
          </cell>
        </row>
        <row r="44">
          <cell r="A44" t="str">
            <v>WPLP20</v>
          </cell>
          <cell r="B44">
            <v>1</v>
          </cell>
        </row>
        <row r="45">
          <cell r="A45" t="str">
            <v>DP15</v>
          </cell>
          <cell r="B45">
            <v>0</v>
          </cell>
        </row>
        <row r="46">
          <cell r="A46" t="str">
            <v>DP20</v>
          </cell>
          <cell r="B46">
            <v>0</v>
          </cell>
        </row>
        <row r="47">
          <cell r="A47" t="str">
            <v>DPPT</v>
          </cell>
          <cell r="B47">
            <v>0</v>
          </cell>
        </row>
        <row r="48">
          <cell r="A48" t="str">
            <v>DPPT20</v>
          </cell>
          <cell r="B48">
            <v>0</v>
          </cell>
        </row>
        <row r="49">
          <cell r="A49" t="str">
            <v>OP00</v>
          </cell>
          <cell r="B49">
            <v>0</v>
          </cell>
        </row>
        <row r="50">
          <cell r="A50" t="str">
            <v>PN00N</v>
          </cell>
          <cell r="B50">
            <v>0</v>
          </cell>
        </row>
        <row r="51">
          <cell r="A51" t="str">
            <v>PP00</v>
          </cell>
          <cell r="B51">
            <v>0</v>
          </cell>
        </row>
        <row r="52">
          <cell r="A52" t="str">
            <v>PP00N</v>
          </cell>
          <cell r="B52">
            <v>0</v>
          </cell>
        </row>
        <row r="53">
          <cell r="A53" t="str">
            <v>PP20</v>
          </cell>
          <cell r="B53">
            <v>0</v>
          </cell>
        </row>
        <row r="54">
          <cell r="A54" t="str">
            <v>PP2006</v>
          </cell>
          <cell r="B54">
            <v>0</v>
          </cell>
        </row>
        <row r="55">
          <cell r="A55" t="str">
            <v>PP255N</v>
          </cell>
          <cell r="B55">
            <v>0</v>
          </cell>
        </row>
        <row r="56">
          <cell r="A56" t="str">
            <v>RPPT</v>
          </cell>
          <cell r="B56">
            <v>0</v>
          </cell>
        </row>
        <row r="57">
          <cell r="A57" t="str">
            <v>UNEAD</v>
          </cell>
          <cell r="B57">
            <v>0</v>
          </cell>
        </row>
        <row r="58">
          <cell r="A58" t="str">
            <v>UNEDD</v>
          </cell>
          <cell r="B58">
            <v>0</v>
          </cell>
        </row>
        <row r="59">
          <cell r="A59" t="str">
            <v>VP00</v>
          </cell>
          <cell r="B59">
            <v>0</v>
          </cell>
        </row>
        <row r="60">
          <cell r="A60" t="str">
            <v>VP15L</v>
          </cell>
          <cell r="B60">
            <v>0</v>
          </cell>
        </row>
        <row r="61">
          <cell r="A61" t="str">
            <v>VP</v>
          </cell>
          <cell r="B61">
            <v>0</v>
          </cell>
        </row>
        <row r="62">
          <cell r="A62" t="str">
            <v>VS</v>
          </cell>
          <cell r="B6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row r="3">
          <cell r="Z3" t="str">
            <v>INTERIM</v>
          </cell>
        </row>
        <row r="4">
          <cell r="Z4" t="str">
            <v>FINAL</v>
          </cell>
        </row>
      </sheetData>
      <sheetData sheetId="28"/>
      <sheetData sheetId="29"/>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65">
          <cell r="H65" t="str">
            <v>01-ANDAMAN AND NICOBAR ISLANDS</v>
          </cell>
        </row>
        <row r="66">
          <cell r="H66" t="str">
            <v>02-ANDHRA PRADESH</v>
          </cell>
        </row>
        <row r="67">
          <cell r="H67" t="str">
            <v>03-ARUNACHAL PRADESH</v>
          </cell>
        </row>
        <row r="68">
          <cell r="H68" t="str">
            <v>04-ASSAM</v>
          </cell>
        </row>
        <row r="69">
          <cell r="H69" t="str">
            <v>05-BIHAR</v>
          </cell>
        </row>
        <row r="70">
          <cell r="H70" t="str">
            <v>06-CHANDIGARH</v>
          </cell>
        </row>
        <row r="71">
          <cell r="H71" t="str">
            <v>07-DADRA AND NAGAR HAVELI</v>
          </cell>
        </row>
        <row r="72">
          <cell r="H72" t="str">
            <v>08-DAMAN AND DIU</v>
          </cell>
        </row>
        <row r="73">
          <cell r="H73" t="str">
            <v>09-DELHI</v>
          </cell>
        </row>
        <row r="74">
          <cell r="H74" t="str">
            <v>10-GOA</v>
          </cell>
        </row>
        <row r="75">
          <cell r="H75" t="str">
            <v>11-GUJARAT</v>
          </cell>
        </row>
        <row r="76">
          <cell r="H76" t="str">
            <v>12-HARYANA</v>
          </cell>
        </row>
        <row r="77">
          <cell r="H77" t="str">
            <v>13-HIMACHAL PRADESH</v>
          </cell>
        </row>
        <row r="78">
          <cell r="H78" t="str">
            <v>14-JAMMU AND KASHMIR</v>
          </cell>
        </row>
        <row r="79">
          <cell r="H79" t="str">
            <v>15-KARNATAKA</v>
          </cell>
        </row>
        <row r="80">
          <cell r="H80" t="str">
            <v>16-KERALA</v>
          </cell>
        </row>
        <row r="81">
          <cell r="H81" t="str">
            <v>17-LAKHSWADEEP</v>
          </cell>
        </row>
        <row r="82">
          <cell r="H82" t="str">
            <v>18-MADHYA PRADESH</v>
          </cell>
        </row>
        <row r="83">
          <cell r="H83" t="str">
            <v>19-MAHARASHTRA</v>
          </cell>
        </row>
        <row r="84">
          <cell r="H84" t="str">
            <v>20-MANIPUR</v>
          </cell>
        </row>
        <row r="85">
          <cell r="H85" t="str">
            <v>21-MEGHALAYA</v>
          </cell>
        </row>
        <row r="86">
          <cell r="H86" t="str">
            <v>22-MIZORAM</v>
          </cell>
        </row>
        <row r="87">
          <cell r="H87" t="str">
            <v>23-NAGALAND</v>
          </cell>
        </row>
        <row r="88">
          <cell r="H88" t="str">
            <v>24-ORISSA</v>
          </cell>
        </row>
        <row r="89">
          <cell r="H89" t="str">
            <v>25-PONDICHERRY</v>
          </cell>
        </row>
        <row r="90">
          <cell r="H90" t="str">
            <v>26-PUNJAB</v>
          </cell>
        </row>
        <row r="91">
          <cell r="H91" t="str">
            <v>27-RAJASTHAN</v>
          </cell>
        </row>
        <row r="92">
          <cell r="H92" t="str">
            <v>28-SIKKIM</v>
          </cell>
        </row>
        <row r="93">
          <cell r="H93" t="str">
            <v>29-TAMILNADU</v>
          </cell>
        </row>
        <row r="94">
          <cell r="H94" t="str">
            <v>30-TRIPURA</v>
          </cell>
        </row>
        <row r="95">
          <cell r="H95" t="str">
            <v>31-UTTAR PRADESH</v>
          </cell>
        </row>
        <row r="96">
          <cell r="H96" t="str">
            <v>32-WEST BENGAL</v>
          </cell>
        </row>
        <row r="97">
          <cell r="H97" t="str">
            <v>33-CHHATISHGARH</v>
          </cell>
        </row>
        <row r="98">
          <cell r="H98" t="str">
            <v>34-UTTARANCHAL</v>
          </cell>
        </row>
        <row r="99">
          <cell r="H99" t="str">
            <v>35-JHARKHAND</v>
          </cell>
        </row>
        <row r="100">
          <cell r="H100" t="str">
            <v>99-FOREIGN</v>
          </cell>
        </row>
      </sheetData>
      <sheetData sheetId="27" refreshError="1"/>
      <sheetData sheetId="28" refreshError="1"/>
      <sheetData sheetId="2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l"/>
      <sheetName val="vendor-icplall"/>
      <sheetName val="1011_GL_MAPPING(13.06.2007)"/>
      <sheetName val="FBT (2)"/>
      <sheetName val="Expenditure"/>
      <sheetName val="Investment"/>
      <sheetName val="QUERY"/>
      <sheetName val="GL Trial Focus"/>
      <sheetName val="Trial Focus"/>
      <sheetName val="Trial"/>
      <sheetName val="Trialsap"/>
      <sheetName val="C.TRIAL"/>
      <sheetName val="ICPL"/>
      <sheetName val="BS"/>
      <sheetName val="P&amp;L"/>
      <sheetName val="SCH"/>
      <sheetName val="3.Int Acc NSC"/>
      <sheetName val="Net Worth"/>
      <sheetName val="cash flow"/>
      <sheetName val="Advance Tax"/>
      <sheetName val="Tax"/>
      <sheetName val="Provision"/>
      <sheetName val="Segment"/>
      <sheetName val="FDR Int"/>
      <sheetName val="Sheet1"/>
      <sheetName val="fund "/>
      <sheetName val="FA"/>
      <sheetName val="Calculation of Depriciation"/>
      <sheetName val="prepaid expenses"/>
      <sheetName val="EPS"/>
      <sheetName val="intercompany_balances"/>
      <sheetName val="Share Trading Prof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VI printable)"/>
      <sheetName val="P &amp; L(VI Printable)"/>
      <sheetName val="SCH (VI printable)"/>
      <sheetName val="Cash Flow"/>
      <sheetName val="BS"/>
      <sheetName val="P&amp;L"/>
      <sheetName val="SCH"/>
      <sheetName val="14A"/>
      <sheetName val="FDR"/>
      <sheetName val="Advance Tax"/>
      <sheetName val="DETAIL"/>
      <sheetName val="Trailsap"/>
      <sheetName val="icapl"/>
      <sheetName val="Prov net off "/>
      <sheetName val="Provision"/>
      <sheetName val="Segment-Working"/>
      <sheetName val="Prov for Tax"/>
      <sheetName val="pgra"/>
      <sheetName val="Segment-Main"/>
      <sheetName val="EPS"/>
      <sheetName val="DT"/>
      <sheetName val="Net worth"/>
      <sheetName val="Related Par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cess"/>
      <sheetName val="Director Remuneration"/>
      <sheetName val="Copal"/>
      <sheetName val="TB - Focus"/>
      <sheetName val="To Tally"/>
      <sheetName val="TB - SAP"/>
      <sheetName val="Provisions"/>
      <sheetName val="Provision Working"/>
      <sheetName val="Summary"/>
      <sheetName val="Summary Dec-12"/>
      <sheetName val="Monthly P&amp;L"/>
      <sheetName val="Reports"/>
      <sheetName val="Other TBs"/>
      <sheetName val="Dividend Working"/>
      <sheetName val="Results_P"/>
      <sheetName val="Publish"/>
      <sheetName val="AC"/>
      <sheetName val="Results"/>
      <sheetName val="TB"/>
      <sheetName val="BS"/>
      <sheetName val="PL"/>
      <sheetName val="CFS"/>
      <sheetName val="CF-W"/>
      <sheetName val="Note-B"/>
      <sheetName val="Note-FA"/>
      <sheetName val="Note-P"/>
      <sheetName val="Note-2"/>
      <sheetName val="Clients"/>
      <sheetName val="Tax Prov."/>
      <sheetName val="ARCK"/>
      <sheetName val="DT"/>
      <sheetName val="C &amp; NC"/>
      <sheetName val="ITax"/>
      <sheetName val="Segment Old"/>
      <sheetName val="Seg Cur Qtr"/>
      <sheetName val="Segment YTD"/>
      <sheetName val="Seg Q2 YTD"/>
      <sheetName val="Seg Q2"/>
      <sheetName val="Seg Q1"/>
      <sheetName val="Note-1"/>
      <sheetName val="Vendor bal."/>
      <sheetName val="Segment"/>
      <sheetName val="EPS"/>
      <sheetName val="GNW"/>
      <sheetName val="Adv Tax"/>
      <sheetName val="DR"/>
      <sheetName val="Sheet1"/>
      <sheetName val="Cap Adv"/>
      <sheetName val="BSE MT"/>
      <sheetName val="NSE MTC"/>
      <sheetName val="SEBI"/>
      <sheetName val="Funds - AS"/>
      <sheetName val="Details"/>
      <sheetName val="14A"/>
      <sheetName val="Seg Q3"/>
      <sheetName val="Seg Q3 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2">
          <cell r="E2" t="str">
            <v>INDIABULLS SECURITIES LIMITED</v>
          </cell>
        </row>
      </sheetData>
      <sheetData sheetId="26">
        <row r="2">
          <cell r="B2" t="str">
            <v>Indiabulls Securities Limited</v>
          </cell>
        </row>
        <row r="119">
          <cell r="E119">
            <v>15264422</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ed Parties - BS"/>
      <sheetName val="Related Parties - PL"/>
      <sheetName val="Check List"/>
      <sheetName val="Director Remuneration"/>
      <sheetName val="Copal"/>
      <sheetName val="Provision Working"/>
      <sheetName val="Dividend Working"/>
      <sheetName val="CSR Expenses"/>
      <sheetName val="Task"/>
      <sheetName val="DR"/>
      <sheetName val="CDSL"/>
      <sheetName val="TB - SAP"/>
      <sheetName val="TB - Focus"/>
      <sheetName val="To Tally"/>
      <sheetName val="Results_Pub - New - 1"/>
      <sheetName val="Results - Previous Qtrs"/>
      <sheetName val="Elemination - working"/>
      <sheetName val="Provisions"/>
      <sheetName val="Qtr -AS"/>
      <sheetName val="Adv Tax"/>
      <sheetName val="Qtr-BS"/>
      <sheetName val="Vendor bal."/>
      <sheetName val="Results_Publish - New format"/>
      <sheetName val="Results"/>
      <sheetName val="Segment YTD"/>
      <sheetName val="Segment YTD - PL"/>
      <sheetName val="Index"/>
      <sheetName val="BS"/>
      <sheetName val="PL"/>
      <sheetName val="CFS"/>
      <sheetName val="Note-1"/>
      <sheetName val="Note-B"/>
      <sheetName val="Note-FA"/>
      <sheetName val="Note-P"/>
      <sheetName val="Note-2"/>
      <sheetName val="Tax Prov."/>
      <sheetName val="TB"/>
      <sheetName val="Clients"/>
      <sheetName val="ARCK"/>
      <sheetName val="Computation"/>
      <sheetName val="Other TBs"/>
      <sheetName val="DT"/>
      <sheetName val="CF-W"/>
      <sheetName val="EPS"/>
      <sheetName val="Div"/>
      <sheetName val="Buy Back"/>
      <sheetName val="Bad Debts SD Write Off"/>
      <sheetName val="Sheet4"/>
      <sheetName val="Projected"/>
      <sheetName val="Sheet3"/>
      <sheetName val="C &amp; NC"/>
      <sheetName val="Segment Old"/>
      <sheetName val="Segment"/>
      <sheetName val="PMS"/>
      <sheetName val="GNW"/>
      <sheetName val="NSDL"/>
      <sheetName val="NSE MT"/>
      <sheetName val="BSE MT"/>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row r="1">
          <cell r="A1" t="str">
            <v>G/L Account</v>
          </cell>
        </row>
      </sheetData>
      <sheetData sheetId="12">
        <row r="1">
          <cell r="A1" t="str">
            <v>ACC_CODE</v>
          </cell>
        </row>
        <row r="3">
          <cell r="A3" t="str">
            <v>GIPO</v>
          </cell>
        </row>
        <row r="4">
          <cell r="A4" t="str">
            <v>GA00B136</v>
          </cell>
        </row>
        <row r="5">
          <cell r="A5" t="str">
            <v>GA00B803</v>
          </cell>
        </row>
        <row r="6">
          <cell r="A6" t="str">
            <v>GA00B872</v>
          </cell>
        </row>
        <row r="7">
          <cell r="A7" t="str">
            <v>GA00B1548</v>
          </cell>
        </row>
        <row r="8">
          <cell r="A8" t="str">
            <v>GA00B19</v>
          </cell>
        </row>
        <row r="9">
          <cell r="A9" t="str">
            <v>GA00B75</v>
          </cell>
        </row>
        <row r="10">
          <cell r="A10" t="str">
            <v>GA00B608</v>
          </cell>
        </row>
        <row r="11">
          <cell r="A11" t="str">
            <v>GA00B3</v>
          </cell>
        </row>
        <row r="12">
          <cell r="A12" t="str">
            <v>GA00B39</v>
          </cell>
        </row>
        <row r="13">
          <cell r="A13" t="str">
            <v>GA00B104</v>
          </cell>
        </row>
        <row r="14">
          <cell r="A14" t="str">
            <v>GA00B294</v>
          </cell>
        </row>
        <row r="15">
          <cell r="A15" t="str">
            <v>GA00B186</v>
          </cell>
        </row>
        <row r="16">
          <cell r="A16" t="str">
            <v>GA00B185</v>
          </cell>
        </row>
        <row r="17">
          <cell r="A17" t="str">
            <v>GA00B211</v>
          </cell>
        </row>
        <row r="18">
          <cell r="A18" t="str">
            <v>GA00B15</v>
          </cell>
        </row>
        <row r="19">
          <cell r="A19" t="str">
            <v>GA00B130</v>
          </cell>
        </row>
        <row r="20">
          <cell r="A20" t="str">
            <v>GA00B561</v>
          </cell>
        </row>
        <row r="21">
          <cell r="A21" t="str">
            <v>GAOOB294</v>
          </cell>
        </row>
        <row r="22">
          <cell r="A22" t="str">
            <v>GA00B164</v>
          </cell>
        </row>
        <row r="23">
          <cell r="A23" t="str">
            <v>GA00B850</v>
          </cell>
        </row>
        <row r="24">
          <cell r="A24" t="str">
            <v>GA00B801</v>
          </cell>
        </row>
        <row r="25">
          <cell r="A25" t="str">
            <v>GA00B628</v>
          </cell>
        </row>
        <row r="26">
          <cell r="A26" t="str">
            <v>GA00B855</v>
          </cell>
        </row>
        <row r="27">
          <cell r="A27" t="str">
            <v>GA00B856</v>
          </cell>
        </row>
        <row r="28">
          <cell r="A28" t="str">
            <v>GA00B03</v>
          </cell>
        </row>
        <row r="29">
          <cell r="A29" t="str">
            <v>GL1019</v>
          </cell>
        </row>
        <row r="30">
          <cell r="A30" t="str">
            <v>GA0B3</v>
          </cell>
        </row>
        <row r="31">
          <cell r="A31" t="str">
            <v>GA00B82</v>
          </cell>
        </row>
        <row r="32">
          <cell r="A32" t="str">
            <v>GA00B740</v>
          </cell>
        </row>
        <row r="33">
          <cell r="A33" t="str">
            <v>GA00B625</v>
          </cell>
        </row>
        <row r="34">
          <cell r="A34" t="str">
            <v>GA00B800</v>
          </cell>
        </row>
        <row r="35">
          <cell r="A35" t="str">
            <v>GA0B5</v>
          </cell>
        </row>
        <row r="36">
          <cell r="A36" t="str">
            <v>GA00B860</v>
          </cell>
        </row>
        <row r="37">
          <cell r="A37" t="str">
            <v>GA00B802</v>
          </cell>
        </row>
        <row r="38">
          <cell r="A38" t="str">
            <v>GA00B7</v>
          </cell>
        </row>
        <row r="39">
          <cell r="A39" t="str">
            <v>GA00B5</v>
          </cell>
        </row>
        <row r="40">
          <cell r="A40" t="str">
            <v>GA00B254</v>
          </cell>
        </row>
        <row r="41">
          <cell r="A41" t="str">
            <v>GA00B73</v>
          </cell>
        </row>
        <row r="42">
          <cell r="A42" t="str">
            <v>GA00B507</v>
          </cell>
        </row>
        <row r="43">
          <cell r="A43" t="str">
            <v>GA00B77</v>
          </cell>
        </row>
        <row r="44">
          <cell r="A44" t="str">
            <v>GA00B590</v>
          </cell>
        </row>
        <row r="45">
          <cell r="A45" t="str">
            <v>GA00B131</v>
          </cell>
        </row>
        <row r="46">
          <cell r="A46" t="str">
            <v>GA00B626</v>
          </cell>
        </row>
        <row r="47">
          <cell r="A47" t="str">
            <v>GA00B146</v>
          </cell>
        </row>
        <row r="48">
          <cell r="A48" t="str">
            <v>GA00B250</v>
          </cell>
        </row>
        <row r="49">
          <cell r="A49" t="str">
            <v>GA00B71</v>
          </cell>
        </row>
        <row r="50">
          <cell r="A50" t="str">
            <v>GA00B857</v>
          </cell>
        </row>
        <row r="51">
          <cell r="A51" t="str">
            <v>GA00B183</v>
          </cell>
        </row>
        <row r="52">
          <cell r="A52" t="str">
            <v>GA00B191</v>
          </cell>
        </row>
        <row r="53">
          <cell r="A53" t="str">
            <v>GA00B603</v>
          </cell>
        </row>
        <row r="54">
          <cell r="A54" t="str">
            <v>GA00B11</v>
          </cell>
        </row>
        <row r="55">
          <cell r="A55" t="str">
            <v>GA00B610</v>
          </cell>
        </row>
        <row r="56">
          <cell r="A56" t="str">
            <v>GA00B550</v>
          </cell>
        </row>
        <row r="57">
          <cell r="A57" t="str">
            <v>GA00B1</v>
          </cell>
        </row>
        <row r="58">
          <cell r="A58" t="str">
            <v>GA00B605</v>
          </cell>
        </row>
        <row r="59">
          <cell r="A59" t="str">
            <v>GA00B852</v>
          </cell>
        </row>
        <row r="60">
          <cell r="A60" t="str">
            <v>GA00B81</v>
          </cell>
        </row>
        <row r="61">
          <cell r="A61" t="str">
            <v>GA00B125</v>
          </cell>
        </row>
        <row r="62">
          <cell r="A62" t="str">
            <v>GA00B126</v>
          </cell>
        </row>
        <row r="63">
          <cell r="A63" t="str">
            <v>GADVCDP</v>
          </cell>
        </row>
        <row r="64">
          <cell r="A64" t="str">
            <v>GADVC</v>
          </cell>
        </row>
        <row r="65">
          <cell r="A65" t="str">
            <v>GA05090</v>
          </cell>
        </row>
        <row r="66">
          <cell r="A66" t="str">
            <v>GI01001</v>
          </cell>
        </row>
        <row r="67">
          <cell r="A67" t="str">
            <v>GA0B1</v>
          </cell>
        </row>
        <row r="68">
          <cell r="A68" t="str">
            <v>GA05050</v>
          </cell>
        </row>
        <row r="69">
          <cell r="A69" t="str">
            <v>GNABCSLB</v>
          </cell>
        </row>
        <row r="70">
          <cell r="A70" t="str">
            <v>GBCTGF</v>
          </cell>
        </row>
        <row r="71">
          <cell r="A71" t="str">
            <v>GBCDEP</v>
          </cell>
        </row>
        <row r="72">
          <cell r="A72" t="str">
            <v>GL01220</v>
          </cell>
        </row>
        <row r="73">
          <cell r="A73" t="str">
            <v>GBDEP</v>
          </cell>
        </row>
        <row r="74">
          <cell r="A74" t="str">
            <v>GDBSLBS</v>
          </cell>
        </row>
        <row r="75">
          <cell r="A75" t="str">
            <v>GSNCD</v>
          </cell>
        </row>
        <row r="76">
          <cell r="A76" t="str">
            <v>GA0035</v>
          </cell>
        </row>
        <row r="77">
          <cell r="A77" t="str">
            <v>GA0036</v>
          </cell>
        </row>
        <row r="78">
          <cell r="A78" t="str">
            <v>GA0072</v>
          </cell>
        </row>
        <row r="79">
          <cell r="A79" t="str">
            <v>GL01006</v>
          </cell>
        </row>
        <row r="80">
          <cell r="A80" t="str">
            <v>GA0442</v>
          </cell>
        </row>
        <row r="81">
          <cell r="A81" t="str">
            <v>GAMCX</v>
          </cell>
        </row>
        <row r="82">
          <cell r="A82" t="str">
            <v>GA0120</v>
          </cell>
        </row>
        <row r="83">
          <cell r="A83" t="str">
            <v>GSNSC</v>
          </cell>
        </row>
        <row r="84">
          <cell r="A84" t="str">
            <v>GANSDL</v>
          </cell>
        </row>
        <row r="85">
          <cell r="A85" t="str">
            <v>GANSE</v>
          </cell>
        </row>
        <row r="86">
          <cell r="A86" t="str">
            <v>GE0039</v>
          </cell>
        </row>
        <row r="87">
          <cell r="A87" t="str">
            <v>GBSVD</v>
          </cell>
        </row>
        <row r="88">
          <cell r="A88" t="str">
            <v>GNSEL</v>
          </cell>
        </row>
        <row r="89">
          <cell r="A89" t="str">
            <v>GADPR</v>
          </cell>
        </row>
        <row r="90">
          <cell r="A90" t="str">
            <v>GNSCCL</v>
          </cell>
        </row>
        <row r="91">
          <cell r="A91" t="str">
            <v>GBSEL</v>
          </cell>
        </row>
        <row r="92">
          <cell r="A92" t="str">
            <v>GNAST</v>
          </cell>
        </row>
        <row r="93">
          <cell r="A93" t="str">
            <v>GSBSE</v>
          </cell>
        </row>
        <row r="94">
          <cell r="A94" t="str">
            <v>GFDR</v>
          </cell>
        </row>
        <row r="95">
          <cell r="A95" t="str">
            <v>GA101</v>
          </cell>
        </row>
        <row r="96">
          <cell r="A96" t="str">
            <v>GA103</v>
          </cell>
        </row>
        <row r="97">
          <cell r="A97" t="str">
            <v>GA104</v>
          </cell>
        </row>
        <row r="98">
          <cell r="A98" t="str">
            <v>GA105</v>
          </cell>
        </row>
        <row r="99">
          <cell r="A99" t="str">
            <v>GA106</v>
          </cell>
        </row>
        <row r="100">
          <cell r="A100" t="str">
            <v>GA092</v>
          </cell>
        </row>
        <row r="101">
          <cell r="A101" t="str">
            <v>GA097</v>
          </cell>
        </row>
        <row r="102">
          <cell r="A102" t="str">
            <v>GA100</v>
          </cell>
        </row>
        <row r="103">
          <cell r="A103" t="str">
            <v>GFDTD0708</v>
          </cell>
        </row>
        <row r="104">
          <cell r="A104" t="str">
            <v>GCON</v>
          </cell>
        </row>
        <row r="105">
          <cell r="A105" t="str">
            <v>GERROR</v>
          </cell>
        </row>
        <row r="106">
          <cell r="A106" t="str">
            <v>GE0056</v>
          </cell>
        </row>
        <row r="107">
          <cell r="A107" t="str">
            <v>GBADR</v>
          </cell>
        </row>
        <row r="108">
          <cell r="A108" t="str">
            <v>GNSE</v>
          </cell>
        </row>
        <row r="109">
          <cell r="A109" t="str">
            <v>GNSEP</v>
          </cell>
        </row>
        <row r="110">
          <cell r="A110" t="str">
            <v>GASE</v>
          </cell>
        </row>
        <row r="111">
          <cell r="A111" t="str">
            <v>GOFFI</v>
          </cell>
        </row>
        <row r="112">
          <cell r="A112" t="str">
            <v>GRATE</v>
          </cell>
        </row>
        <row r="113">
          <cell r="A113" t="str">
            <v>GBANK</v>
          </cell>
        </row>
        <row r="114">
          <cell r="A114" t="str">
            <v>GE0015</v>
          </cell>
        </row>
        <row r="115">
          <cell r="A115" t="str">
            <v>GE01114</v>
          </cell>
        </row>
        <row r="116">
          <cell r="A116" t="str">
            <v>GBOTHERP</v>
          </cell>
        </row>
        <row r="117">
          <cell r="A117" t="str">
            <v>GAOC</v>
          </cell>
        </row>
        <row r="118">
          <cell r="A118" t="str">
            <v>GIADV</v>
          </cell>
        </row>
        <row r="119">
          <cell r="A119" t="str">
            <v>GDIVPR</v>
          </cell>
        </row>
        <row r="120">
          <cell r="A120" t="str">
            <v>GBROKS</v>
          </cell>
        </row>
        <row r="121">
          <cell r="A121" t="str">
            <v>GCBROK</v>
          </cell>
        </row>
        <row r="122">
          <cell r="A122" t="str">
            <v>GBROK</v>
          </cell>
        </row>
        <row r="123">
          <cell r="A123" t="str">
            <v>GBBROK</v>
          </cell>
        </row>
        <row r="124">
          <cell r="A124" t="str">
            <v>GFBROK</v>
          </cell>
        </row>
        <row r="125">
          <cell r="A125" t="str">
            <v>GIDP</v>
          </cell>
        </row>
        <row r="126">
          <cell r="A126" t="str">
            <v>GIDELAY</v>
          </cell>
        </row>
        <row r="127">
          <cell r="A127" t="str">
            <v>GIFO</v>
          </cell>
        </row>
        <row r="128">
          <cell r="A128" t="str">
            <v>GINTDP</v>
          </cell>
        </row>
        <row r="129">
          <cell r="A129" t="str">
            <v>GINT</v>
          </cell>
        </row>
        <row r="130">
          <cell r="A130" t="str">
            <v>GSEB</v>
          </cell>
        </row>
        <row r="131">
          <cell r="A131" t="str">
            <v>GL010021</v>
          </cell>
        </row>
        <row r="132">
          <cell r="A132" t="str">
            <v>GTRANS1</v>
          </cell>
        </row>
        <row r="133">
          <cell r="A133" t="str">
            <v>GTRXNCG1</v>
          </cell>
        </row>
        <row r="134">
          <cell r="A134" t="str">
            <v>GBTRANS1</v>
          </cell>
        </row>
        <row r="135">
          <cell r="A135" t="str">
            <v>GCTRANS1</v>
          </cell>
        </row>
        <row r="136">
          <cell r="A136" t="str">
            <v>GFTRANS1</v>
          </cell>
        </row>
        <row r="137">
          <cell r="A137" t="str">
            <v>GL01002</v>
          </cell>
        </row>
        <row r="138">
          <cell r="A138" t="str">
            <v>GTRANS</v>
          </cell>
        </row>
        <row r="139">
          <cell r="A139" t="str">
            <v>GTRXNCG</v>
          </cell>
        </row>
        <row r="140">
          <cell r="A140" t="str">
            <v>GBTRANS</v>
          </cell>
        </row>
        <row r="141">
          <cell r="A141" t="str">
            <v>GCTRANS</v>
          </cell>
        </row>
        <row r="142">
          <cell r="A142" t="str">
            <v>GFTRANS</v>
          </cell>
        </row>
        <row r="143">
          <cell r="A143" t="str">
            <v>GTRAN</v>
          </cell>
        </row>
        <row r="144">
          <cell r="A144" t="str">
            <v>GSDTX</v>
          </cell>
        </row>
        <row r="145">
          <cell r="A145" t="str">
            <v>GSDT</v>
          </cell>
        </row>
        <row r="146">
          <cell r="A146" t="str">
            <v>GBWB</v>
          </cell>
        </row>
        <row r="147">
          <cell r="A147" t="str">
            <v>GIPOC</v>
          </cell>
        </row>
        <row r="148">
          <cell r="A148" t="str">
            <v>GIMICS</v>
          </cell>
        </row>
        <row r="149">
          <cell r="A149" t="str">
            <v>GMII</v>
          </cell>
        </row>
        <row r="150">
          <cell r="A150" t="str">
            <v>GI01010</v>
          </cell>
        </row>
        <row r="151">
          <cell r="A151" t="str">
            <v>IMC</v>
          </cell>
        </row>
        <row r="152">
          <cell r="A152" t="str">
            <v>GINTCUST</v>
          </cell>
        </row>
        <row r="153">
          <cell r="A153" t="str">
            <v>GADCM</v>
          </cell>
        </row>
        <row r="154">
          <cell r="A154" t="str">
            <v>GA0383</v>
          </cell>
        </row>
        <row r="155">
          <cell r="A155" t="str">
            <v>GI04002</v>
          </cell>
        </row>
        <row r="156">
          <cell r="A156" t="str">
            <v>GI04003</v>
          </cell>
        </row>
        <row r="157">
          <cell r="A157" t="str">
            <v>GI04006</v>
          </cell>
        </row>
        <row r="158">
          <cell r="A158" t="str">
            <v>GLCP01</v>
          </cell>
        </row>
        <row r="159">
          <cell r="A159" t="str">
            <v>GCDP</v>
          </cell>
        </row>
        <row r="160">
          <cell r="A160" t="str">
            <v>GL01050</v>
          </cell>
        </row>
        <row r="161">
          <cell r="A161" t="str">
            <v>GLS003</v>
          </cell>
        </row>
        <row r="162">
          <cell r="A162" t="str">
            <v>GA0011</v>
          </cell>
        </row>
        <row r="163">
          <cell r="A163" t="str">
            <v>GLIPO</v>
          </cell>
        </row>
        <row r="164">
          <cell r="A164" t="str">
            <v>GSTAXMP</v>
          </cell>
        </row>
        <row r="165">
          <cell r="A165" t="str">
            <v>GRSTAX</v>
          </cell>
        </row>
        <row r="166">
          <cell r="A166" t="str">
            <v>GL01001</v>
          </cell>
        </row>
        <row r="167">
          <cell r="A167" t="str">
            <v>GSTRC</v>
          </cell>
        </row>
        <row r="168">
          <cell r="A168" t="str">
            <v>GL00121</v>
          </cell>
        </row>
        <row r="169">
          <cell r="A169" t="str">
            <v>GL00122</v>
          </cell>
        </row>
        <row r="170">
          <cell r="A170" t="str">
            <v>GNSBC</v>
          </cell>
        </row>
        <row r="171">
          <cell r="A171" t="str">
            <v>GL01025</v>
          </cell>
        </row>
        <row r="172">
          <cell r="A172" t="str">
            <v>GA00B41</v>
          </cell>
        </row>
      </sheetData>
      <sheetData sheetId="13"/>
      <sheetData sheetId="14"/>
      <sheetData sheetId="15"/>
      <sheetData sheetId="16"/>
      <sheetData sheetId="17">
        <row r="2">
          <cell r="E2">
            <v>31</v>
          </cell>
        </row>
      </sheetData>
      <sheetData sheetId="18"/>
      <sheetData sheetId="19"/>
      <sheetData sheetId="20"/>
      <sheetData sheetId="21"/>
      <sheetData sheetId="22"/>
      <sheetData sheetId="23"/>
      <sheetData sheetId="24"/>
      <sheetData sheetId="25"/>
      <sheetData sheetId="26">
        <row r="4">
          <cell r="C4" t="str">
            <v>Indiabulls Ventures Limited</v>
          </cell>
          <cell r="D4" t="str">
            <v>(formerly known as Indiabulls Securities Limited)</v>
          </cell>
        </row>
        <row r="11">
          <cell r="D11">
            <v>42094</v>
          </cell>
        </row>
        <row r="26">
          <cell r="C26" t="str">
            <v xml:space="preserve">For the year ended </v>
          </cell>
          <cell r="D26" t="str">
            <v xml:space="preserve">For the year ended </v>
          </cell>
        </row>
      </sheetData>
      <sheetData sheetId="27">
        <row r="13">
          <cell r="H13">
            <v>585739084</v>
          </cell>
        </row>
      </sheetData>
      <sheetData sheetId="28">
        <row r="18">
          <cell r="I18">
            <v>25677731</v>
          </cell>
        </row>
      </sheetData>
      <sheetData sheetId="29"/>
      <sheetData sheetId="30"/>
      <sheetData sheetId="31">
        <row r="308">
          <cell r="G308">
            <v>500000</v>
          </cell>
        </row>
      </sheetData>
      <sheetData sheetId="32"/>
      <sheetData sheetId="33">
        <row r="38">
          <cell r="F38">
            <v>249934791</v>
          </cell>
        </row>
      </sheetData>
      <sheetData sheetId="34"/>
      <sheetData sheetId="35"/>
      <sheetData sheetId="36">
        <row r="1">
          <cell r="F1" t="str">
            <v>Check Balance Sheet Difference</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_trfr_sheet"/>
      <sheetName val="VALIDATION_LIST"/>
      <sheetName val="vlookup_co_name_code"/>
      <sheetName val="Fax_Indemnity_done"/>
      <sheetName val="OTHER_THAN_HDFCBANK"/>
      <sheetName val="Sheet1"/>
      <sheetName val="Sheet4"/>
      <sheetName val="manoj"/>
      <sheetName val="P&amp;L,BS"/>
      <sheetName val="Other notes"/>
      <sheetName val="Account_NO_Co_code"/>
      <sheetName val="segment_topsheet"/>
      <sheetName val="UNIT-II"/>
      <sheetName val="trial_HO"/>
      <sheetName val="QFC"/>
      <sheetName val="ASSUM"/>
      <sheetName val="Detail"/>
      <sheetName val="beam-reinft"/>
      <sheetName val="Sheet3"/>
      <sheetName val="letter"/>
      <sheetName val="BANK TRANSFER"/>
      <sheetName val="OD"/>
      <sheetName val="RECEIPT"/>
      <sheetName val="Advisory"/>
      <sheetName val="Sales Summary"/>
      <sheetName val="SGL IN"/>
      <sheetName val="S &amp; A"/>
      <sheetName val="Main"/>
      <sheetName val="Control"/>
    </sheetNames>
    <sheetDataSet>
      <sheetData sheetId="0" refreshError="1"/>
      <sheetData sheetId="1"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0600340035040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0600340035949</v>
          </cell>
        </row>
        <row r="231">
          <cell r="A231" t="str">
            <v>0600340035983</v>
          </cell>
        </row>
        <row r="232">
          <cell r="A232" t="str">
            <v>0600340035990</v>
          </cell>
        </row>
        <row r="238">
          <cell r="A238" t="str">
            <v>0600350000885</v>
          </cell>
        </row>
        <row r="239">
          <cell r="A239" t="str">
            <v>0600350001722</v>
          </cell>
        </row>
        <row r="240">
          <cell r="A240" t="str">
            <v>0600350002050</v>
          </cell>
        </row>
        <row r="241">
          <cell r="A241" t="str">
            <v>0600350008477</v>
          </cell>
        </row>
        <row r="242">
          <cell r="A242" t="str">
            <v>0600350013370</v>
          </cell>
        </row>
        <row r="243">
          <cell r="A243" t="str">
            <v>0600350020182</v>
          </cell>
        </row>
        <row r="244">
          <cell r="A244" t="str">
            <v>0600350025564</v>
          </cell>
        </row>
        <row r="245">
          <cell r="A245" t="str">
            <v>0608510000061</v>
          </cell>
        </row>
        <row r="246">
          <cell r="A246" t="str">
            <v>5422000008892</v>
          </cell>
        </row>
        <row r="247">
          <cell r="A247" t="str">
            <v>5982300000050</v>
          </cell>
        </row>
        <row r="248">
          <cell r="A248" t="str">
            <v>5988510000024</v>
          </cell>
        </row>
        <row r="249">
          <cell r="A249" t="str">
            <v>317901011012015</v>
          </cell>
        </row>
        <row r="252">
          <cell r="A252" t="str">
            <v>MF-REDEMPTION</v>
          </cell>
        </row>
        <row r="253">
          <cell r="A253" t="str">
            <v>MF-INVESTMENT</v>
          </cell>
        </row>
        <row r="254">
          <cell r="A254" t="str">
            <v>ICD GIVEN</v>
          </cell>
        </row>
        <row r="255">
          <cell r="A255" t="str">
            <v>ICD RETURN</v>
          </cell>
        </row>
        <row r="256">
          <cell r="A256" t="str">
            <v>OTHER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Breakup "/>
      <sheetName val="submission to SE (final) "/>
      <sheetName val="DP Trial"/>
      <sheetName val="IPO_Trial"/>
      <sheetName val="Focus_Trial"/>
      <sheetName val="Info"/>
      <sheetName val="Process"/>
      <sheetName val="SAP TRIAL"/>
      <sheetName val="ISL Trial"/>
      <sheetName val="Provision Working"/>
      <sheetName val="Trial"/>
      <sheetName val="Provisions"/>
      <sheetName val="Reports"/>
      <sheetName val="Daily P&amp;L"/>
      <sheetName val="ISL_Borrowings"/>
      <sheetName val="Intt."/>
      <sheetName val="NSE MARGING FUNDING"/>
      <sheetName val="BSE MARGIN FUNDING"/>
      <sheetName val="NET WORTH NSE"/>
      <sheetName val="NET WORTH BSE"/>
      <sheetName val="General NW"/>
      <sheetName val="CDSL"/>
      <sheetName val="NSDL"/>
      <sheetName val="results final"/>
      <sheetName val="Arbitrage"/>
      <sheetName val="BS"/>
      <sheetName val="PL"/>
      <sheetName val="Sch"/>
      <sheetName val="CFS"/>
      <sheetName val="FA"/>
      <sheetName val="Monthly"/>
      <sheetName val="To Tally"/>
      <sheetName val="ARCK&amp;CL"/>
      <sheetName val="SEBI T.O. Fees"/>
      <sheetName val="Adv. Tax vs Pr. Tax"/>
      <sheetName val="CFW"/>
      <sheetName val="Debtors"/>
      <sheetName val="DT"/>
      <sheetName val="Dividend working"/>
      <sheetName val="Sheet2"/>
      <sheetName val="Adv Tax"/>
      <sheetName val="Tax Prov."/>
      <sheetName val="EPS"/>
      <sheetName val="Segment-Working"/>
      <sheetName val="Segment-Main"/>
      <sheetName val="Results_working"/>
      <sheetName val="submission to SE _Annual"/>
      <sheetName val="Publish _Annual"/>
      <sheetName val="SOA"/>
      <sheetName val="I&amp;E"/>
      <sheetName val="R&amp;P"/>
      <sheetName val="Notes"/>
      <sheetName val="Bank"/>
      <sheetName val="ICFL"/>
      <sheetName val=" ICD taken"/>
      <sheetName val="Bank Recon"/>
      <sheetName val="NOTES."/>
      <sheetName val="Details"/>
      <sheetName val="Sheet1"/>
    </sheetNames>
    <sheetDataSet>
      <sheetData sheetId="0"/>
      <sheetData sheetId="1"/>
      <sheetData sheetId="2"/>
      <sheetData sheetId="3"/>
      <sheetData sheetId="4"/>
      <sheetData sheetId="5"/>
      <sheetData sheetId="6"/>
      <sheetData sheetId="7"/>
      <sheetData sheetId="8" refreshError="1">
        <row r="1">
          <cell r="C1">
            <v>40155</v>
          </cell>
          <cell r="G1">
            <v>40155</v>
          </cell>
          <cell r="H1">
            <v>40155</v>
          </cell>
          <cell r="J1">
            <v>40155</v>
          </cell>
          <cell r="K1">
            <v>40155</v>
          </cell>
        </row>
        <row r="2">
          <cell r="C2" t="str">
            <v>BAL</v>
          </cell>
          <cell r="G2" t="str">
            <v>SAP</v>
          </cell>
          <cell r="K2" t="str">
            <v>Amount</v>
          </cell>
        </row>
        <row r="3">
          <cell r="E3" t="str">
            <v>SHARE CAPITAL- EQ SHARE</v>
          </cell>
        </row>
        <row r="4">
          <cell r="C4">
            <v>10100015</v>
          </cell>
          <cell r="E4" t="str">
            <v>Equity Share Capital Face Value Rs.2</v>
          </cell>
          <cell r="F4" t="str">
            <v>CEQ</v>
          </cell>
          <cell r="G4">
            <v>-506839436</v>
          </cell>
          <cell r="K4">
            <v>-506839436</v>
          </cell>
        </row>
        <row r="6">
          <cell r="E6" t="str">
            <v>SHARE CAPITAL- PREF SHARE</v>
          </cell>
        </row>
        <row r="7">
          <cell r="C7">
            <v>10100016</v>
          </cell>
          <cell r="E7" t="str">
            <v>10% Redeemable,Non-Conver.Pref. Shares F.V Rs.4.61</v>
          </cell>
          <cell r="F7" t="str">
            <v>CPREF</v>
          </cell>
          <cell r="G7">
            <v>0</v>
          </cell>
          <cell r="K7">
            <v>0</v>
          </cell>
        </row>
        <row r="9">
          <cell r="E9" t="str">
            <v>RESERVES &amp; SURPLUS - CAPITAL REDEMPTION RESERVE</v>
          </cell>
        </row>
        <row r="10">
          <cell r="C10">
            <v>11000001</v>
          </cell>
          <cell r="D10" t="str">
            <v>GCRR</v>
          </cell>
          <cell r="E10" t="str">
            <v>Capital Redemption Reserve</v>
          </cell>
          <cell r="F10" t="str">
            <v>CRR</v>
          </cell>
          <cell r="G10">
            <v>-313078044</v>
          </cell>
          <cell r="K10">
            <v>-313078044</v>
          </cell>
        </row>
        <row r="11">
          <cell r="C11">
            <v>11000000</v>
          </cell>
          <cell r="E11" t="str">
            <v>Capital  Reserve</v>
          </cell>
          <cell r="F11" t="str">
            <v>CR</v>
          </cell>
          <cell r="G11">
            <v>0</v>
          </cell>
          <cell r="K11">
            <v>0</v>
          </cell>
        </row>
        <row r="13">
          <cell r="E13" t="str">
            <v>RESERVES &amp; SURPLUS - SECURITIES PREMIUM A/C</v>
          </cell>
        </row>
        <row r="14">
          <cell r="C14">
            <v>11100000</v>
          </cell>
          <cell r="D14" t="str">
            <v>GL0047</v>
          </cell>
          <cell r="E14" t="str">
            <v>Share Premium Account</v>
          </cell>
          <cell r="F14" t="str">
            <v>PREM</v>
          </cell>
          <cell r="G14">
            <v>-40000</v>
          </cell>
          <cell r="K14">
            <v>-40000</v>
          </cell>
        </row>
        <row r="16">
          <cell r="E16" t="str">
            <v>RESERVES &amp; SURPLUS - GENERAL RESERVE</v>
          </cell>
        </row>
        <row r="17">
          <cell r="C17">
            <v>11400000</v>
          </cell>
          <cell r="D17" t="str">
            <v>GA1111</v>
          </cell>
          <cell r="E17" t="str">
            <v>General Reserve</v>
          </cell>
          <cell r="F17" t="str">
            <v>RGRES</v>
          </cell>
          <cell r="G17">
            <v>-498822915.37</v>
          </cell>
          <cell r="K17">
            <v>-498822915.37</v>
          </cell>
        </row>
        <row r="19">
          <cell r="E19" t="str">
            <v>RESERVES &amp; SURPLUS - P&amp;L A/C</v>
          </cell>
        </row>
        <row r="20">
          <cell r="C20">
            <v>11600000</v>
          </cell>
          <cell r="D20" t="str">
            <v>GA00B41</v>
          </cell>
          <cell r="E20" t="str">
            <v>Balance in Profit &amp; Loss Account</v>
          </cell>
          <cell r="F20" t="str">
            <v>RPLAC</v>
          </cell>
          <cell r="G20">
            <v>-2264232636.3000002</v>
          </cell>
          <cell r="K20">
            <v>-2264232636.3000002</v>
          </cell>
        </row>
        <row r="21">
          <cell r="C21">
            <v>11610000</v>
          </cell>
          <cell r="E21" t="str">
            <v>Unappropriated Retained Earnings Prev yr</v>
          </cell>
          <cell r="F21" t="str">
            <v>RPLAC</v>
          </cell>
          <cell r="G21">
            <v>716102214.64999998</v>
          </cell>
          <cell r="K21">
            <v>716102214.64999998</v>
          </cell>
        </row>
        <row r="23">
          <cell r="E23" t="str">
            <v>SECURED LOAN - VEHICLE</v>
          </cell>
        </row>
        <row r="24">
          <cell r="C24">
            <v>12140132</v>
          </cell>
          <cell r="E24" t="str">
            <v>AUTO LOAN MERCEDES-Sclass  RAJIV RATTAN</v>
          </cell>
          <cell r="F24" t="str">
            <v>SLBANKVL</v>
          </cell>
          <cell r="G24">
            <v>-1528331</v>
          </cell>
          <cell r="K24">
            <v>-1528331</v>
          </cell>
        </row>
        <row r="25">
          <cell r="C25">
            <v>12140147</v>
          </cell>
          <cell r="E25" t="str">
            <v>AUTO LOAN MERCEDES -C GURBANS SINGH</v>
          </cell>
          <cell r="F25" t="str">
            <v>SLBANKVL</v>
          </cell>
          <cell r="G25">
            <v>-1033266</v>
          </cell>
          <cell r="K25">
            <v>-1033266</v>
          </cell>
        </row>
        <row r="26">
          <cell r="C26">
            <v>12140115</v>
          </cell>
          <cell r="D26" t="str">
            <v>GLO99</v>
          </cell>
          <cell r="E26" t="str">
            <v>AUTO LOAN MERCEDES NEW DIVYESH SHAH</v>
          </cell>
          <cell r="F26" t="str">
            <v>SLBANKVL</v>
          </cell>
          <cell r="G26">
            <v>-221463</v>
          </cell>
          <cell r="K26">
            <v>-221463</v>
          </cell>
        </row>
        <row r="27">
          <cell r="C27">
            <v>12140124</v>
          </cell>
          <cell r="E27" t="str">
            <v>AUTO LOAN MERCEDES C TEJINDERPAL SINGH MIGLANI</v>
          </cell>
          <cell r="F27" t="str">
            <v>SLBANKVL</v>
          </cell>
          <cell r="G27">
            <v>-405304</v>
          </cell>
          <cell r="K27">
            <v>-405304</v>
          </cell>
        </row>
        <row r="28">
          <cell r="C28">
            <v>12140004</v>
          </cell>
          <cell r="D28" t="str">
            <v>GHDFM</v>
          </cell>
          <cell r="E28" t="str">
            <v>Auto Loan Mercedez Rajeev Rattan</v>
          </cell>
          <cell r="F28" t="str">
            <v>SLBANKVL</v>
          </cell>
          <cell r="G28">
            <v>-380149</v>
          </cell>
          <cell r="K28">
            <v>-380149</v>
          </cell>
        </row>
        <row r="29">
          <cell r="C29">
            <v>12140010</v>
          </cell>
          <cell r="D29" t="str">
            <v>GICIME</v>
          </cell>
          <cell r="E29" t="str">
            <v>Auto Loan Mercedez Divyesh Shah</v>
          </cell>
          <cell r="F29" t="str">
            <v>SLBANKVL</v>
          </cell>
          <cell r="G29">
            <v>-392808</v>
          </cell>
          <cell r="K29">
            <v>-392808</v>
          </cell>
        </row>
        <row r="30">
          <cell r="C30">
            <v>12140144</v>
          </cell>
          <cell r="E30" t="str">
            <v>AUTO LOAN HONDA CIVIC ANURAG OHRI</v>
          </cell>
          <cell r="F30" t="str">
            <v>SLBANKVL</v>
          </cell>
          <cell r="G30">
            <v>-435270</v>
          </cell>
          <cell r="K30">
            <v>-435270</v>
          </cell>
        </row>
        <row r="31">
          <cell r="C31">
            <v>12140139</v>
          </cell>
          <cell r="E31" t="str">
            <v>AUTO LOAN HONDA CIVIC RITESH BHARGAVA</v>
          </cell>
          <cell r="F31" t="str">
            <v>SLBANKVL</v>
          </cell>
          <cell r="G31">
            <v>-348890</v>
          </cell>
          <cell r="K31">
            <v>-348890</v>
          </cell>
        </row>
        <row r="32">
          <cell r="C32">
            <v>12140131</v>
          </cell>
          <cell r="E32" t="str">
            <v>AUTO LOAN HONDA CIVIC MANOJ SRIVASTAVA/HEEMANSU KA</v>
          </cell>
          <cell r="F32" t="str">
            <v>SLBANKVL</v>
          </cell>
          <cell r="G32">
            <v>-275681</v>
          </cell>
          <cell r="K32">
            <v>-275681</v>
          </cell>
        </row>
        <row r="33">
          <cell r="C33">
            <v>12130003</v>
          </cell>
          <cell r="E33" t="str">
            <v>AUTO LOAN HONDA CIVIC VIKAS SAXENA</v>
          </cell>
          <cell r="F33" t="str">
            <v>SLBANKVL</v>
          </cell>
          <cell r="G33">
            <v>-209887</v>
          </cell>
          <cell r="K33">
            <v>-209887</v>
          </cell>
        </row>
        <row r="34">
          <cell r="C34">
            <v>12140143</v>
          </cell>
          <cell r="E34" t="str">
            <v>AUTO LOAN HONDA CITY KUNAL NAGPAL</v>
          </cell>
          <cell r="F34" t="str">
            <v>SLBANKVL</v>
          </cell>
          <cell r="G34">
            <v>-272889</v>
          </cell>
          <cell r="K34">
            <v>-272889</v>
          </cell>
        </row>
        <row r="35">
          <cell r="C35">
            <v>12140146</v>
          </cell>
          <cell r="E35" t="str">
            <v>AUTO LOAN HONDA CITY TEJINDERPAL SINGH MIGLANI</v>
          </cell>
          <cell r="F35" t="str">
            <v>SLBANKVL</v>
          </cell>
          <cell r="G35">
            <v>-271476</v>
          </cell>
          <cell r="K35">
            <v>-271476</v>
          </cell>
        </row>
        <row r="36">
          <cell r="C36">
            <v>12140138</v>
          </cell>
          <cell r="E36" t="str">
            <v>AUTO LOAN HONDA CITY VIKAS SACHDEVA</v>
          </cell>
          <cell r="F36" t="str">
            <v>SLBANKVL</v>
          </cell>
          <cell r="G36">
            <v>-256307</v>
          </cell>
          <cell r="K36">
            <v>-256307</v>
          </cell>
        </row>
        <row r="37">
          <cell r="C37">
            <v>12140136</v>
          </cell>
          <cell r="E37" t="str">
            <v>AUTO LOAN HONDA CITY SANJEEV KASHYAP</v>
          </cell>
          <cell r="F37" t="str">
            <v>SLBANKVL</v>
          </cell>
          <cell r="G37">
            <v>-233972</v>
          </cell>
          <cell r="K37">
            <v>-233972</v>
          </cell>
        </row>
        <row r="38">
          <cell r="C38">
            <v>12140142</v>
          </cell>
          <cell r="E38" t="str">
            <v>AUTO LOAN FORD FIESTA KARTIK BHATT</v>
          </cell>
          <cell r="F38" t="str">
            <v>SLBANKVL</v>
          </cell>
          <cell r="G38">
            <v>-220027</v>
          </cell>
          <cell r="K38">
            <v>-220027</v>
          </cell>
        </row>
        <row r="39">
          <cell r="C39">
            <v>12140117</v>
          </cell>
          <cell r="E39" t="str">
            <v>AUTO LOAN HONDA CIVIC ASHOK SHARMA</v>
          </cell>
          <cell r="F39" t="str">
            <v>SLBANKVL</v>
          </cell>
          <cell r="G39">
            <v>-101936</v>
          </cell>
          <cell r="K39">
            <v>-101936</v>
          </cell>
        </row>
        <row r="40">
          <cell r="C40">
            <v>12140128</v>
          </cell>
          <cell r="E40" t="str">
            <v>Auto Loan Honda City shweta kajaria</v>
          </cell>
          <cell r="F40" t="str">
            <v>SLBANKVL</v>
          </cell>
          <cell r="G40">
            <v>-155466</v>
          </cell>
          <cell r="K40">
            <v>-155466</v>
          </cell>
        </row>
        <row r="41">
          <cell r="C41">
            <v>12140152</v>
          </cell>
          <cell r="E41" t="str">
            <v>AUTO LOAN HYUNDAI I 10 NIRDOSH GAUR</v>
          </cell>
          <cell r="F41" t="str">
            <v>SLBANKVL</v>
          </cell>
          <cell r="G41">
            <v>-205916</v>
          </cell>
          <cell r="K41">
            <v>-205916</v>
          </cell>
        </row>
        <row r="42">
          <cell r="C42">
            <v>12140129</v>
          </cell>
          <cell r="E42" t="str">
            <v>AUTO LOAN FORD FIESTA SANJAY GROVER</v>
          </cell>
          <cell r="F42" t="str">
            <v>SLBANKVL</v>
          </cell>
          <cell r="G42">
            <v>-146385</v>
          </cell>
          <cell r="K42">
            <v>-146385</v>
          </cell>
        </row>
        <row r="43">
          <cell r="C43">
            <v>12140116</v>
          </cell>
          <cell r="E43" t="str">
            <v>AUTO LOAN HONDA CITY ASHU KHANNA</v>
          </cell>
          <cell r="F43" t="str">
            <v>SLBANKVL</v>
          </cell>
          <cell r="G43">
            <v>-67892</v>
          </cell>
          <cell r="K43">
            <v>-67892</v>
          </cell>
        </row>
        <row r="44">
          <cell r="C44">
            <v>12140061</v>
          </cell>
          <cell r="E44" t="str">
            <v>Auto Loan Aveo Sachin Jain</v>
          </cell>
          <cell r="F44" t="str">
            <v>SLBANKVL</v>
          </cell>
          <cell r="G44">
            <v>-59408</v>
          </cell>
          <cell r="K44">
            <v>-59408</v>
          </cell>
        </row>
        <row r="45">
          <cell r="C45">
            <v>12140084</v>
          </cell>
          <cell r="D45" t="str">
            <v>GLO82</v>
          </cell>
          <cell r="E45" t="str">
            <v>Auto Loan Honda Civic Sudhir Kumar Jha</v>
          </cell>
          <cell r="F45" t="str">
            <v>SLBANKVL</v>
          </cell>
          <cell r="G45">
            <v>0</v>
          </cell>
          <cell r="K45">
            <v>0</v>
          </cell>
        </row>
        <row r="46">
          <cell r="C46">
            <v>12140078</v>
          </cell>
          <cell r="D46" t="str">
            <v>GLO73</v>
          </cell>
          <cell r="E46" t="str">
            <v>Auto Loan Sonata Embera Parsenjit Mukharjee</v>
          </cell>
          <cell r="F46" t="str">
            <v>SLBANKVL</v>
          </cell>
          <cell r="G46">
            <v>0</v>
          </cell>
          <cell r="K46">
            <v>0</v>
          </cell>
        </row>
        <row r="47">
          <cell r="C47">
            <v>12140135</v>
          </cell>
          <cell r="E47" t="str">
            <v>AUTO LOAN SANTRO JEETENDRA SHARMA</v>
          </cell>
          <cell r="F47" t="str">
            <v>SLBANKVL</v>
          </cell>
          <cell r="G47">
            <v>-93227</v>
          </cell>
          <cell r="K47">
            <v>-93227</v>
          </cell>
        </row>
        <row r="48">
          <cell r="C48">
            <v>12140082</v>
          </cell>
          <cell r="D48" t="str">
            <v>GLO91</v>
          </cell>
          <cell r="E48" t="str">
            <v>Auto Loan Honda City Manoj Srivastava</v>
          </cell>
          <cell r="F48" t="str">
            <v>SLBANKVL</v>
          </cell>
          <cell r="G48">
            <v>-22135</v>
          </cell>
          <cell r="K48">
            <v>-22135</v>
          </cell>
        </row>
        <row r="49">
          <cell r="C49">
            <v>12140092</v>
          </cell>
          <cell r="D49" t="str">
            <v>GLO80</v>
          </cell>
          <cell r="E49" t="str">
            <v>Auto Loan Honda  Zx  Vtec Anil Mittal</v>
          </cell>
          <cell r="F49" t="str">
            <v>SLBANKVL</v>
          </cell>
          <cell r="G49">
            <v>0</v>
          </cell>
          <cell r="K49">
            <v>0</v>
          </cell>
        </row>
        <row r="50">
          <cell r="C50">
            <v>12140104</v>
          </cell>
          <cell r="D50" t="str">
            <v>GLO92</v>
          </cell>
          <cell r="E50" t="str">
            <v>AUTO LOAN FORD ICON ANSHUL AGGARWAL</v>
          </cell>
          <cell r="F50" t="str">
            <v>SLBANKVL</v>
          </cell>
          <cell r="G50">
            <v>-31940</v>
          </cell>
          <cell r="K50">
            <v>-31940</v>
          </cell>
        </row>
        <row r="51">
          <cell r="C51">
            <v>12140063</v>
          </cell>
          <cell r="D51" t="str">
            <v>GHDFOP</v>
          </cell>
          <cell r="E51" t="str">
            <v>Auto Loan Chevrolet Optra Vipul Sharma</v>
          </cell>
          <cell r="F51" t="str">
            <v>SLBANKVL</v>
          </cell>
          <cell r="G51">
            <v>-31227</v>
          </cell>
          <cell r="K51">
            <v>-31227</v>
          </cell>
        </row>
        <row r="52">
          <cell r="C52">
            <v>12140044</v>
          </cell>
          <cell r="D52" t="str">
            <v>GLO86</v>
          </cell>
          <cell r="E52" t="str">
            <v>Auto Loan Ford Ikon Bhavik Shah</v>
          </cell>
          <cell r="F52" t="str">
            <v>SLBANKVL</v>
          </cell>
          <cell r="G52">
            <v>-16201</v>
          </cell>
          <cell r="K52">
            <v>-16201</v>
          </cell>
        </row>
        <row r="53">
          <cell r="C53">
            <v>12140012</v>
          </cell>
          <cell r="D53" t="str">
            <v>GHDFCT</v>
          </cell>
          <cell r="E53" t="str">
            <v>Auto Loan Honda Citi Vijay Babbar</v>
          </cell>
          <cell r="F53" t="str">
            <v>SLBANKVL</v>
          </cell>
          <cell r="G53">
            <v>0</v>
          </cell>
          <cell r="K53">
            <v>0</v>
          </cell>
        </row>
        <row r="54">
          <cell r="C54">
            <v>12140119</v>
          </cell>
          <cell r="E54" t="str">
            <v>AUTO LOAN SANTRO RAJESH TALWAR</v>
          </cell>
          <cell r="F54" t="str">
            <v>SLBANKVL</v>
          </cell>
          <cell r="G54">
            <v>-43400</v>
          </cell>
          <cell r="K54">
            <v>-43400</v>
          </cell>
        </row>
        <row r="55">
          <cell r="C55">
            <v>12140108</v>
          </cell>
          <cell r="D55" t="str">
            <v>GLO97</v>
          </cell>
          <cell r="E55" t="str">
            <v>AUTO LOAN SWIFT SOURAV AGGRWAL</v>
          </cell>
          <cell r="F55" t="str">
            <v>SLBANKVL</v>
          </cell>
          <cell r="G55">
            <v>-26786</v>
          </cell>
          <cell r="K55">
            <v>-26786</v>
          </cell>
        </row>
        <row r="56">
          <cell r="C56">
            <v>12140112</v>
          </cell>
          <cell r="D56" t="str">
            <v>GLO102</v>
          </cell>
          <cell r="E56" t="str">
            <v>AUTO LOAN WAGON R SEEMA SHUKLA</v>
          </cell>
          <cell r="F56" t="str">
            <v>SLBANKVL</v>
          </cell>
          <cell r="G56">
            <v>-35726</v>
          </cell>
          <cell r="K56">
            <v>-35726</v>
          </cell>
        </row>
        <row r="57">
          <cell r="C57">
            <v>12140028</v>
          </cell>
          <cell r="D57" t="str">
            <v>GICIF</v>
          </cell>
          <cell r="E57" t="str">
            <v>Auto Loan Ford Icon Car Sudhir Kumar</v>
          </cell>
          <cell r="F57" t="str">
            <v>SLBANKVL</v>
          </cell>
          <cell r="G57">
            <v>-41822</v>
          </cell>
          <cell r="K57">
            <v>-41822</v>
          </cell>
        </row>
        <row r="58">
          <cell r="C58">
            <v>12140060</v>
          </cell>
          <cell r="D58" t="str">
            <v>GLO71</v>
          </cell>
          <cell r="E58" t="str">
            <v>Auto Loan Honda Civic Rajat Sharma</v>
          </cell>
          <cell r="F58" t="str">
            <v>SLBANKVL</v>
          </cell>
          <cell r="G58">
            <v>0</v>
          </cell>
          <cell r="K58">
            <v>0</v>
          </cell>
        </row>
        <row r="59">
          <cell r="C59">
            <v>12140118</v>
          </cell>
          <cell r="E59" t="str">
            <v>AUTO LOAN ZEN AJAY NISHAT</v>
          </cell>
          <cell r="F59" t="str">
            <v>SLBANKVL</v>
          </cell>
          <cell r="G59">
            <v>-33651</v>
          </cell>
          <cell r="K59">
            <v>-33651</v>
          </cell>
        </row>
        <row r="60">
          <cell r="C60">
            <v>12140088</v>
          </cell>
          <cell r="D60" t="str">
            <v>GLO58</v>
          </cell>
          <cell r="E60" t="str">
            <v>Auto Loan Honda Civic Vanesh Panchal</v>
          </cell>
          <cell r="F60" t="str">
            <v>SLBANKVL</v>
          </cell>
          <cell r="G60">
            <v>0</v>
          </cell>
          <cell r="K60">
            <v>0</v>
          </cell>
        </row>
        <row r="61">
          <cell r="C61">
            <v>12140090</v>
          </cell>
          <cell r="D61" t="str">
            <v>GLO70</v>
          </cell>
          <cell r="E61" t="str">
            <v>Auto Loan Honda Civic Ravi Ayier</v>
          </cell>
          <cell r="F61" t="str">
            <v>SLBANKVL</v>
          </cell>
          <cell r="G61">
            <v>0</v>
          </cell>
          <cell r="K61">
            <v>0</v>
          </cell>
        </row>
        <row r="62">
          <cell r="C62">
            <v>12140107</v>
          </cell>
          <cell r="D62" t="str">
            <v>GLO96</v>
          </cell>
          <cell r="E62" t="str">
            <v>AUTO LOAN SWIFT RITESH BUDDHDEV</v>
          </cell>
          <cell r="F62" t="str">
            <v>SLBANKVL</v>
          </cell>
          <cell r="G62">
            <v>-24660</v>
          </cell>
          <cell r="K62">
            <v>-24660</v>
          </cell>
        </row>
        <row r="63">
          <cell r="C63">
            <v>12140111</v>
          </cell>
          <cell r="D63" t="str">
            <v>GLO101</v>
          </cell>
          <cell r="E63" t="str">
            <v>AUTO LOAN WAGON R SACHIN MESHWARI</v>
          </cell>
          <cell r="F63" t="str">
            <v>SLBANKVL</v>
          </cell>
          <cell r="G63">
            <v>-23586</v>
          </cell>
          <cell r="K63">
            <v>-23586</v>
          </cell>
        </row>
        <row r="64">
          <cell r="C64">
            <v>12140024</v>
          </cell>
          <cell r="D64" t="str">
            <v>GHDFHC</v>
          </cell>
          <cell r="E64" t="str">
            <v>Auto Loan Honda Citi Prasenjit Mukharjee</v>
          </cell>
          <cell r="F64" t="str">
            <v>SLBANKVL</v>
          </cell>
          <cell r="G64">
            <v>-13114</v>
          </cell>
          <cell r="K64">
            <v>-13114</v>
          </cell>
        </row>
        <row r="65">
          <cell r="C65">
            <v>12140113</v>
          </cell>
          <cell r="D65" t="str">
            <v>GLO98</v>
          </cell>
          <cell r="E65" t="str">
            <v>AUTO LOAN ZEN SANJEEV CHAUBEY</v>
          </cell>
          <cell r="F65" t="str">
            <v>SLBANKVL</v>
          </cell>
          <cell r="G65">
            <v>-23193</v>
          </cell>
          <cell r="K65">
            <v>-23193</v>
          </cell>
        </row>
        <row r="66">
          <cell r="C66">
            <v>12140106</v>
          </cell>
          <cell r="D66" t="str">
            <v>GLO95</v>
          </cell>
          <cell r="E66" t="str">
            <v>AUTO LOAN SWIFT REEMA KAPOOR</v>
          </cell>
          <cell r="F66" t="str">
            <v>SLBANKVL</v>
          </cell>
          <cell r="G66">
            <v>-13149</v>
          </cell>
          <cell r="K66">
            <v>-13149</v>
          </cell>
        </row>
        <row r="67">
          <cell r="C67">
            <v>12140079</v>
          </cell>
          <cell r="D67" t="str">
            <v>GLO85</v>
          </cell>
          <cell r="E67" t="str">
            <v>Auto Loan Accent Subhakanta Mohanty</v>
          </cell>
          <cell r="F67" t="str">
            <v>SLBANKVL</v>
          </cell>
          <cell r="G67">
            <v>0</v>
          </cell>
          <cell r="K67">
            <v>0</v>
          </cell>
        </row>
        <row r="68">
          <cell r="C68">
            <v>12140023</v>
          </cell>
          <cell r="D68" t="str">
            <v>GHDFHO</v>
          </cell>
          <cell r="E68" t="str">
            <v>Auto Loan Honda Citi Nirdosh Gaur</v>
          </cell>
          <cell r="F68" t="str">
            <v>SLBANKVL</v>
          </cell>
          <cell r="G68">
            <v>0</v>
          </cell>
          <cell r="K68">
            <v>0</v>
          </cell>
        </row>
        <row r="69">
          <cell r="C69">
            <v>12140048</v>
          </cell>
          <cell r="D69" t="str">
            <v>GLO90</v>
          </cell>
          <cell r="E69" t="str">
            <v>Auto Loan Santro Parth Rajput</v>
          </cell>
          <cell r="F69" t="str">
            <v>SLBANKVL</v>
          </cell>
          <cell r="G69">
            <v>-11582</v>
          </cell>
          <cell r="K69">
            <v>-11582</v>
          </cell>
        </row>
        <row r="70">
          <cell r="C70">
            <v>12140045</v>
          </cell>
          <cell r="D70" t="str">
            <v>GLO87</v>
          </cell>
          <cell r="E70" t="str">
            <v>Auto Loan Wagon R Sujeet Ray Chowdhary</v>
          </cell>
          <cell r="F70" t="str">
            <v>SLBANKVL</v>
          </cell>
          <cell r="G70">
            <v>-11581</v>
          </cell>
          <cell r="K70">
            <v>-11581</v>
          </cell>
        </row>
        <row r="71">
          <cell r="C71">
            <v>12140046</v>
          </cell>
          <cell r="D71" t="str">
            <v>GLO88</v>
          </cell>
          <cell r="E71" t="str">
            <v>Auto Loan Santro Pathik Chokshi</v>
          </cell>
          <cell r="F71" t="str">
            <v>SLBANKVL</v>
          </cell>
          <cell r="G71">
            <v>-11453</v>
          </cell>
          <cell r="K71">
            <v>-11453</v>
          </cell>
        </row>
        <row r="72">
          <cell r="C72">
            <v>12140109</v>
          </cell>
          <cell r="D72" t="str">
            <v>GLO93</v>
          </cell>
          <cell r="E72" t="str">
            <v>AUTO LOAN TATA INDICA NEERAJ BAJAJ</v>
          </cell>
          <cell r="F72" t="str">
            <v>SLBANKVL</v>
          </cell>
          <cell r="G72">
            <v>-11161</v>
          </cell>
          <cell r="K72">
            <v>-11161</v>
          </cell>
        </row>
        <row r="73">
          <cell r="C73">
            <v>12140080</v>
          </cell>
          <cell r="D73" t="str">
            <v>GLO78</v>
          </cell>
          <cell r="E73" t="str">
            <v>Auto Loan Ford Icon Deepak Singh</v>
          </cell>
          <cell r="F73" t="str">
            <v>SLBANKVL</v>
          </cell>
          <cell r="G73">
            <v>0</v>
          </cell>
          <cell r="K73">
            <v>0</v>
          </cell>
        </row>
        <row r="74">
          <cell r="C74">
            <v>12140011</v>
          </cell>
          <cell r="D74" t="str">
            <v>GHDFHA</v>
          </cell>
          <cell r="E74" t="str">
            <v>Auto Loan Hyundai Accent Heemanshu Kamdar</v>
          </cell>
          <cell r="F74" t="str">
            <v>SLBANKVL</v>
          </cell>
          <cell r="G74">
            <v>-10278</v>
          </cell>
          <cell r="K74">
            <v>-10278</v>
          </cell>
        </row>
        <row r="75">
          <cell r="C75">
            <v>12140029</v>
          </cell>
          <cell r="D75" t="str">
            <v>GHDFME</v>
          </cell>
          <cell r="E75" t="str">
            <v>Auto Loan Esteem Car Gupta</v>
          </cell>
          <cell r="F75" t="str">
            <v>SLBANKVL</v>
          </cell>
          <cell r="G75">
            <v>-9844</v>
          </cell>
          <cell r="K75">
            <v>-9844</v>
          </cell>
        </row>
        <row r="76">
          <cell r="C76">
            <v>12140091</v>
          </cell>
          <cell r="D76" t="str">
            <v>GLO72</v>
          </cell>
          <cell r="E76" t="str">
            <v>Auto Loan Honda City Arjun Mehra</v>
          </cell>
          <cell r="F76" t="str">
            <v>SLBANKVL</v>
          </cell>
          <cell r="G76">
            <v>0</v>
          </cell>
          <cell r="K76">
            <v>0</v>
          </cell>
        </row>
        <row r="77">
          <cell r="C77">
            <v>12140087</v>
          </cell>
          <cell r="D77" t="str">
            <v>GLO76</v>
          </cell>
          <cell r="E77" t="str">
            <v>Auto Loan Wagan -R Govind Prajapati</v>
          </cell>
          <cell r="F77" t="str">
            <v>SLBANKVL</v>
          </cell>
          <cell r="G77">
            <v>0</v>
          </cell>
          <cell r="K77">
            <v>0</v>
          </cell>
        </row>
        <row r="78">
          <cell r="C78">
            <v>12140086</v>
          </cell>
          <cell r="D78" t="str">
            <v>GLO74</v>
          </cell>
          <cell r="E78" t="str">
            <v>Auto Loan Maurti Alto Lx  J.S. Dinesh</v>
          </cell>
          <cell r="F78" t="str">
            <v>SLBANKVL</v>
          </cell>
          <cell r="G78">
            <v>0</v>
          </cell>
          <cell r="K78">
            <v>0</v>
          </cell>
        </row>
        <row r="79">
          <cell r="C79">
            <v>12140105</v>
          </cell>
          <cell r="D79" t="str">
            <v>GLO103</v>
          </cell>
          <cell r="E79" t="str">
            <v>AUTO LOAN HONDA CITY YASHWINDER SINGH</v>
          </cell>
          <cell r="F79" t="str">
            <v>SLBANKVL</v>
          </cell>
          <cell r="G79">
            <v>0</v>
          </cell>
          <cell r="K79">
            <v>0</v>
          </cell>
        </row>
        <row r="80">
          <cell r="C80">
            <v>12140083</v>
          </cell>
          <cell r="D80" t="str">
            <v>GLO79</v>
          </cell>
          <cell r="E80" t="str">
            <v>Auto Loan Wagon R  Dashmeet Singh Bhatia</v>
          </cell>
          <cell r="F80" t="str">
            <v>SLBANKVL</v>
          </cell>
          <cell r="G80">
            <v>0</v>
          </cell>
          <cell r="K80">
            <v>0</v>
          </cell>
        </row>
        <row r="81">
          <cell r="C81">
            <v>12140077</v>
          </cell>
          <cell r="D81" t="str">
            <v>GLO47</v>
          </cell>
          <cell r="E81" t="str">
            <v>Auto Loan Honda City Manish  Sahijwani</v>
          </cell>
          <cell r="F81" t="str">
            <v>SLBANKVL</v>
          </cell>
          <cell r="G81">
            <v>0</v>
          </cell>
          <cell r="K81">
            <v>0</v>
          </cell>
        </row>
        <row r="82">
          <cell r="C82">
            <v>12140056</v>
          </cell>
          <cell r="D82" t="str">
            <v>GLO54</v>
          </cell>
          <cell r="E82" t="str">
            <v>Auto Loan Honda City Harshvardhan</v>
          </cell>
          <cell r="F82" t="str">
            <v>SLBANKVL</v>
          </cell>
          <cell r="G82">
            <v>0</v>
          </cell>
          <cell r="K82">
            <v>0</v>
          </cell>
        </row>
        <row r="83">
          <cell r="C83">
            <v>12140076</v>
          </cell>
          <cell r="D83" t="str">
            <v>GLO46</v>
          </cell>
          <cell r="E83" t="str">
            <v>Auto Loan Accent Gle Malay Shah</v>
          </cell>
          <cell r="F83" t="str">
            <v>SLBANKVL</v>
          </cell>
          <cell r="G83">
            <v>0</v>
          </cell>
          <cell r="K83">
            <v>0</v>
          </cell>
        </row>
        <row r="84">
          <cell r="C84">
            <v>12140057</v>
          </cell>
          <cell r="D84" t="str">
            <v>GLO55</v>
          </cell>
          <cell r="E84" t="str">
            <v>Auto Loan Accent Mumbai Office</v>
          </cell>
          <cell r="F84" t="str">
            <v>SLBANKVL</v>
          </cell>
          <cell r="G84">
            <v>0</v>
          </cell>
          <cell r="K84">
            <v>0</v>
          </cell>
        </row>
        <row r="85">
          <cell r="C85">
            <v>12140008</v>
          </cell>
          <cell r="D85" t="str">
            <v>GLO44</v>
          </cell>
          <cell r="E85" t="str">
            <v>Auto Loan Tata Safari Mukul Mahajan</v>
          </cell>
          <cell r="F85" t="str">
            <v>SLBANKVL</v>
          </cell>
          <cell r="G85">
            <v>0</v>
          </cell>
          <cell r="K85">
            <v>0</v>
          </cell>
        </row>
        <row r="86">
          <cell r="C86">
            <v>12140075</v>
          </cell>
          <cell r="D86" t="str">
            <v>GLO39</v>
          </cell>
          <cell r="E86" t="str">
            <v>Auto Loan Car Aveo Joseph Abraham</v>
          </cell>
          <cell r="F86" t="str">
            <v>SLBANKVL</v>
          </cell>
          <cell r="G86">
            <v>0</v>
          </cell>
          <cell r="K86">
            <v>0</v>
          </cell>
        </row>
        <row r="87">
          <cell r="C87">
            <v>12140007</v>
          </cell>
          <cell r="D87" t="str">
            <v>GLO43</v>
          </cell>
          <cell r="E87" t="str">
            <v>Auto Loan Hyundai Accent Ravichandran</v>
          </cell>
          <cell r="F87" t="str">
            <v>SLBANKVL</v>
          </cell>
          <cell r="G87">
            <v>0</v>
          </cell>
          <cell r="K87">
            <v>0</v>
          </cell>
        </row>
        <row r="88">
          <cell r="C88">
            <v>12140014</v>
          </cell>
          <cell r="D88" t="str">
            <v>GLO51</v>
          </cell>
          <cell r="E88" t="str">
            <v>Auto Loan Santro Binay</v>
          </cell>
          <cell r="F88" t="str">
            <v>SLBANKVL</v>
          </cell>
          <cell r="G88">
            <v>0</v>
          </cell>
          <cell r="K88">
            <v>0</v>
          </cell>
        </row>
        <row r="89">
          <cell r="C89">
            <v>12140026</v>
          </cell>
          <cell r="D89" t="str">
            <v>GLO38</v>
          </cell>
          <cell r="E89" t="str">
            <v>Auto Loan Santro Ujjwal Das</v>
          </cell>
          <cell r="F89" t="str">
            <v>SLBANKVL</v>
          </cell>
          <cell r="G89">
            <v>0</v>
          </cell>
          <cell r="K89">
            <v>0</v>
          </cell>
        </row>
        <row r="90">
          <cell r="C90">
            <v>12140013</v>
          </cell>
          <cell r="D90" t="str">
            <v>GLO50</v>
          </cell>
          <cell r="E90" t="str">
            <v>Auto Loan Santro Manoj Bajaj</v>
          </cell>
          <cell r="F90" t="str">
            <v>SLBANKVL</v>
          </cell>
          <cell r="G90">
            <v>0</v>
          </cell>
          <cell r="K90">
            <v>0</v>
          </cell>
        </row>
        <row r="91">
          <cell r="C91">
            <v>12140064</v>
          </cell>
          <cell r="D91" t="str">
            <v>GLO37</v>
          </cell>
          <cell r="E91" t="str">
            <v>Auto Loan Santro Dharmendra Sethia</v>
          </cell>
          <cell r="F91" t="str">
            <v>SLBANKVL</v>
          </cell>
          <cell r="G91">
            <v>0</v>
          </cell>
          <cell r="K91">
            <v>0</v>
          </cell>
        </row>
        <row r="93">
          <cell r="E93" t="str">
            <v>SECURED LOAN - WORKING CAPITAL</v>
          </cell>
        </row>
        <row r="94">
          <cell r="C94">
            <v>12160032</v>
          </cell>
          <cell r="E94" t="str">
            <v>HDFC Ltd. Loan A/c</v>
          </cell>
          <cell r="F94" t="str">
            <v>SLBANK</v>
          </cell>
          <cell r="G94">
            <v>-500000000</v>
          </cell>
          <cell r="K94">
            <v>-500000000</v>
          </cell>
        </row>
        <row r="95">
          <cell r="C95">
            <v>23511770</v>
          </cell>
          <cell r="E95" t="str">
            <v>HDFC BANK- NSCCL</v>
          </cell>
          <cell r="F95" t="str">
            <v>SLBANK</v>
          </cell>
          <cell r="G95">
            <v>0</v>
          </cell>
          <cell r="K95">
            <v>0</v>
          </cell>
        </row>
        <row r="97">
          <cell r="E97" t="str">
            <v>UNSECURED LOAN - COMMERCIAL PAPER</v>
          </cell>
        </row>
        <row r="98">
          <cell r="C98">
            <v>12211006</v>
          </cell>
          <cell r="E98" t="str">
            <v>COMMERCIAL PAPER - NABARD</v>
          </cell>
          <cell r="F98" t="str">
            <v>ULOANCP</v>
          </cell>
          <cell r="G98">
            <v>0</v>
          </cell>
          <cell r="K98">
            <v>0</v>
          </cell>
        </row>
        <row r="99">
          <cell r="C99">
            <v>12211001</v>
          </cell>
          <cell r="E99" t="str">
            <v>Commercial Paper - IDFC</v>
          </cell>
          <cell r="F99" t="str">
            <v>ULOANCP</v>
          </cell>
          <cell r="G99">
            <v>0</v>
          </cell>
          <cell r="K99">
            <v>0</v>
          </cell>
        </row>
        <row r="100">
          <cell r="C100">
            <v>12211007</v>
          </cell>
          <cell r="E100" t="str">
            <v>Commercial Paper - Reliance</v>
          </cell>
          <cell r="F100" t="str">
            <v>ULOANCP</v>
          </cell>
          <cell r="G100">
            <v>-500000000</v>
          </cell>
          <cell r="K100">
            <v>-500000000</v>
          </cell>
        </row>
        <row r="102">
          <cell r="E102" t="str">
            <v>UNSECURED LOAN - ICD</v>
          </cell>
        </row>
        <row r="103">
          <cell r="C103">
            <v>12230030</v>
          </cell>
          <cell r="E103" t="str">
            <v>Loans Received- Vendors ICD Taken</v>
          </cell>
          <cell r="F103" t="str">
            <v>ULOANICD</v>
          </cell>
          <cell r="G103">
            <v>-350000000</v>
          </cell>
          <cell r="K103">
            <v>-350000000</v>
          </cell>
        </row>
        <row r="105">
          <cell r="E105" t="str">
            <v>FIXED ASSETS - ASSETS</v>
          </cell>
        </row>
        <row r="106">
          <cell r="C106">
            <v>20500000</v>
          </cell>
          <cell r="E106" t="str">
            <v>Computers and peripherals - Cost</v>
          </cell>
          <cell r="F106" t="str">
            <v>FASSET</v>
          </cell>
          <cell r="G106">
            <v>457892203.85000002</v>
          </cell>
          <cell r="K106">
            <v>457892203.85000002</v>
          </cell>
        </row>
        <row r="107">
          <cell r="C107">
            <v>20602000</v>
          </cell>
          <cell r="E107" t="str">
            <v>Office equipment - Cost</v>
          </cell>
          <cell r="F107" t="str">
            <v>FASSET</v>
          </cell>
          <cell r="G107">
            <v>253445746.16999999</v>
          </cell>
          <cell r="K107">
            <v>253445746.16999999</v>
          </cell>
        </row>
        <row r="108">
          <cell r="C108">
            <v>20600000</v>
          </cell>
          <cell r="E108" t="str">
            <v>Furnitures - Cost</v>
          </cell>
          <cell r="F108" t="str">
            <v>FASSET</v>
          </cell>
          <cell r="G108">
            <v>212853906.43000001</v>
          </cell>
          <cell r="K108">
            <v>212853906.43000001</v>
          </cell>
        </row>
        <row r="109">
          <cell r="C109">
            <v>20700000</v>
          </cell>
          <cell r="E109" t="str">
            <v>Vehicles - Cost</v>
          </cell>
          <cell r="F109" t="str">
            <v>FASSET</v>
          </cell>
          <cell r="G109">
            <v>91161263</v>
          </cell>
          <cell r="K109">
            <v>91161263</v>
          </cell>
        </row>
        <row r="110">
          <cell r="C110">
            <v>20810003</v>
          </cell>
          <cell r="E110" t="str">
            <v>BSE-Membership Rights</v>
          </cell>
          <cell r="F110" t="str">
            <v>FASSET</v>
          </cell>
          <cell r="G110">
            <v>7005000</v>
          </cell>
          <cell r="K110">
            <v>7005000</v>
          </cell>
        </row>
        <row r="111">
          <cell r="C111">
            <v>20810001</v>
          </cell>
          <cell r="E111" t="str">
            <v>Software-Cost</v>
          </cell>
          <cell r="F111" t="str">
            <v>FASSET</v>
          </cell>
          <cell r="G111">
            <v>583918264.44000006</v>
          </cell>
          <cell r="K111">
            <v>583918264.44000006</v>
          </cell>
        </row>
        <row r="112">
          <cell r="E112" t="str">
            <v>FIXED ASSETS - DEPRECIATION</v>
          </cell>
        </row>
        <row r="113">
          <cell r="C113">
            <v>20510000</v>
          </cell>
          <cell r="D113" t="str">
            <v>GA00001</v>
          </cell>
          <cell r="E113" t="str">
            <v>Computers and peripherals -Acc dep</v>
          </cell>
          <cell r="F113" t="str">
            <v>FDEP</v>
          </cell>
          <cell r="G113">
            <v>-254211687.25</v>
          </cell>
          <cell r="K113">
            <v>-254211687.25</v>
          </cell>
        </row>
        <row r="114">
          <cell r="C114">
            <v>20612000</v>
          </cell>
          <cell r="D114" t="str">
            <v>GA00001</v>
          </cell>
          <cell r="E114" t="str">
            <v>Acc dep-Office equipment</v>
          </cell>
          <cell r="F114" t="str">
            <v>FDEP</v>
          </cell>
          <cell r="G114">
            <v>-48721582.509999998</v>
          </cell>
          <cell r="K114">
            <v>-48721582.509999998</v>
          </cell>
        </row>
        <row r="115">
          <cell r="C115">
            <v>20610000</v>
          </cell>
          <cell r="D115" t="str">
            <v>GA00001</v>
          </cell>
          <cell r="E115" t="str">
            <v>Acc dep - Furnitures</v>
          </cell>
          <cell r="F115" t="str">
            <v>FDEP</v>
          </cell>
          <cell r="G115">
            <v>-62143043.350000001</v>
          </cell>
          <cell r="K115">
            <v>-62143043.350000001</v>
          </cell>
        </row>
        <row r="116">
          <cell r="C116">
            <v>20710000</v>
          </cell>
          <cell r="D116" t="str">
            <v>GA00001</v>
          </cell>
          <cell r="E116" t="str">
            <v>Vehicles -Acc dep</v>
          </cell>
          <cell r="F116" t="str">
            <v>FDEP</v>
          </cell>
          <cell r="G116">
            <v>-27305296.280000001</v>
          </cell>
          <cell r="K116">
            <v>-27305296.280000001</v>
          </cell>
        </row>
        <row r="117">
          <cell r="C117">
            <v>20810004</v>
          </cell>
          <cell r="D117" t="str">
            <v>GA00001</v>
          </cell>
          <cell r="E117" t="str">
            <v>BSE-Membership Rights-Acc dep</v>
          </cell>
          <cell r="F117" t="str">
            <v>FDEP</v>
          </cell>
          <cell r="G117">
            <v>-6765084.9699999997</v>
          </cell>
          <cell r="K117">
            <v>-6765084.9699999997</v>
          </cell>
        </row>
        <row r="118">
          <cell r="C118">
            <v>20810002</v>
          </cell>
          <cell r="D118" t="str">
            <v>GA00001</v>
          </cell>
          <cell r="E118" t="str">
            <v>Software-Acc dep</v>
          </cell>
          <cell r="F118" t="str">
            <v>FDEP</v>
          </cell>
          <cell r="G118">
            <v>-430839340.89999998</v>
          </cell>
          <cell r="K118">
            <v>-430839340.89999998</v>
          </cell>
        </row>
        <row r="119">
          <cell r="E119" t="str">
            <v>FIXED ASSETS - CWIP</v>
          </cell>
        </row>
        <row r="120">
          <cell r="C120">
            <v>24700036</v>
          </cell>
          <cell r="E120" t="str">
            <v>Vendors Balances-Against Advance for fixed assets</v>
          </cell>
          <cell r="F120" t="str">
            <v>ADVAN</v>
          </cell>
          <cell r="G120">
            <v>21727118.899999999</v>
          </cell>
          <cell r="K120">
            <v>21727118.899999999</v>
          </cell>
        </row>
        <row r="121">
          <cell r="C121">
            <v>24600001</v>
          </cell>
          <cell r="D121" t="str">
            <v>GSWPJ</v>
          </cell>
          <cell r="E121" t="str">
            <v>SOFTWARE PROJECT - CONSULTANCY CHARGES</v>
          </cell>
          <cell r="F121" t="str">
            <v>AWIP</v>
          </cell>
          <cell r="G121">
            <v>0</v>
          </cell>
          <cell r="K121">
            <v>0</v>
          </cell>
        </row>
        <row r="122">
          <cell r="C122">
            <v>24600002</v>
          </cell>
          <cell r="D122" t="str">
            <v>GSWPJ</v>
          </cell>
          <cell r="E122" t="str">
            <v>SOFTWARE PROJECT ELECTRICITY EXPENSES</v>
          </cell>
          <cell r="F122" t="str">
            <v>AWIP</v>
          </cell>
          <cell r="G122">
            <v>0</v>
          </cell>
          <cell r="K122">
            <v>0</v>
          </cell>
        </row>
        <row r="123">
          <cell r="C123">
            <v>24600003</v>
          </cell>
          <cell r="D123" t="str">
            <v>GSWPJ</v>
          </cell>
          <cell r="E123" t="str">
            <v>SOFTWARE PROJECT LEASELINE EXPENSES</v>
          </cell>
          <cell r="F123" t="str">
            <v>AWIP</v>
          </cell>
          <cell r="G123">
            <v>0</v>
          </cell>
          <cell r="K123">
            <v>0</v>
          </cell>
        </row>
        <row r="124">
          <cell r="C124">
            <v>24600004</v>
          </cell>
          <cell r="D124" t="str">
            <v>GSWPJ</v>
          </cell>
          <cell r="E124" t="str">
            <v>SOFTWARE PROJECT OVERTIME</v>
          </cell>
          <cell r="F124" t="str">
            <v>AWIP</v>
          </cell>
          <cell r="G124">
            <v>0</v>
          </cell>
          <cell r="K124">
            <v>0</v>
          </cell>
        </row>
        <row r="125">
          <cell r="C125">
            <v>24600005</v>
          </cell>
          <cell r="D125" t="str">
            <v>GSWPJ</v>
          </cell>
          <cell r="E125" t="str">
            <v>SOFTWARE PROJECT -RENT EXPENSES</v>
          </cell>
          <cell r="F125" t="str">
            <v>AWIP</v>
          </cell>
          <cell r="G125">
            <v>0</v>
          </cell>
          <cell r="K125">
            <v>0</v>
          </cell>
        </row>
        <row r="126">
          <cell r="C126">
            <v>24600007</v>
          </cell>
          <cell r="D126" t="str">
            <v>GSWPJ</v>
          </cell>
          <cell r="E126" t="str">
            <v>SOFTWARE-SALARY EXP</v>
          </cell>
          <cell r="F126" t="str">
            <v>AWIP</v>
          </cell>
          <cell r="G126">
            <v>0</v>
          </cell>
          <cell r="K126">
            <v>0</v>
          </cell>
        </row>
        <row r="127">
          <cell r="C127">
            <v>24600008</v>
          </cell>
          <cell r="D127" t="str">
            <v>GSWPJ</v>
          </cell>
          <cell r="E127" t="str">
            <v>SOFTWARE PROJECT STAFF WELFARE</v>
          </cell>
          <cell r="F127" t="str">
            <v>AWIP</v>
          </cell>
          <cell r="G127">
            <v>0</v>
          </cell>
          <cell r="K127">
            <v>0</v>
          </cell>
        </row>
        <row r="128">
          <cell r="C128">
            <v>24600009</v>
          </cell>
          <cell r="D128" t="str">
            <v>GSWPJ</v>
          </cell>
          <cell r="E128" t="str">
            <v>SOFTWARE PROJECT TELEPHONE EXPENSES</v>
          </cell>
          <cell r="F128" t="str">
            <v>AWIP</v>
          </cell>
          <cell r="G128">
            <v>0</v>
          </cell>
          <cell r="K128">
            <v>0</v>
          </cell>
        </row>
        <row r="130">
          <cell r="E130" t="str">
            <v>Investments - Subsidiaries Co.</v>
          </cell>
        </row>
        <row r="131">
          <cell r="C131">
            <v>22011131</v>
          </cell>
          <cell r="E131" t="str">
            <v>Investment in Subsidiary</v>
          </cell>
          <cell r="F131" t="str">
            <v>INVESSC</v>
          </cell>
          <cell r="G131">
            <v>42000000</v>
          </cell>
          <cell r="K131">
            <v>42000000</v>
          </cell>
        </row>
        <row r="132">
          <cell r="C132">
            <v>14400000</v>
          </cell>
          <cell r="E132" t="str">
            <v>Prov-dimunition in value-long term investment</v>
          </cell>
          <cell r="F132" t="str">
            <v>INVESSC</v>
          </cell>
          <cell r="G132">
            <v>-500000</v>
          </cell>
          <cell r="K132">
            <v>-500000</v>
          </cell>
        </row>
        <row r="133">
          <cell r="C133">
            <v>22010029</v>
          </cell>
          <cell r="E133" t="str">
            <v>Investment In Icpl</v>
          </cell>
          <cell r="F133" t="str">
            <v>INVESSC</v>
          </cell>
          <cell r="G133">
            <v>0</v>
          </cell>
          <cell r="K133">
            <v>0</v>
          </cell>
        </row>
        <row r="134">
          <cell r="C134">
            <v>22011132</v>
          </cell>
          <cell r="E134" t="str">
            <v>Investment in Indiabulls Brokerage Limited</v>
          </cell>
          <cell r="F134" t="str">
            <v>INVESSC</v>
          </cell>
          <cell r="G134">
            <v>0</v>
          </cell>
          <cell r="K134">
            <v>0</v>
          </cell>
        </row>
        <row r="135">
          <cell r="C135">
            <v>22011090</v>
          </cell>
          <cell r="E135" t="str">
            <v>Investments in Devata Tradelink Ltd</v>
          </cell>
          <cell r="F135" t="str">
            <v>INVESSC</v>
          </cell>
          <cell r="G135">
            <v>0</v>
          </cell>
          <cell r="K135">
            <v>0</v>
          </cell>
        </row>
        <row r="137">
          <cell r="E137" t="str">
            <v>Investments - Others</v>
          </cell>
        </row>
        <row r="138">
          <cell r="C138">
            <v>22010158</v>
          </cell>
          <cell r="D138" t="str">
            <v>GICPL</v>
          </cell>
          <cell r="E138" t="str">
            <v>Investment in Copal Partners Limited</v>
          </cell>
          <cell r="F138" t="str">
            <v>INVES</v>
          </cell>
          <cell r="G138">
            <v>476694682.88</v>
          </cell>
          <cell r="K138">
            <v>476694682.88</v>
          </cell>
        </row>
        <row r="139">
          <cell r="C139">
            <v>22001002</v>
          </cell>
          <cell r="D139" t="str">
            <v>GINVE</v>
          </cell>
          <cell r="E139" t="str">
            <v>Investment In Bse</v>
          </cell>
          <cell r="F139" t="str">
            <v>INVES</v>
          </cell>
          <cell r="G139">
            <v>10000</v>
          </cell>
          <cell r="K139">
            <v>10000</v>
          </cell>
        </row>
        <row r="141">
          <cell r="E141" t="str">
            <v>Investments - Mutual Fund</v>
          </cell>
        </row>
        <row r="142">
          <cell r="C142">
            <v>22401017</v>
          </cell>
          <cell r="E142" t="str">
            <v>Investment in RELIANCE Mutual Fund</v>
          </cell>
          <cell r="F142" t="str">
            <v>INVESMF</v>
          </cell>
          <cell r="G142">
            <v>0</v>
          </cell>
          <cell r="K142">
            <v>0</v>
          </cell>
        </row>
        <row r="143">
          <cell r="C143">
            <v>22010152</v>
          </cell>
          <cell r="D143" t="str">
            <v>GMFICICI</v>
          </cell>
          <cell r="E143" t="str">
            <v>Investment in  ICICI  Prudential Mutual Fund</v>
          </cell>
          <cell r="F143" t="str">
            <v>INVESMF</v>
          </cell>
          <cell r="G143">
            <v>0</v>
          </cell>
          <cell r="K143">
            <v>0</v>
          </cell>
        </row>
        <row r="144">
          <cell r="C144">
            <v>22401001</v>
          </cell>
          <cell r="E144" t="str">
            <v>Mutual Fund Abn Amro</v>
          </cell>
          <cell r="F144" t="str">
            <v>INVESMF</v>
          </cell>
          <cell r="G144">
            <v>0</v>
          </cell>
          <cell r="K144">
            <v>0</v>
          </cell>
        </row>
        <row r="145">
          <cell r="C145">
            <v>22401002</v>
          </cell>
          <cell r="E145" t="str">
            <v>Investment in LIC Mutual Fund</v>
          </cell>
          <cell r="F145" t="str">
            <v>INVESMF</v>
          </cell>
          <cell r="G145">
            <v>0</v>
          </cell>
          <cell r="K145">
            <v>0</v>
          </cell>
        </row>
        <row r="146">
          <cell r="C146">
            <v>22401003</v>
          </cell>
          <cell r="D146" t="str">
            <v>GMFRIL</v>
          </cell>
          <cell r="E146" t="str">
            <v>Mutual Fund Reliance Liquidity Fund (LQDD)</v>
          </cell>
          <cell r="F146" t="str">
            <v>INVESMF</v>
          </cell>
          <cell r="G146">
            <v>0</v>
          </cell>
          <cell r="K146">
            <v>0</v>
          </cell>
        </row>
        <row r="147">
          <cell r="C147">
            <v>22401004</v>
          </cell>
          <cell r="E147" t="str">
            <v>Mutual Fund Standard Chartered</v>
          </cell>
          <cell r="F147" t="str">
            <v>INVESMF</v>
          </cell>
          <cell r="G147">
            <v>0</v>
          </cell>
          <cell r="K147">
            <v>0</v>
          </cell>
        </row>
        <row r="148">
          <cell r="C148">
            <v>22401005</v>
          </cell>
          <cell r="D148" t="str">
            <v>GMFUTI</v>
          </cell>
          <cell r="E148" t="str">
            <v>Mutual Fund Uti Liquid Cash Plan</v>
          </cell>
          <cell r="F148" t="str">
            <v>INVESMF</v>
          </cell>
          <cell r="G148">
            <v>0</v>
          </cell>
          <cell r="K148">
            <v>0</v>
          </cell>
        </row>
        <row r="149">
          <cell r="C149">
            <v>22401016</v>
          </cell>
          <cell r="E149" t="str">
            <v>BIRLA SUNLIFE MUTUAL FUND</v>
          </cell>
          <cell r="F149" t="str">
            <v>INVESMF</v>
          </cell>
          <cell r="G149">
            <v>0</v>
          </cell>
          <cell r="K149">
            <v>0</v>
          </cell>
        </row>
        <row r="150">
          <cell r="C150">
            <v>22401045</v>
          </cell>
          <cell r="E150" t="str">
            <v>Investment in TATA Mutual Fund</v>
          </cell>
          <cell r="F150" t="str">
            <v>INVESMF</v>
          </cell>
          <cell r="G150">
            <v>0</v>
          </cell>
          <cell r="K150">
            <v>0</v>
          </cell>
        </row>
        <row r="151">
          <cell r="C151">
            <v>22401060</v>
          </cell>
          <cell r="E151" t="str">
            <v>LICMF Liquid Plus Fund</v>
          </cell>
          <cell r="F151" t="str">
            <v>INVESMF</v>
          </cell>
          <cell r="G151">
            <v>0</v>
          </cell>
          <cell r="K151">
            <v>0</v>
          </cell>
        </row>
        <row r="152">
          <cell r="C152">
            <v>22401025</v>
          </cell>
          <cell r="E152" t="str">
            <v>LICMF SAVINGS PLUS FUND - DAILY DIVIDEND PLAN</v>
          </cell>
          <cell r="F152" t="str">
            <v>INVESMF</v>
          </cell>
          <cell r="G152">
            <v>0</v>
          </cell>
          <cell r="K152">
            <v>0</v>
          </cell>
        </row>
        <row r="153">
          <cell r="C153">
            <v>22401026</v>
          </cell>
          <cell r="E153" t="str">
            <v>LICMF SAVINGS PLUS FUND - WEEKLY DIVIDEND PLAN</v>
          </cell>
          <cell r="F153" t="str">
            <v>INVESMF</v>
          </cell>
          <cell r="G153">
            <v>0</v>
          </cell>
          <cell r="K153">
            <v>0</v>
          </cell>
        </row>
        <row r="154">
          <cell r="C154">
            <v>90000541</v>
          </cell>
          <cell r="E154" t="str">
            <v>RELIANCE MEDIUM TERM MF - DAILY DIV PLAN</v>
          </cell>
          <cell r="F154" t="str">
            <v>INVESMF</v>
          </cell>
          <cell r="G154">
            <v>0</v>
          </cell>
          <cell r="K154">
            <v>0</v>
          </cell>
        </row>
        <row r="156">
          <cell r="E156" t="str">
            <v>CURRENT ASSETS- ARBITRAGE</v>
          </cell>
        </row>
        <row r="157">
          <cell r="C157">
            <v>22001003</v>
          </cell>
          <cell r="D157" t="str">
            <v>GTRADE</v>
          </cell>
          <cell r="E157" t="str">
            <v>Trading Account</v>
          </cell>
          <cell r="F157" t="str">
            <v>INVES</v>
          </cell>
          <cell r="G157">
            <v>98263202.019999996</v>
          </cell>
          <cell r="K157">
            <v>98263202.019999996</v>
          </cell>
        </row>
        <row r="158">
          <cell r="C158">
            <v>22001001</v>
          </cell>
          <cell r="E158" t="str">
            <v>Investment In Shares</v>
          </cell>
          <cell r="F158" t="str">
            <v>STOCK</v>
          </cell>
          <cell r="G158">
            <v>199593673.71000001</v>
          </cell>
          <cell r="K158">
            <v>199593673.71000001</v>
          </cell>
        </row>
        <row r="160">
          <cell r="E160" t="str">
            <v>CURRENT ASSETS- DEBTORS</v>
          </cell>
        </row>
        <row r="161">
          <cell r="C161">
            <v>15000026</v>
          </cell>
          <cell r="E161" t="str">
            <v>Sundry Creditors- Vendors Security Services</v>
          </cell>
          <cell r="F161" t="str">
            <v>LSCRED</v>
          </cell>
          <cell r="G161">
            <v>-11890</v>
          </cell>
          <cell r="K161">
            <v>-11890</v>
          </cell>
        </row>
        <row r="162">
          <cell r="C162">
            <v>24700040</v>
          </cell>
          <cell r="E162" t="str">
            <v>Vendors BalancesSecurity Deposit-Others</v>
          </cell>
          <cell r="F162" t="str">
            <v>LSCRED</v>
          </cell>
          <cell r="G162">
            <v>0</v>
          </cell>
          <cell r="K162">
            <v>0</v>
          </cell>
        </row>
        <row r="163">
          <cell r="C163">
            <v>90000188</v>
          </cell>
          <cell r="D163" t="str">
            <v>GA05050</v>
          </cell>
          <cell r="E163" t="str">
            <v>National Stock Exchange - Short Sale A/c</v>
          </cell>
          <cell r="F163" t="str">
            <v>ADEBT</v>
          </cell>
          <cell r="G163">
            <v>1508094.7</v>
          </cell>
          <cell r="K163">
            <v>1508094.7</v>
          </cell>
        </row>
        <row r="164">
          <cell r="C164">
            <v>90000187</v>
          </cell>
          <cell r="D164" t="str">
            <v>GA05050</v>
          </cell>
          <cell r="E164" t="str">
            <v>National Stock Exchange - STT A/C</v>
          </cell>
          <cell r="F164" t="str">
            <v>ADEBT</v>
          </cell>
          <cell r="G164">
            <v>-8880522.9499999993</v>
          </cell>
          <cell r="K164">
            <v>-8880522.9499999993</v>
          </cell>
        </row>
        <row r="165">
          <cell r="C165">
            <v>24700005</v>
          </cell>
          <cell r="D165" t="str">
            <v>GI01001</v>
          </cell>
          <cell r="E165" t="str">
            <v>Brokerage Charges Receivable</v>
          </cell>
          <cell r="F165" t="str">
            <v>ADEBT</v>
          </cell>
          <cell r="G165">
            <v>-263356.96000000002</v>
          </cell>
          <cell r="K165">
            <v>-263356.96000000002</v>
          </cell>
        </row>
        <row r="166">
          <cell r="C166">
            <v>90000189</v>
          </cell>
          <cell r="D166" t="str">
            <v>GA05050</v>
          </cell>
          <cell r="E166" t="str">
            <v>Bombay Stock Exchange Limited - Auction A/C</v>
          </cell>
          <cell r="F166" t="str">
            <v>ADEBT</v>
          </cell>
          <cell r="G166">
            <v>145103</v>
          </cell>
          <cell r="K166">
            <v>145103</v>
          </cell>
        </row>
        <row r="167">
          <cell r="C167">
            <v>90000215</v>
          </cell>
          <cell r="E167" t="str">
            <v>Sundry Debtors-Customers IPO</v>
          </cell>
          <cell r="F167" t="str">
            <v>ADEBT</v>
          </cell>
          <cell r="G167">
            <v>0</v>
          </cell>
          <cell r="K167">
            <v>0</v>
          </cell>
        </row>
        <row r="168">
          <cell r="C168">
            <v>90000064</v>
          </cell>
          <cell r="D168" t="str">
            <v>GL1028</v>
          </cell>
          <cell r="E168" t="str">
            <v>BOB CAPITAL MARKETS</v>
          </cell>
          <cell r="F168" t="str">
            <v>ADEBT</v>
          </cell>
          <cell r="G168">
            <v>5250</v>
          </cell>
          <cell r="K168">
            <v>5250</v>
          </cell>
        </row>
        <row r="169">
          <cell r="C169">
            <v>90000062</v>
          </cell>
          <cell r="D169" t="str">
            <v>GL1028</v>
          </cell>
          <cell r="E169" t="str">
            <v>BHARAT CO-OP BANK</v>
          </cell>
          <cell r="F169" t="str">
            <v>ADEBT</v>
          </cell>
          <cell r="G169">
            <v>5200</v>
          </cell>
          <cell r="K169">
            <v>5200</v>
          </cell>
        </row>
        <row r="170">
          <cell r="C170">
            <v>90000084</v>
          </cell>
          <cell r="D170" t="str">
            <v>GL1028</v>
          </cell>
          <cell r="E170" t="str">
            <v>JP MORGAN SECURITIES</v>
          </cell>
          <cell r="F170" t="str">
            <v>ADEBT</v>
          </cell>
          <cell r="G170">
            <v>4000</v>
          </cell>
          <cell r="K170">
            <v>4000</v>
          </cell>
        </row>
        <row r="171">
          <cell r="C171">
            <v>90000056</v>
          </cell>
          <cell r="D171" t="str">
            <v>GL1028</v>
          </cell>
          <cell r="E171" t="str">
            <v>BANK OF AMERICA LTD</v>
          </cell>
          <cell r="F171" t="str">
            <v>ADEBT</v>
          </cell>
          <cell r="G171">
            <v>2000</v>
          </cell>
          <cell r="K171">
            <v>2000</v>
          </cell>
        </row>
        <row r="172">
          <cell r="C172">
            <v>90000053</v>
          </cell>
          <cell r="D172" t="str">
            <v>GL1028</v>
          </cell>
          <cell r="E172" t="str">
            <v>MARGIN MONEY RECIVED FROM CUSTOMER</v>
          </cell>
          <cell r="F172" t="str">
            <v>ADEBT</v>
          </cell>
          <cell r="G172">
            <v>0</v>
          </cell>
          <cell r="K172">
            <v>0</v>
          </cell>
        </row>
        <row r="173">
          <cell r="C173">
            <v>90000054</v>
          </cell>
          <cell r="D173" t="str">
            <v>GL1028</v>
          </cell>
          <cell r="E173" t="str">
            <v>LOAN CLIENT ACCOUNT (TF)</v>
          </cell>
          <cell r="F173" t="str">
            <v>ADEBT</v>
          </cell>
          <cell r="G173">
            <v>0</v>
          </cell>
          <cell r="K173">
            <v>0</v>
          </cell>
        </row>
        <row r="174">
          <cell r="C174">
            <v>90000516</v>
          </cell>
          <cell r="E174" t="str">
            <v>CNSE(SLBP)</v>
          </cell>
          <cell r="F174" t="str">
            <v>ADEBT</v>
          </cell>
          <cell r="G174">
            <v>0</v>
          </cell>
          <cell r="K174">
            <v>0</v>
          </cell>
        </row>
        <row r="175">
          <cell r="C175">
            <v>13113799</v>
          </cell>
          <cell r="D175" t="str">
            <v>GADVC</v>
          </cell>
          <cell r="E175" t="str">
            <v>Advance  from Customers</v>
          </cell>
          <cell r="F175" t="str">
            <v>ADEBT</v>
          </cell>
          <cell r="G175">
            <v>0</v>
          </cell>
          <cell r="K175">
            <v>0</v>
          </cell>
        </row>
        <row r="176">
          <cell r="C176">
            <v>90000544</v>
          </cell>
          <cell r="E176" t="str">
            <v>Sundry Debtors A/C - Customers Distribution</v>
          </cell>
          <cell r="F176" t="str">
            <v>ADEBT</v>
          </cell>
          <cell r="G176">
            <v>0</v>
          </cell>
          <cell r="K176">
            <v>0</v>
          </cell>
        </row>
        <row r="177">
          <cell r="C177">
            <v>14890013</v>
          </cell>
          <cell r="D177" t="str">
            <v>GL01018</v>
          </cell>
          <cell r="E177" t="str">
            <v>Provision For Doubtful Debts</v>
          </cell>
          <cell r="F177" t="str">
            <v>ADEBT</v>
          </cell>
          <cell r="G177">
            <v>-103495607.02</v>
          </cell>
          <cell r="K177">
            <v>-103495607.02</v>
          </cell>
        </row>
        <row r="179">
          <cell r="E179" t="str">
            <v>CURRENT ASSETS- DEBTORS - MUTUAL FUND</v>
          </cell>
        </row>
        <row r="181">
          <cell r="C181">
            <v>90000198</v>
          </cell>
          <cell r="D181" t="str">
            <v>GMFBR</v>
          </cell>
          <cell r="E181" t="str">
            <v>SBI MUTUAL FUND (MF)</v>
          </cell>
          <cell r="F181" t="str">
            <v>ADEBT</v>
          </cell>
          <cell r="G181">
            <v>11946.82</v>
          </cell>
          <cell r="K181">
            <v>11946.82</v>
          </cell>
        </row>
        <row r="182">
          <cell r="C182">
            <v>90000194</v>
          </cell>
          <cell r="D182" t="str">
            <v>GMFBR</v>
          </cell>
          <cell r="E182" t="str">
            <v>HDFC MUTUAL FUND (MF)</v>
          </cell>
          <cell r="F182" t="str">
            <v>ADEBT</v>
          </cell>
          <cell r="G182">
            <v>9218.4500000000007</v>
          </cell>
          <cell r="K182">
            <v>9218.4500000000007</v>
          </cell>
        </row>
        <row r="183">
          <cell r="C183">
            <v>90000196</v>
          </cell>
          <cell r="D183" t="str">
            <v>GMFBR</v>
          </cell>
          <cell r="E183" t="str">
            <v>PRUDENTIAL ICICI MUTUAL FUND</v>
          </cell>
          <cell r="F183" t="str">
            <v>ADEBT</v>
          </cell>
          <cell r="G183">
            <v>0</v>
          </cell>
          <cell r="K183">
            <v>0</v>
          </cell>
        </row>
        <row r="184">
          <cell r="C184">
            <v>90000197</v>
          </cell>
          <cell r="D184" t="str">
            <v>GMFBR</v>
          </cell>
          <cell r="E184" t="str">
            <v>RELIANCE MUTUAL FUND</v>
          </cell>
          <cell r="F184" t="str">
            <v>ADEBT</v>
          </cell>
          <cell r="G184">
            <v>0</v>
          </cell>
          <cell r="K184">
            <v>0</v>
          </cell>
        </row>
        <row r="185">
          <cell r="C185">
            <v>90000318</v>
          </cell>
          <cell r="D185" t="str">
            <v>GMFBR</v>
          </cell>
          <cell r="E185" t="str">
            <v>KOTAK MUTUALFUND</v>
          </cell>
          <cell r="F185" t="str">
            <v>ADEBT</v>
          </cell>
          <cell r="G185">
            <v>0</v>
          </cell>
          <cell r="K185">
            <v>0</v>
          </cell>
        </row>
        <row r="186">
          <cell r="C186">
            <v>90000403</v>
          </cell>
          <cell r="D186" t="str">
            <v>GMFBR</v>
          </cell>
          <cell r="E186" t="str">
            <v>UTI MUTUAL FUND</v>
          </cell>
          <cell r="F186" t="str">
            <v>ADEBT</v>
          </cell>
          <cell r="G186">
            <v>0</v>
          </cell>
          <cell r="K186">
            <v>0</v>
          </cell>
        </row>
        <row r="187">
          <cell r="C187">
            <v>90000492</v>
          </cell>
          <cell r="E187" t="str">
            <v>BENCHMARK MUTUAL FUND</v>
          </cell>
          <cell r="F187" t="str">
            <v>ADEBT</v>
          </cell>
          <cell r="G187">
            <v>0</v>
          </cell>
          <cell r="K187">
            <v>0</v>
          </cell>
        </row>
        <row r="188">
          <cell r="C188">
            <v>90000501</v>
          </cell>
          <cell r="E188" t="str">
            <v>JM MUTUAL FUND</v>
          </cell>
          <cell r="F188" t="str">
            <v>ADEBT</v>
          </cell>
          <cell r="G188">
            <v>0</v>
          </cell>
          <cell r="K188">
            <v>0</v>
          </cell>
        </row>
        <row r="189">
          <cell r="C189">
            <v>90000502</v>
          </cell>
          <cell r="E189" t="str">
            <v>MIRAE ASSET MUTUAL FUND</v>
          </cell>
          <cell r="F189" t="str">
            <v>ADEBT</v>
          </cell>
          <cell r="G189">
            <v>0</v>
          </cell>
          <cell r="K189">
            <v>0</v>
          </cell>
        </row>
        <row r="190">
          <cell r="C190">
            <v>90000503</v>
          </cell>
          <cell r="E190" t="str">
            <v>PRINCIPAL MUTUAL FUND</v>
          </cell>
          <cell r="F190" t="str">
            <v>ADEBT</v>
          </cell>
          <cell r="G190">
            <v>0</v>
          </cell>
          <cell r="K190">
            <v>0</v>
          </cell>
        </row>
        <row r="191">
          <cell r="C191">
            <v>90000510</v>
          </cell>
          <cell r="E191" t="str">
            <v>LIC MUTUAL FUND</v>
          </cell>
          <cell r="F191" t="str">
            <v>ADEBT</v>
          </cell>
          <cell r="G191">
            <v>0</v>
          </cell>
          <cell r="K191">
            <v>0</v>
          </cell>
        </row>
        <row r="192">
          <cell r="C192">
            <v>90000512</v>
          </cell>
          <cell r="E192" t="str">
            <v>HSBC MUTUAL FUND</v>
          </cell>
          <cell r="F192" t="str">
            <v>ADEBT</v>
          </cell>
          <cell r="G192">
            <v>0</v>
          </cell>
          <cell r="K192">
            <v>0</v>
          </cell>
        </row>
        <row r="193">
          <cell r="C193">
            <v>90000515</v>
          </cell>
          <cell r="E193" t="str">
            <v>DEUTSCHE MUTUAL FUND</v>
          </cell>
          <cell r="F193" t="str">
            <v>ADEBT</v>
          </cell>
          <cell r="G193">
            <v>0</v>
          </cell>
          <cell r="K193">
            <v>0</v>
          </cell>
        </row>
        <row r="194">
          <cell r="C194">
            <v>90000520</v>
          </cell>
          <cell r="E194" t="str">
            <v>CANARA ROBECO MUTUAL FUND</v>
          </cell>
          <cell r="F194" t="str">
            <v>ADEBT</v>
          </cell>
          <cell r="G194">
            <v>0</v>
          </cell>
          <cell r="K194">
            <v>0</v>
          </cell>
        </row>
        <row r="195">
          <cell r="C195">
            <v>90000528</v>
          </cell>
          <cell r="E195" t="str">
            <v>DSP BLACK ROCK MUTUAL FUND</v>
          </cell>
          <cell r="F195" t="str">
            <v>ADEBT</v>
          </cell>
          <cell r="G195">
            <v>0</v>
          </cell>
          <cell r="K195">
            <v>0</v>
          </cell>
        </row>
        <row r="196">
          <cell r="C196">
            <v>90000532</v>
          </cell>
          <cell r="E196" t="str">
            <v>IDFC MUTUAL FUND</v>
          </cell>
          <cell r="F196" t="str">
            <v>ADEBT</v>
          </cell>
          <cell r="G196">
            <v>0</v>
          </cell>
          <cell r="K196">
            <v>0</v>
          </cell>
        </row>
        <row r="197">
          <cell r="C197">
            <v>90000533</v>
          </cell>
          <cell r="E197" t="str">
            <v>MORGAN STANLEY MUTUAL FUND</v>
          </cell>
          <cell r="F197" t="str">
            <v>ADEBT</v>
          </cell>
          <cell r="G197">
            <v>0</v>
          </cell>
          <cell r="K197">
            <v>0</v>
          </cell>
        </row>
        <row r="198">
          <cell r="C198">
            <v>90000546</v>
          </cell>
          <cell r="E198" t="str">
            <v>FORTIS MUTUAL FUND</v>
          </cell>
          <cell r="F198" t="str">
            <v>ADEBT</v>
          </cell>
          <cell r="G198">
            <v>0</v>
          </cell>
          <cell r="K198">
            <v>0</v>
          </cell>
        </row>
        <row r="199">
          <cell r="C199">
            <v>90000547</v>
          </cell>
          <cell r="E199" t="str">
            <v>ABN AMRO MUTUAL FUND</v>
          </cell>
          <cell r="F199" t="str">
            <v>ADEBT</v>
          </cell>
          <cell r="G199">
            <v>0</v>
          </cell>
          <cell r="K199">
            <v>0</v>
          </cell>
        </row>
        <row r="200">
          <cell r="C200">
            <v>90000548</v>
          </cell>
          <cell r="E200" t="str">
            <v>RELIGARE MUTUAL FUND</v>
          </cell>
          <cell r="F200" t="str">
            <v>ADEBT</v>
          </cell>
          <cell r="G200">
            <v>0</v>
          </cell>
          <cell r="K200">
            <v>0</v>
          </cell>
        </row>
        <row r="201">
          <cell r="C201">
            <v>90000193</v>
          </cell>
          <cell r="D201" t="str">
            <v>GMFBR</v>
          </cell>
          <cell r="E201" t="str">
            <v>DSP MERRILL LYNCH(MF)</v>
          </cell>
          <cell r="F201" t="str">
            <v>ADEBT</v>
          </cell>
          <cell r="G201">
            <v>0</v>
          </cell>
          <cell r="K201">
            <v>0</v>
          </cell>
        </row>
        <row r="202">
          <cell r="C202">
            <v>90000195</v>
          </cell>
          <cell r="D202" t="str">
            <v>GMFBR</v>
          </cell>
          <cell r="E202" t="str">
            <v>ING VYSA (MF)</v>
          </cell>
          <cell r="F202" t="str">
            <v>ADEBT</v>
          </cell>
          <cell r="G202">
            <v>0</v>
          </cell>
          <cell r="K202">
            <v>0</v>
          </cell>
        </row>
        <row r="203">
          <cell r="C203">
            <v>90000199</v>
          </cell>
          <cell r="D203" t="str">
            <v>GMFBR</v>
          </cell>
          <cell r="E203" t="str">
            <v>SUNDARAM ASSET MANAGEMENT COMPANY(MF)</v>
          </cell>
          <cell r="F203" t="str">
            <v>ADEBT</v>
          </cell>
          <cell r="G203">
            <v>0</v>
          </cell>
          <cell r="K203">
            <v>0</v>
          </cell>
        </row>
        <row r="204">
          <cell r="C204">
            <v>90000310</v>
          </cell>
          <cell r="D204" t="str">
            <v>GMFBR</v>
          </cell>
          <cell r="E204" t="str">
            <v>BIRLA SUN LIFE (MF)</v>
          </cell>
          <cell r="F204" t="str">
            <v>ADEBT</v>
          </cell>
          <cell r="G204">
            <v>0</v>
          </cell>
          <cell r="K204">
            <v>0</v>
          </cell>
        </row>
        <row r="205">
          <cell r="C205">
            <v>90000481</v>
          </cell>
          <cell r="E205" t="str">
            <v>Standard Chartered bank (MF)</v>
          </cell>
          <cell r="F205" t="str">
            <v>ADEBT</v>
          </cell>
          <cell r="G205">
            <v>0</v>
          </cell>
          <cell r="K205">
            <v>0</v>
          </cell>
        </row>
        <row r="206">
          <cell r="C206">
            <v>90000489</v>
          </cell>
          <cell r="E206" t="str">
            <v>FRANKLIN TEMPLETION INVESTMENT(mf)</v>
          </cell>
          <cell r="F206" t="str">
            <v>ADEBT</v>
          </cell>
          <cell r="G206">
            <v>0</v>
          </cell>
          <cell r="K206">
            <v>0</v>
          </cell>
        </row>
        <row r="208">
          <cell r="E208" t="str">
            <v>CURRENT ASSETS- DEBTORS - WDM</v>
          </cell>
        </row>
        <row r="209">
          <cell r="C209">
            <v>90000094</v>
          </cell>
          <cell r="D209" t="str">
            <v>GL1028</v>
          </cell>
          <cell r="E209" t="str">
            <v>RELIANCE CAPITAL MUTUAL FUND(WDM)</v>
          </cell>
          <cell r="F209" t="str">
            <v>ADEBT</v>
          </cell>
          <cell r="G209">
            <v>64025</v>
          </cell>
          <cell r="K209">
            <v>64025</v>
          </cell>
        </row>
        <row r="210">
          <cell r="C210">
            <v>90000114</v>
          </cell>
          <cell r="D210" t="str">
            <v>GL1028</v>
          </cell>
          <cell r="E210" t="str">
            <v>WDM BROKERAGE RECEIVEABLE</v>
          </cell>
          <cell r="F210" t="str">
            <v>ADEBT</v>
          </cell>
          <cell r="G210">
            <v>44154.27</v>
          </cell>
          <cell r="K210">
            <v>44154.27</v>
          </cell>
        </row>
        <row r="211">
          <cell r="C211">
            <v>90000060</v>
          </cell>
          <cell r="D211" t="str">
            <v>GL1028</v>
          </cell>
          <cell r="E211" t="str">
            <v>BANK OF INDIA (WDM)</v>
          </cell>
          <cell r="F211" t="str">
            <v>ADEBT</v>
          </cell>
          <cell r="G211">
            <v>58450</v>
          </cell>
          <cell r="K211">
            <v>58450</v>
          </cell>
        </row>
        <row r="212">
          <cell r="C212">
            <v>90000057</v>
          </cell>
          <cell r="D212" t="str">
            <v>GL1028</v>
          </cell>
          <cell r="E212" t="str">
            <v>BANK OF AMERICA SECURITIES(WDM)</v>
          </cell>
          <cell r="F212" t="str">
            <v>ADEBT</v>
          </cell>
          <cell r="G212">
            <v>22000</v>
          </cell>
          <cell r="K212">
            <v>22000</v>
          </cell>
        </row>
        <row r="213">
          <cell r="C213">
            <v>90000078</v>
          </cell>
          <cell r="D213" t="str">
            <v>GL1028</v>
          </cell>
          <cell r="E213" t="str">
            <v>INDIAN BANK (WDM)</v>
          </cell>
          <cell r="F213" t="str">
            <v>ADEBT</v>
          </cell>
          <cell r="G213">
            <v>14000</v>
          </cell>
          <cell r="K213">
            <v>14000</v>
          </cell>
        </row>
        <row r="214">
          <cell r="C214">
            <v>90000059</v>
          </cell>
          <cell r="D214" t="str">
            <v>GL1028</v>
          </cell>
          <cell r="E214" t="str">
            <v>BANK OF BARODA(WDM)</v>
          </cell>
          <cell r="F214" t="str">
            <v>ADEBT</v>
          </cell>
          <cell r="G214">
            <v>10750</v>
          </cell>
          <cell r="K214">
            <v>10750</v>
          </cell>
        </row>
        <row r="215">
          <cell r="C215">
            <v>90000077</v>
          </cell>
          <cell r="D215" t="str">
            <v>GL1028</v>
          </cell>
          <cell r="E215" t="str">
            <v>IDBI CAPITAL MARKET (WDM)</v>
          </cell>
          <cell r="F215" t="str">
            <v>ADEBT</v>
          </cell>
          <cell r="G215">
            <v>9000</v>
          </cell>
          <cell r="K215">
            <v>9000</v>
          </cell>
        </row>
        <row r="216">
          <cell r="C216">
            <v>90000076</v>
          </cell>
          <cell r="D216" t="str">
            <v>GL1028</v>
          </cell>
          <cell r="E216" t="str">
            <v>IDBI BANK LIMITED (WDM)</v>
          </cell>
          <cell r="F216" t="str">
            <v>ADEBT</v>
          </cell>
          <cell r="G216">
            <v>1500</v>
          </cell>
          <cell r="K216">
            <v>1500</v>
          </cell>
        </row>
        <row r="217">
          <cell r="C217">
            <v>90000090</v>
          </cell>
          <cell r="D217" t="str">
            <v>GL1028</v>
          </cell>
          <cell r="E217" t="str">
            <v>NAVJIVAN NAGRIK SAHKARI BANK(WDM)</v>
          </cell>
          <cell r="F217" t="str">
            <v>ADEBT</v>
          </cell>
          <cell r="G217">
            <v>5500</v>
          </cell>
          <cell r="K217">
            <v>5500</v>
          </cell>
        </row>
        <row r="218">
          <cell r="C218">
            <v>90000075</v>
          </cell>
          <cell r="D218" t="str">
            <v>GL1028</v>
          </cell>
          <cell r="E218" t="str">
            <v>ICICI SECURITIES &amp; FINANCE(WDM)</v>
          </cell>
          <cell r="F218" t="str">
            <v>ADEBT</v>
          </cell>
          <cell r="G218">
            <v>4500</v>
          </cell>
          <cell r="K218">
            <v>4500</v>
          </cell>
        </row>
        <row r="219">
          <cell r="C219">
            <v>90000095</v>
          </cell>
          <cell r="D219" t="str">
            <v>GL1028</v>
          </cell>
          <cell r="E219" t="str">
            <v>RELIANCE CAPITAL TRUSTEE CO.(WDM)</v>
          </cell>
          <cell r="F219" t="str">
            <v>ADEBT</v>
          </cell>
          <cell r="G219">
            <v>4500</v>
          </cell>
          <cell r="K219">
            <v>4500</v>
          </cell>
        </row>
        <row r="220">
          <cell r="C220">
            <v>90000480</v>
          </cell>
          <cell r="D220" t="str">
            <v>GL1028</v>
          </cell>
          <cell r="E220" t="str">
            <v>Bank of Rajasthan (wdm)</v>
          </cell>
          <cell r="F220" t="str">
            <v>ADEBT</v>
          </cell>
          <cell r="G220">
            <v>2500</v>
          </cell>
          <cell r="K220">
            <v>2500</v>
          </cell>
        </row>
        <row r="221">
          <cell r="C221">
            <v>90000067</v>
          </cell>
          <cell r="D221" t="str">
            <v>GL1028</v>
          </cell>
          <cell r="E221" t="str">
            <v>CANBANK MUTUAL FUND (WDM)</v>
          </cell>
          <cell r="F221" t="str">
            <v>ADEBT</v>
          </cell>
          <cell r="G221">
            <v>3500</v>
          </cell>
          <cell r="K221">
            <v>3500</v>
          </cell>
        </row>
        <row r="222">
          <cell r="C222">
            <v>90000113</v>
          </cell>
          <cell r="D222" t="str">
            <v>GL1028</v>
          </cell>
          <cell r="E222" t="str">
            <v>VIJAYA BANK (WDM)</v>
          </cell>
          <cell r="F222" t="str">
            <v>ADEBT</v>
          </cell>
          <cell r="G222">
            <v>500</v>
          </cell>
          <cell r="K222">
            <v>500</v>
          </cell>
        </row>
        <row r="223">
          <cell r="C223">
            <v>90000097</v>
          </cell>
          <cell r="D223" t="str">
            <v>GL1028</v>
          </cell>
          <cell r="E223" t="str">
            <v>SANGLI BANK (WDM)</v>
          </cell>
          <cell r="F223" t="str">
            <v>ADEBT</v>
          </cell>
          <cell r="G223">
            <v>3500</v>
          </cell>
          <cell r="K223">
            <v>3500</v>
          </cell>
        </row>
        <row r="224">
          <cell r="C224">
            <v>90000081</v>
          </cell>
          <cell r="D224" t="str">
            <v>GL1028</v>
          </cell>
          <cell r="E224" t="str">
            <v>JANKALYAN SAHKARI BANK (WDM)</v>
          </cell>
          <cell r="F224" t="str">
            <v>ADEBT</v>
          </cell>
          <cell r="G224">
            <v>3000</v>
          </cell>
          <cell r="K224">
            <v>3000</v>
          </cell>
        </row>
        <row r="225">
          <cell r="C225">
            <v>90000093</v>
          </cell>
          <cell r="D225" t="str">
            <v>GL1028</v>
          </cell>
          <cell r="E225" t="str">
            <v>PUNJAB NATIONAL BANK( WDM)</v>
          </cell>
          <cell r="F225" t="str">
            <v>ADEBT</v>
          </cell>
          <cell r="G225">
            <v>3000</v>
          </cell>
          <cell r="K225">
            <v>3000</v>
          </cell>
        </row>
        <row r="226">
          <cell r="C226">
            <v>90000055</v>
          </cell>
          <cell r="D226" t="str">
            <v>GL1028</v>
          </cell>
          <cell r="E226" t="str">
            <v>BAJAJ AUTO LIMITED(WDM)</v>
          </cell>
          <cell r="F226" t="str">
            <v>ADEBT</v>
          </cell>
          <cell r="G226">
            <v>2500</v>
          </cell>
          <cell r="K226">
            <v>2500</v>
          </cell>
        </row>
        <row r="227">
          <cell r="C227">
            <v>90000098</v>
          </cell>
          <cell r="D227" t="str">
            <v>GL1028</v>
          </cell>
          <cell r="E227" t="str">
            <v>SBI DFHI LTD. (WDM)</v>
          </cell>
          <cell r="F227" t="str">
            <v>ADEBT</v>
          </cell>
          <cell r="G227">
            <v>2250</v>
          </cell>
          <cell r="K227">
            <v>2250</v>
          </cell>
        </row>
        <row r="228">
          <cell r="C228">
            <v>90000070</v>
          </cell>
          <cell r="D228" t="str">
            <v>GL1028</v>
          </cell>
          <cell r="E228" t="str">
            <v>DENA BANK (WDM)</v>
          </cell>
          <cell r="F228" t="str">
            <v>ADEBT</v>
          </cell>
          <cell r="G228">
            <v>2000</v>
          </cell>
          <cell r="K228">
            <v>2000</v>
          </cell>
        </row>
        <row r="229">
          <cell r="C229">
            <v>90000071</v>
          </cell>
          <cell r="D229" t="str">
            <v>GL1028</v>
          </cell>
          <cell r="E229" t="str">
            <v>DHANLAKSHMI BANK (WDM)</v>
          </cell>
          <cell r="F229" t="str">
            <v>ADEBT</v>
          </cell>
          <cell r="G229">
            <v>1750</v>
          </cell>
          <cell r="K229">
            <v>1750</v>
          </cell>
        </row>
        <row r="230">
          <cell r="C230">
            <v>90000086</v>
          </cell>
          <cell r="D230" t="str">
            <v>GL1028</v>
          </cell>
          <cell r="E230" t="str">
            <v>MARATHWADA GRAMIN BANK</v>
          </cell>
          <cell r="F230" t="str">
            <v>ADEBT</v>
          </cell>
          <cell r="G230">
            <v>1750</v>
          </cell>
          <cell r="K230">
            <v>1750</v>
          </cell>
        </row>
        <row r="231">
          <cell r="C231">
            <v>90000101</v>
          </cell>
          <cell r="D231" t="str">
            <v>GL1028</v>
          </cell>
          <cell r="E231" t="str">
            <v>SOPANKAKA SAHKARI BANK (WDM)</v>
          </cell>
          <cell r="F231" t="str">
            <v>ADEBT</v>
          </cell>
          <cell r="G231">
            <v>1500</v>
          </cell>
          <cell r="K231">
            <v>1500</v>
          </cell>
        </row>
        <row r="232">
          <cell r="C232">
            <v>90000311</v>
          </cell>
          <cell r="D232" t="str">
            <v>GL1028</v>
          </cell>
          <cell r="E232" t="str">
            <v>CATHOLIC SYRIAN BANK (WDM)</v>
          </cell>
          <cell r="F232" t="str">
            <v>ADEBT</v>
          </cell>
          <cell r="G232">
            <v>1500</v>
          </cell>
          <cell r="K232">
            <v>1500</v>
          </cell>
        </row>
        <row r="233">
          <cell r="C233">
            <v>90000428</v>
          </cell>
          <cell r="D233" t="str">
            <v>GL1028</v>
          </cell>
          <cell r="E233" t="str">
            <v>Gonlia Gramin Bank (WDM)</v>
          </cell>
          <cell r="F233" t="str">
            <v>ADEBT</v>
          </cell>
          <cell r="G233">
            <v>1500</v>
          </cell>
          <cell r="K233">
            <v>1500</v>
          </cell>
        </row>
        <row r="234">
          <cell r="C234">
            <v>90000110</v>
          </cell>
          <cell r="D234" t="str">
            <v>GL1028</v>
          </cell>
          <cell r="E234" t="str">
            <v>TRIPURA GRAMIN BANK</v>
          </cell>
          <cell r="F234" t="str">
            <v>ADEBT</v>
          </cell>
          <cell r="G234">
            <v>1500</v>
          </cell>
          <cell r="K234">
            <v>1500</v>
          </cell>
        </row>
        <row r="235">
          <cell r="C235">
            <v>90000068</v>
          </cell>
          <cell r="D235" t="str">
            <v>GL1028</v>
          </cell>
          <cell r="E235" t="str">
            <v>CHIKALI URBAN CO-OP BANK(WDM)</v>
          </cell>
          <cell r="F235" t="str">
            <v>ADEBT</v>
          </cell>
          <cell r="G235">
            <v>1000</v>
          </cell>
          <cell r="K235">
            <v>1000</v>
          </cell>
        </row>
        <row r="236">
          <cell r="C236">
            <v>90000069</v>
          </cell>
          <cell r="D236" t="str">
            <v>GL1028</v>
          </cell>
          <cell r="E236" t="str">
            <v>DAPOLI URBAN CO-OP BANK(WDM)</v>
          </cell>
          <cell r="F236" t="str">
            <v>ADEBT</v>
          </cell>
          <cell r="G236">
            <v>1000</v>
          </cell>
          <cell r="K236">
            <v>1000</v>
          </cell>
        </row>
        <row r="237">
          <cell r="C237">
            <v>90000087</v>
          </cell>
          <cell r="D237" t="str">
            <v>GL1028</v>
          </cell>
          <cell r="E237" t="str">
            <v>MAYANI URBANI CO-OP BANK(WDM)</v>
          </cell>
          <cell r="F237" t="str">
            <v>ADEBT</v>
          </cell>
          <cell r="G237">
            <v>1000</v>
          </cell>
          <cell r="K237">
            <v>1000</v>
          </cell>
        </row>
        <row r="238">
          <cell r="C238">
            <v>90000089</v>
          </cell>
          <cell r="D238" t="str">
            <v>GL1028</v>
          </cell>
          <cell r="E238" t="str">
            <v>NANDURBAR MERCHENTS CO-OPERATIVE BANK(WDM)</v>
          </cell>
          <cell r="F238" t="str">
            <v>ADEBT</v>
          </cell>
          <cell r="G238">
            <v>1000</v>
          </cell>
          <cell r="K238">
            <v>1000</v>
          </cell>
        </row>
        <row r="239">
          <cell r="C239">
            <v>90000103</v>
          </cell>
          <cell r="D239" t="str">
            <v>GL1028</v>
          </cell>
          <cell r="E239" t="str">
            <v>STATE BANK OF BIKANER &amp; JAIPUR(WDM)</v>
          </cell>
          <cell r="F239" t="str">
            <v>ADEBT</v>
          </cell>
          <cell r="G239">
            <v>1000</v>
          </cell>
          <cell r="K239">
            <v>1000</v>
          </cell>
        </row>
        <row r="240">
          <cell r="C240">
            <v>90000073</v>
          </cell>
          <cell r="D240" t="str">
            <v>GL1028</v>
          </cell>
          <cell r="E240" t="str">
            <v>HINDU NAGARIK SAHAKARI BANK(WDM)</v>
          </cell>
          <cell r="F240" t="str">
            <v>ADEBT</v>
          </cell>
          <cell r="G240">
            <v>500</v>
          </cell>
          <cell r="K240">
            <v>500</v>
          </cell>
        </row>
        <row r="241">
          <cell r="C241">
            <v>90000080</v>
          </cell>
          <cell r="D241" t="str">
            <v>GL1028</v>
          </cell>
          <cell r="E241" t="str">
            <v>JAISINGPUR UDGAON URBAN CO-OP BANK(WDM)</v>
          </cell>
          <cell r="F241" t="str">
            <v>ADEBT</v>
          </cell>
          <cell r="G241">
            <v>500</v>
          </cell>
          <cell r="K241">
            <v>500</v>
          </cell>
        </row>
        <row r="242">
          <cell r="C242">
            <v>90000096</v>
          </cell>
          <cell r="D242" t="str">
            <v>GL1028</v>
          </cell>
          <cell r="E242" t="str">
            <v>SADHANA SAH BANK (WDM)</v>
          </cell>
          <cell r="F242" t="str">
            <v>ADEBT</v>
          </cell>
          <cell r="G242">
            <v>500</v>
          </cell>
          <cell r="K242">
            <v>500</v>
          </cell>
        </row>
        <row r="243">
          <cell r="C243">
            <v>90000105</v>
          </cell>
          <cell r="D243" t="str">
            <v>GL1028</v>
          </cell>
          <cell r="E243" t="str">
            <v>STATE BANK OF PATIALA (WDM)</v>
          </cell>
          <cell r="F243" t="str">
            <v>ADEBT</v>
          </cell>
          <cell r="G243">
            <v>500</v>
          </cell>
          <cell r="K243">
            <v>500</v>
          </cell>
        </row>
        <row r="244">
          <cell r="C244">
            <v>90000312</v>
          </cell>
          <cell r="D244" t="str">
            <v>GL1028</v>
          </cell>
          <cell r="E244" t="str">
            <v>CITIZEN CREDIT CO-OP BANK (WDM)</v>
          </cell>
          <cell r="F244" t="str">
            <v>ADEBT</v>
          </cell>
          <cell r="G244">
            <v>500</v>
          </cell>
          <cell r="K244">
            <v>500</v>
          </cell>
        </row>
        <row r="245">
          <cell r="C245">
            <v>90000079</v>
          </cell>
          <cell r="D245" t="str">
            <v>GL1028</v>
          </cell>
          <cell r="E245" t="str">
            <v>JAIBHAWANI SAHAKARI BANK(WDM)</v>
          </cell>
          <cell r="F245" t="str">
            <v>ADEBT</v>
          </cell>
          <cell r="G245">
            <v>250</v>
          </cell>
          <cell r="K245">
            <v>250</v>
          </cell>
        </row>
        <row r="246">
          <cell r="C246">
            <v>90000083</v>
          </cell>
          <cell r="D246" t="str">
            <v>GL1028</v>
          </cell>
          <cell r="E246" t="str">
            <v>JAWAHAR SAHAKARI BANK(WDM)</v>
          </cell>
          <cell r="F246" t="str">
            <v>ADEBT</v>
          </cell>
          <cell r="G246">
            <v>250</v>
          </cell>
          <cell r="K246">
            <v>250</v>
          </cell>
        </row>
        <row r="247">
          <cell r="C247">
            <v>90000085</v>
          </cell>
          <cell r="D247" t="str">
            <v>GL1028</v>
          </cell>
          <cell r="E247" t="str">
            <v>KAPOL CO-OP BANK (WDM)</v>
          </cell>
          <cell r="F247" t="str">
            <v>ADEBT</v>
          </cell>
          <cell r="G247">
            <v>250</v>
          </cell>
          <cell r="K247">
            <v>250</v>
          </cell>
        </row>
        <row r="248">
          <cell r="C248">
            <v>90000091</v>
          </cell>
          <cell r="D248" t="str">
            <v>GL1028</v>
          </cell>
          <cell r="E248" t="str">
            <v>NORTH CANARA GSB BANK(WDM)</v>
          </cell>
          <cell r="F248" t="str">
            <v>ADEBT</v>
          </cell>
          <cell r="G248">
            <v>250</v>
          </cell>
          <cell r="K248">
            <v>250</v>
          </cell>
        </row>
        <row r="249">
          <cell r="C249">
            <v>90000201</v>
          </cell>
          <cell r="D249" t="str">
            <v>GL1028</v>
          </cell>
          <cell r="E249" t="str">
            <v>ASTHA PEOPLES CO-OP BANK (WDM)</v>
          </cell>
          <cell r="F249" t="str">
            <v>ADEBT</v>
          </cell>
          <cell r="G249">
            <v>250</v>
          </cell>
          <cell r="K249">
            <v>250</v>
          </cell>
        </row>
        <row r="250">
          <cell r="C250">
            <v>90000100</v>
          </cell>
          <cell r="D250" t="str">
            <v>GL1028</v>
          </cell>
          <cell r="E250" t="str">
            <v>SHAMRAO VITHAL CO-OP BAN</v>
          </cell>
          <cell r="F250" t="str">
            <v>ADEBT</v>
          </cell>
          <cell r="G250">
            <v>50</v>
          </cell>
          <cell r="K250">
            <v>50</v>
          </cell>
        </row>
        <row r="251">
          <cell r="C251">
            <v>90000065</v>
          </cell>
          <cell r="D251" t="str">
            <v>GL1028</v>
          </cell>
          <cell r="E251" t="str">
            <v>CANARA BANK MUTUAL FUND(WDM)</v>
          </cell>
          <cell r="F251" t="str">
            <v>ADEBT</v>
          </cell>
          <cell r="G251">
            <v>0</v>
          </cell>
          <cell r="K251">
            <v>0</v>
          </cell>
        </row>
        <row r="252">
          <cell r="C252">
            <v>90000061</v>
          </cell>
          <cell r="D252" t="str">
            <v>GL1028</v>
          </cell>
          <cell r="E252" t="str">
            <v>BANK OF MAHARASHTRA (WDM)</v>
          </cell>
          <cell r="F252" t="str">
            <v>ADEBT</v>
          </cell>
          <cell r="G252">
            <v>0</v>
          </cell>
          <cell r="K252">
            <v>0</v>
          </cell>
        </row>
        <row r="253">
          <cell r="C253">
            <v>90000102</v>
          </cell>
          <cell r="D253" t="str">
            <v>GL1028</v>
          </cell>
          <cell r="E253" t="str">
            <v>SOUTH INDIAN BANK (WDM)</v>
          </cell>
          <cell r="F253" t="str">
            <v>ADEBT</v>
          </cell>
          <cell r="G253">
            <v>0</v>
          </cell>
          <cell r="K253">
            <v>0</v>
          </cell>
        </row>
        <row r="254">
          <cell r="C254">
            <v>90000108</v>
          </cell>
          <cell r="D254" t="str">
            <v>GL1028</v>
          </cell>
          <cell r="E254" t="str">
            <v>THANE BHARAT SAHKARI BANK(WDM)</v>
          </cell>
          <cell r="F254" t="str">
            <v>ADEBT</v>
          </cell>
          <cell r="G254">
            <v>0</v>
          </cell>
          <cell r="K254">
            <v>0</v>
          </cell>
        </row>
        <row r="255">
          <cell r="C255">
            <v>90000511</v>
          </cell>
          <cell r="D255" t="str">
            <v>GL1028</v>
          </cell>
          <cell r="E255" t="str">
            <v>Union Bank of India (WDM)</v>
          </cell>
          <cell r="F255" t="str">
            <v>ADEBT</v>
          </cell>
          <cell r="G255">
            <v>31500</v>
          </cell>
          <cell r="K255">
            <v>31500</v>
          </cell>
        </row>
        <row r="256">
          <cell r="C256">
            <v>90000107</v>
          </cell>
          <cell r="D256" t="str">
            <v>GL1028</v>
          </cell>
          <cell r="E256" t="str">
            <v>THANE BHARAT COOPERATIVE</v>
          </cell>
          <cell r="F256" t="str">
            <v>ADEBT</v>
          </cell>
          <cell r="G256">
            <v>0</v>
          </cell>
          <cell r="K256">
            <v>0</v>
          </cell>
        </row>
        <row r="259">
          <cell r="E259" t="str">
            <v>CURRENT ASSETS- CASH</v>
          </cell>
        </row>
        <row r="260">
          <cell r="C260">
            <v>24500001</v>
          </cell>
          <cell r="D260" t="str">
            <v>GI033</v>
          </cell>
          <cell r="E260" t="str">
            <v>Mumbai Petty Cash A/C</v>
          </cell>
          <cell r="F260" t="str">
            <v>ACASH</v>
          </cell>
          <cell r="G260">
            <v>7183</v>
          </cell>
          <cell r="K260">
            <v>7183</v>
          </cell>
        </row>
        <row r="261">
          <cell r="C261">
            <v>24500000</v>
          </cell>
          <cell r="D261" t="str">
            <v>GA001</v>
          </cell>
          <cell r="E261" t="str">
            <v>Cash in hand</v>
          </cell>
          <cell r="F261" t="str">
            <v>ACASH</v>
          </cell>
          <cell r="G261">
            <v>135676</v>
          </cell>
          <cell r="K261">
            <v>135676</v>
          </cell>
        </row>
        <row r="262">
          <cell r="C262">
            <v>23520468</v>
          </cell>
          <cell r="D262" t="str">
            <v>GI021</v>
          </cell>
          <cell r="E262" t="str">
            <v>YAMUNANAGAR PETTY CASH</v>
          </cell>
          <cell r="F262" t="str">
            <v>ACASH</v>
          </cell>
          <cell r="G262">
            <v>39</v>
          </cell>
          <cell r="K262">
            <v>39</v>
          </cell>
        </row>
        <row r="263">
          <cell r="C263">
            <v>23520367</v>
          </cell>
          <cell r="D263" t="str">
            <v>GI0255</v>
          </cell>
          <cell r="E263" t="str">
            <v>REWARI PETTY CASH A/C</v>
          </cell>
          <cell r="F263" t="str">
            <v>ACASH</v>
          </cell>
          <cell r="G263">
            <v>1182</v>
          </cell>
          <cell r="K263">
            <v>1182</v>
          </cell>
        </row>
        <row r="264">
          <cell r="C264">
            <v>23520024</v>
          </cell>
          <cell r="D264" t="str">
            <v>GI0232</v>
          </cell>
          <cell r="E264" t="str">
            <v>AMBALA CANTT PETTY CASH A/C</v>
          </cell>
          <cell r="F264" t="str">
            <v>ACASH</v>
          </cell>
          <cell r="G264">
            <v>965</v>
          </cell>
          <cell r="K264">
            <v>965</v>
          </cell>
        </row>
        <row r="265">
          <cell r="C265">
            <v>23520838</v>
          </cell>
          <cell r="E265" t="str">
            <v>COLABA PETTY CASH</v>
          </cell>
          <cell r="F265" t="str">
            <v>ACASH</v>
          </cell>
          <cell r="G265">
            <v>48410</v>
          </cell>
          <cell r="K265">
            <v>48410</v>
          </cell>
        </row>
        <row r="266">
          <cell r="C266">
            <v>23520327</v>
          </cell>
          <cell r="D266" t="str">
            <v>GI0337</v>
          </cell>
          <cell r="E266" t="str">
            <v>PATHANKOT ONLINE PETTY CASH A/C</v>
          </cell>
          <cell r="F266" t="str">
            <v>ACASH</v>
          </cell>
          <cell r="G266">
            <v>866</v>
          </cell>
          <cell r="K266">
            <v>866</v>
          </cell>
        </row>
        <row r="267">
          <cell r="C267">
            <v>23520114</v>
          </cell>
          <cell r="D267" t="str">
            <v>GI094</v>
          </cell>
          <cell r="E267" t="str">
            <v>DALHAUSIE PETTY CASH (CALCUTTA)</v>
          </cell>
          <cell r="F267" t="str">
            <v>ACASH</v>
          </cell>
          <cell r="G267">
            <v>2276</v>
          </cell>
          <cell r="K267">
            <v>2276</v>
          </cell>
        </row>
        <row r="268">
          <cell r="C268">
            <v>23520454</v>
          </cell>
          <cell r="D268" t="str">
            <v>GI069</v>
          </cell>
          <cell r="E268" t="str">
            <v>VIJAY WADA PETTY CASH</v>
          </cell>
          <cell r="F268" t="str">
            <v>ACASH</v>
          </cell>
          <cell r="G268">
            <v>1364</v>
          </cell>
          <cell r="K268">
            <v>1364</v>
          </cell>
        </row>
        <row r="269">
          <cell r="C269">
            <v>23520432</v>
          </cell>
          <cell r="D269" t="str">
            <v>GI0192</v>
          </cell>
          <cell r="E269" t="str">
            <v>TOLLYGUNJ PETTY CASH A/C</v>
          </cell>
          <cell r="F269" t="str">
            <v>ACASH</v>
          </cell>
          <cell r="G269">
            <v>70</v>
          </cell>
          <cell r="K269">
            <v>70</v>
          </cell>
        </row>
        <row r="270">
          <cell r="C270">
            <v>23520165</v>
          </cell>
          <cell r="D270" t="str">
            <v>GI0281</v>
          </cell>
          <cell r="E270" t="str">
            <v>GURGOAN SEC-15 OFFLINE PETTY CASH A/C</v>
          </cell>
          <cell r="F270" t="str">
            <v>ACASH</v>
          </cell>
          <cell r="G270">
            <v>59</v>
          </cell>
          <cell r="K270">
            <v>59</v>
          </cell>
        </row>
        <row r="271">
          <cell r="C271">
            <v>23520031</v>
          </cell>
          <cell r="D271" t="str">
            <v>GI0321</v>
          </cell>
          <cell r="E271" t="str">
            <v>ANAND ONLINE PETTY CASH A/C</v>
          </cell>
          <cell r="F271" t="str">
            <v>ACASH</v>
          </cell>
          <cell r="G271">
            <v>0</v>
          </cell>
          <cell r="K271">
            <v>0</v>
          </cell>
        </row>
        <row r="272">
          <cell r="C272">
            <v>23520019</v>
          </cell>
          <cell r="D272" t="str">
            <v>GI0155</v>
          </cell>
          <cell r="E272" t="str">
            <v>ALLAHABAD ONLINE PETTY CASH A/C</v>
          </cell>
          <cell r="F272" t="str">
            <v>ACASH</v>
          </cell>
          <cell r="G272">
            <v>1145</v>
          </cell>
          <cell r="K272">
            <v>1145</v>
          </cell>
        </row>
        <row r="273">
          <cell r="C273">
            <v>23520009</v>
          </cell>
          <cell r="D273" t="str">
            <v>GI067</v>
          </cell>
          <cell r="E273" t="str">
            <v>AHMEDBAD (OFF) PETTY CASH</v>
          </cell>
          <cell r="F273" t="str">
            <v>ACASH</v>
          </cell>
          <cell r="G273">
            <v>29537</v>
          </cell>
          <cell r="K273">
            <v>29537</v>
          </cell>
        </row>
        <row r="274">
          <cell r="C274">
            <v>23520462</v>
          </cell>
          <cell r="D274" t="str">
            <v>GI055</v>
          </cell>
          <cell r="E274" t="str">
            <v>VIZAG PETTY CASH</v>
          </cell>
          <cell r="F274" t="str">
            <v>ACASH</v>
          </cell>
          <cell r="G274">
            <v>1025</v>
          </cell>
          <cell r="K274">
            <v>1025</v>
          </cell>
        </row>
        <row r="275">
          <cell r="C275">
            <v>23520350</v>
          </cell>
          <cell r="D275" t="str">
            <v>GI0130</v>
          </cell>
          <cell r="E275" t="str">
            <v>PUNJABI BAGH PETTY CASH A/C</v>
          </cell>
          <cell r="F275" t="str">
            <v>ACASH</v>
          </cell>
          <cell r="G275">
            <v>272</v>
          </cell>
          <cell r="K275">
            <v>272</v>
          </cell>
        </row>
        <row r="276">
          <cell r="C276">
            <v>23520227</v>
          </cell>
          <cell r="D276" t="str">
            <v>GI0338</v>
          </cell>
          <cell r="E276" t="str">
            <v>KANDIVALI WEST ONLINE PETTY CASH A/C</v>
          </cell>
          <cell r="F276" t="str">
            <v>ACASH</v>
          </cell>
          <cell r="G276">
            <v>468</v>
          </cell>
          <cell r="K276">
            <v>468</v>
          </cell>
        </row>
        <row r="277">
          <cell r="C277">
            <v>23520313</v>
          </cell>
          <cell r="D277" t="str">
            <v>GI071</v>
          </cell>
          <cell r="E277" t="str">
            <v>NOIDA  PETTY CASH</v>
          </cell>
          <cell r="F277" t="str">
            <v>ACASH</v>
          </cell>
          <cell r="G277">
            <v>761</v>
          </cell>
          <cell r="K277">
            <v>761</v>
          </cell>
        </row>
        <row r="278">
          <cell r="C278">
            <v>23520338</v>
          </cell>
          <cell r="D278" t="str">
            <v>GI0456</v>
          </cell>
          <cell r="E278" t="str">
            <v>PUNE BHANDKAR ROAD PETTY CASH A/C</v>
          </cell>
          <cell r="F278" t="str">
            <v>ACASH</v>
          </cell>
          <cell r="G278">
            <v>3786</v>
          </cell>
          <cell r="K278">
            <v>3786</v>
          </cell>
        </row>
        <row r="279">
          <cell r="C279">
            <v>23520088</v>
          </cell>
          <cell r="D279" t="str">
            <v>GI0121</v>
          </cell>
          <cell r="E279" t="str">
            <v>CHANDNI CHOWK PETTY CASH</v>
          </cell>
          <cell r="F279" t="str">
            <v>ACASH</v>
          </cell>
          <cell r="G279">
            <v>5230</v>
          </cell>
          <cell r="K279">
            <v>5230</v>
          </cell>
        </row>
        <row r="280">
          <cell r="C280">
            <v>23520268</v>
          </cell>
          <cell r="E280" t="str">
            <v>Secundrabad Petty Cash A/C (Distribution Business)</v>
          </cell>
          <cell r="F280" t="str">
            <v>ACASH</v>
          </cell>
          <cell r="G280">
            <v>677</v>
          </cell>
          <cell r="K280">
            <v>677</v>
          </cell>
        </row>
        <row r="281">
          <cell r="C281">
            <v>23520098</v>
          </cell>
          <cell r="D281" t="str">
            <v>GA03001</v>
          </cell>
          <cell r="E281" t="str">
            <v>CHENNAI PETTY CASH A/C</v>
          </cell>
          <cell r="F281" t="str">
            <v>ACASH</v>
          </cell>
          <cell r="G281">
            <v>1259</v>
          </cell>
          <cell r="K281">
            <v>1259</v>
          </cell>
        </row>
        <row r="282">
          <cell r="C282">
            <v>23520420</v>
          </cell>
          <cell r="D282" t="str">
            <v>GI0392</v>
          </cell>
          <cell r="E282" t="str">
            <v>SURAT ONLINE PETTY CASH A/C</v>
          </cell>
          <cell r="F282" t="str">
            <v>ACASH</v>
          </cell>
          <cell r="G282">
            <v>398</v>
          </cell>
          <cell r="K282">
            <v>398</v>
          </cell>
        </row>
        <row r="283">
          <cell r="C283">
            <v>23520117</v>
          </cell>
          <cell r="D283" t="str">
            <v>GI010</v>
          </cell>
          <cell r="E283" t="str">
            <v>DEHRADUN PETTY CASH</v>
          </cell>
          <cell r="F283" t="str">
            <v>ACASH</v>
          </cell>
          <cell r="G283">
            <v>500</v>
          </cell>
          <cell r="K283">
            <v>500</v>
          </cell>
        </row>
        <row r="284">
          <cell r="C284">
            <v>23520080</v>
          </cell>
          <cell r="D284" t="str">
            <v>GI0447</v>
          </cell>
          <cell r="E284" t="str">
            <v>BORIVALI PETTY CASH ONLINE A/C</v>
          </cell>
          <cell r="F284" t="str">
            <v>ACASH</v>
          </cell>
          <cell r="G284">
            <v>2000</v>
          </cell>
          <cell r="K284">
            <v>2000</v>
          </cell>
        </row>
        <row r="285">
          <cell r="C285">
            <v>23520256</v>
          </cell>
          <cell r="D285" t="str">
            <v>GI0140</v>
          </cell>
          <cell r="E285" t="str">
            <v>LAXMI NAGAR PETTY CASH</v>
          </cell>
          <cell r="F285" t="str">
            <v>ACASH</v>
          </cell>
          <cell r="G285">
            <v>3528</v>
          </cell>
          <cell r="K285">
            <v>3528</v>
          </cell>
        </row>
        <row r="286">
          <cell r="C286">
            <v>23520205</v>
          </cell>
          <cell r="D286" t="str">
            <v>GI0100</v>
          </cell>
          <cell r="E286" t="str">
            <v>JALANDER PETTY CASH</v>
          </cell>
          <cell r="F286" t="str">
            <v>ACASH</v>
          </cell>
          <cell r="G286">
            <v>40</v>
          </cell>
          <cell r="K286">
            <v>40</v>
          </cell>
        </row>
        <row r="287">
          <cell r="C287">
            <v>23520108</v>
          </cell>
          <cell r="D287" t="str">
            <v>GI070</v>
          </cell>
          <cell r="E287" t="str">
            <v>COIMBATORE PETTY CASH</v>
          </cell>
          <cell r="F287" t="str">
            <v>ACASH</v>
          </cell>
          <cell r="G287">
            <v>2425</v>
          </cell>
          <cell r="K287">
            <v>2425</v>
          </cell>
        </row>
        <row r="288">
          <cell r="C288">
            <v>23520212</v>
          </cell>
          <cell r="D288" t="str">
            <v>GI09</v>
          </cell>
          <cell r="E288" t="str">
            <v>JAYANAGAR PETTY CASH</v>
          </cell>
          <cell r="F288" t="str">
            <v>ACASH</v>
          </cell>
          <cell r="G288">
            <v>2810</v>
          </cell>
          <cell r="K288">
            <v>2810</v>
          </cell>
        </row>
        <row r="289">
          <cell r="C289">
            <v>23520178</v>
          </cell>
          <cell r="D289" t="str">
            <v>GI0225</v>
          </cell>
          <cell r="E289" t="str">
            <v>HISAR PETTY CASH A/C</v>
          </cell>
          <cell r="F289" t="str">
            <v>ACASH</v>
          </cell>
          <cell r="G289">
            <v>3002</v>
          </cell>
          <cell r="K289">
            <v>3002</v>
          </cell>
        </row>
        <row r="290">
          <cell r="C290">
            <v>23520407</v>
          </cell>
          <cell r="D290" t="str">
            <v>GI0251</v>
          </cell>
          <cell r="E290" t="str">
            <v>SHIVRANJANI AHMEDABAD PETTY CASH A/C</v>
          </cell>
          <cell r="F290" t="str">
            <v>ACASH</v>
          </cell>
          <cell r="G290">
            <v>3120</v>
          </cell>
          <cell r="K290">
            <v>3120</v>
          </cell>
        </row>
        <row r="291">
          <cell r="C291">
            <v>23520052</v>
          </cell>
          <cell r="D291" t="str">
            <v>GI0260</v>
          </cell>
          <cell r="E291" t="str">
            <v>BARODA ONLINE PETTY CASH A/C</v>
          </cell>
          <cell r="F291" t="str">
            <v>ACASH</v>
          </cell>
          <cell r="G291">
            <v>1717</v>
          </cell>
          <cell r="K291">
            <v>1717</v>
          </cell>
        </row>
        <row r="292">
          <cell r="C292">
            <v>23520137</v>
          </cell>
          <cell r="D292" t="str">
            <v>GI0426</v>
          </cell>
          <cell r="E292" t="str">
            <v>FARIDABAD NIT PETTY CASH A/C</v>
          </cell>
          <cell r="F292" t="str">
            <v>ACASH</v>
          </cell>
          <cell r="G292">
            <v>460</v>
          </cell>
          <cell r="K292">
            <v>460</v>
          </cell>
        </row>
        <row r="293">
          <cell r="C293">
            <v>23520370</v>
          </cell>
          <cell r="D293" t="str">
            <v>GI0372</v>
          </cell>
          <cell r="E293" t="str">
            <v>ROHINI PETTY CASH A/C</v>
          </cell>
          <cell r="F293" t="str">
            <v>ACASH</v>
          </cell>
          <cell r="G293">
            <v>434</v>
          </cell>
          <cell r="K293">
            <v>434</v>
          </cell>
        </row>
        <row r="294">
          <cell r="C294">
            <v>23520132</v>
          </cell>
          <cell r="D294" t="str">
            <v>GI0495</v>
          </cell>
          <cell r="E294" t="str">
            <v>EAST OF KAILASH PETTY CASH A/C</v>
          </cell>
          <cell r="F294" t="str">
            <v>ACASH</v>
          </cell>
          <cell r="G294">
            <v>1978</v>
          </cell>
          <cell r="K294">
            <v>1978</v>
          </cell>
        </row>
        <row r="295">
          <cell r="C295">
            <v>23520282</v>
          </cell>
          <cell r="D295" t="str">
            <v>GI0164</v>
          </cell>
          <cell r="E295" t="str">
            <v>MANINAGAR (ONLINE) PETTY CASH A/C</v>
          </cell>
          <cell r="F295" t="str">
            <v>ACASH</v>
          </cell>
          <cell r="G295">
            <v>1334</v>
          </cell>
          <cell r="K295">
            <v>1334</v>
          </cell>
        </row>
        <row r="296">
          <cell r="C296">
            <v>23520167</v>
          </cell>
          <cell r="D296" t="str">
            <v>GI0411</v>
          </cell>
          <cell r="E296" t="str">
            <v>HABSIGUDA PETTY CASH A/C</v>
          </cell>
          <cell r="F296" t="str">
            <v>ACASH</v>
          </cell>
          <cell r="G296">
            <v>3007</v>
          </cell>
          <cell r="K296">
            <v>3007</v>
          </cell>
        </row>
        <row r="297">
          <cell r="C297">
            <v>23520314</v>
          </cell>
          <cell r="D297" t="str">
            <v>GI0148</v>
          </cell>
          <cell r="E297" t="str">
            <v>NOIDA ONLINE PETTY CASH</v>
          </cell>
          <cell r="F297" t="str">
            <v>ACASH</v>
          </cell>
          <cell r="G297">
            <v>3442</v>
          </cell>
          <cell r="K297">
            <v>3442</v>
          </cell>
        </row>
        <row r="298">
          <cell r="C298">
            <v>23520264</v>
          </cell>
          <cell r="D298" t="str">
            <v>GI035</v>
          </cell>
          <cell r="E298" t="str">
            <v>LUDHIANA PETTY CASH A/C</v>
          </cell>
          <cell r="F298" t="str">
            <v>ACASH</v>
          </cell>
          <cell r="G298">
            <v>33</v>
          </cell>
          <cell r="K298">
            <v>33</v>
          </cell>
        </row>
        <row r="299">
          <cell r="C299">
            <v>23520152</v>
          </cell>
          <cell r="D299" t="str">
            <v>GI065</v>
          </cell>
          <cell r="E299" t="str">
            <v>GOA PETTY CASH</v>
          </cell>
          <cell r="F299" t="str">
            <v>ACASH</v>
          </cell>
          <cell r="G299">
            <v>1995</v>
          </cell>
          <cell r="K299">
            <v>1995</v>
          </cell>
        </row>
        <row r="300">
          <cell r="C300">
            <v>23520245</v>
          </cell>
          <cell r="D300" t="str">
            <v>GI0200</v>
          </cell>
          <cell r="E300" t="str">
            <v>KORAMANGALAM (BANGLORE) PETTY CASH A/C</v>
          </cell>
          <cell r="F300" t="str">
            <v>ACASH</v>
          </cell>
          <cell r="G300">
            <v>1917</v>
          </cell>
          <cell r="K300">
            <v>1917</v>
          </cell>
        </row>
        <row r="301">
          <cell r="C301">
            <v>23520422</v>
          </cell>
          <cell r="D301" t="str">
            <v>GI0460</v>
          </cell>
          <cell r="E301" t="str">
            <v>SURAT RING ROAD PETTY CASH A/C</v>
          </cell>
          <cell r="F301" t="str">
            <v>ACASH</v>
          </cell>
          <cell r="G301">
            <v>382</v>
          </cell>
          <cell r="K301">
            <v>382</v>
          </cell>
        </row>
        <row r="302">
          <cell r="C302">
            <v>23520047</v>
          </cell>
          <cell r="D302" t="str">
            <v>GI028</v>
          </cell>
          <cell r="E302" t="str">
            <v>BANGLORE PETTY CASH A/C</v>
          </cell>
          <cell r="F302" t="str">
            <v>ACASH</v>
          </cell>
          <cell r="G302">
            <v>3081</v>
          </cell>
          <cell r="K302">
            <v>3081</v>
          </cell>
        </row>
        <row r="303">
          <cell r="C303">
            <v>23520177</v>
          </cell>
          <cell r="D303" t="str">
            <v>GI0311</v>
          </cell>
          <cell r="E303" t="str">
            <v>HISAR OFFLINE PETTY CASH A/C</v>
          </cell>
          <cell r="F303" t="str">
            <v>ACASH</v>
          </cell>
          <cell r="G303">
            <v>3316</v>
          </cell>
          <cell r="K303">
            <v>3316</v>
          </cell>
        </row>
        <row r="304">
          <cell r="C304">
            <v>23520801</v>
          </cell>
          <cell r="E304" t="str">
            <v>DWARKA SEC-6 ONLINE PETTY CASH A/C</v>
          </cell>
          <cell r="F304" t="str">
            <v>ACASH</v>
          </cell>
          <cell r="G304">
            <v>808</v>
          </cell>
          <cell r="K304">
            <v>808</v>
          </cell>
        </row>
        <row r="305">
          <cell r="C305">
            <v>23520472</v>
          </cell>
          <cell r="E305" t="str">
            <v>KOLKATA VIP ROAD PETTY CASH A/C</v>
          </cell>
          <cell r="F305" t="str">
            <v>ACASH</v>
          </cell>
          <cell r="G305">
            <v>4605.3999999999996</v>
          </cell>
          <cell r="K305">
            <v>4605.3999999999996</v>
          </cell>
        </row>
        <row r="306">
          <cell r="C306">
            <v>23520471</v>
          </cell>
          <cell r="E306" t="str">
            <v>AGRA SADAR ONLINE PETTY CASH A/C</v>
          </cell>
          <cell r="F306" t="str">
            <v>ACASH</v>
          </cell>
          <cell r="G306">
            <v>1743</v>
          </cell>
          <cell r="K306">
            <v>1743</v>
          </cell>
        </row>
        <row r="307">
          <cell r="C307">
            <v>23520216</v>
          </cell>
          <cell r="D307" t="str">
            <v>GI0239</v>
          </cell>
          <cell r="E307" t="str">
            <v>JODHPUR ONLINE PETTY CASH A/C</v>
          </cell>
          <cell r="F307" t="str">
            <v>ACASH</v>
          </cell>
          <cell r="G307">
            <v>370</v>
          </cell>
          <cell r="K307">
            <v>370</v>
          </cell>
        </row>
        <row r="308">
          <cell r="C308">
            <v>23520284</v>
          </cell>
          <cell r="D308" t="str">
            <v>GI0211</v>
          </cell>
          <cell r="E308" t="str">
            <v>MANJALPUR PETTY CASH A/C</v>
          </cell>
          <cell r="F308" t="str">
            <v>ACASH</v>
          </cell>
          <cell r="G308">
            <v>222</v>
          </cell>
          <cell r="K308">
            <v>222</v>
          </cell>
        </row>
        <row r="309">
          <cell r="C309">
            <v>23520081</v>
          </cell>
          <cell r="D309" t="str">
            <v>GI040</v>
          </cell>
          <cell r="E309" t="str">
            <v>CALCUTTA PETTY CASH A/C</v>
          </cell>
          <cell r="F309" t="str">
            <v>ACASH</v>
          </cell>
          <cell r="G309">
            <v>5671</v>
          </cell>
          <cell r="K309">
            <v>5671</v>
          </cell>
        </row>
        <row r="310">
          <cell r="C310">
            <v>23520107</v>
          </cell>
          <cell r="D310" t="str">
            <v>GI0196</v>
          </cell>
          <cell r="E310" t="str">
            <v>COIMBATORE ONLINE PETTY CASH A/C</v>
          </cell>
          <cell r="F310" t="str">
            <v>ACASH</v>
          </cell>
          <cell r="G310">
            <v>1155</v>
          </cell>
          <cell r="K310">
            <v>1155</v>
          </cell>
        </row>
        <row r="311">
          <cell r="C311">
            <v>23520244</v>
          </cell>
          <cell r="D311" t="str">
            <v>GI0378</v>
          </cell>
          <cell r="E311" t="str">
            <v>KONDHWA PUNE PETTY CASH A/C</v>
          </cell>
          <cell r="F311" t="str">
            <v>ACASH</v>
          </cell>
          <cell r="G311">
            <v>16787</v>
          </cell>
          <cell r="K311">
            <v>16787</v>
          </cell>
        </row>
        <row r="312">
          <cell r="C312">
            <v>23520397</v>
          </cell>
          <cell r="D312" t="str">
            <v>GI0136</v>
          </cell>
          <cell r="E312" t="str">
            <v>SEUNDERABAD PETTY CASH A/C</v>
          </cell>
          <cell r="F312" t="str">
            <v>ACASH</v>
          </cell>
          <cell r="G312">
            <v>1286</v>
          </cell>
          <cell r="K312">
            <v>1286</v>
          </cell>
        </row>
        <row r="313">
          <cell r="C313">
            <v>23520096</v>
          </cell>
          <cell r="D313" t="str">
            <v>GI0125</v>
          </cell>
          <cell r="E313" t="str">
            <v>CHENNAI PETTY CASH ( ON LINE )</v>
          </cell>
          <cell r="F313" t="str">
            <v>ACASH</v>
          </cell>
          <cell r="G313">
            <v>6</v>
          </cell>
          <cell r="K313">
            <v>6</v>
          </cell>
        </row>
        <row r="314">
          <cell r="C314">
            <v>23520129</v>
          </cell>
          <cell r="D314" t="str">
            <v>GI0286</v>
          </cell>
          <cell r="E314" t="str">
            <v>DWARKA OFFLINE PETTY CASH A/C</v>
          </cell>
          <cell r="F314" t="str">
            <v>ACASH</v>
          </cell>
          <cell r="G314">
            <v>291.5</v>
          </cell>
          <cell r="K314">
            <v>291.5</v>
          </cell>
        </row>
        <row r="315">
          <cell r="C315">
            <v>23520443</v>
          </cell>
          <cell r="D315" t="str">
            <v>GI0186</v>
          </cell>
          <cell r="E315" t="str">
            <v>VARANASI ONLINE PETTY CASH A/C</v>
          </cell>
          <cell r="F315" t="str">
            <v>ACASH</v>
          </cell>
          <cell r="G315">
            <v>25</v>
          </cell>
          <cell r="K315">
            <v>25</v>
          </cell>
        </row>
        <row r="316">
          <cell r="C316">
            <v>23520301</v>
          </cell>
          <cell r="D316" t="str">
            <v>GI0124</v>
          </cell>
          <cell r="E316" t="str">
            <v>NAGPUR PETTY CASH A/C</v>
          </cell>
          <cell r="F316" t="str">
            <v>ACASH</v>
          </cell>
          <cell r="G316">
            <v>257</v>
          </cell>
          <cell r="K316">
            <v>257</v>
          </cell>
        </row>
        <row r="317">
          <cell r="C317">
            <v>23520084</v>
          </cell>
          <cell r="D317" t="str">
            <v>GA0350</v>
          </cell>
          <cell r="E317" t="str">
            <v>CHANDIGARH PETTY CASH</v>
          </cell>
          <cell r="F317" t="str">
            <v>ACASH</v>
          </cell>
          <cell r="G317">
            <v>721</v>
          </cell>
          <cell r="K317">
            <v>721</v>
          </cell>
        </row>
        <row r="318">
          <cell r="C318">
            <v>24532331</v>
          </cell>
          <cell r="E318" t="str">
            <v>GHAZIABAD ONLINE PETTY CASH A/C</v>
          </cell>
          <cell r="F318" t="str">
            <v>ACASH</v>
          </cell>
          <cell r="G318">
            <v>241</v>
          </cell>
          <cell r="K318">
            <v>241</v>
          </cell>
        </row>
        <row r="319">
          <cell r="C319">
            <v>23520199</v>
          </cell>
          <cell r="D319" t="str">
            <v>GI01</v>
          </cell>
          <cell r="E319" t="str">
            <v>JAIPUR PETTY CASH A/C</v>
          </cell>
          <cell r="F319" t="str">
            <v>ACASH</v>
          </cell>
          <cell r="G319">
            <v>1392</v>
          </cell>
          <cell r="K319">
            <v>1392</v>
          </cell>
        </row>
        <row r="320">
          <cell r="C320">
            <v>23520260</v>
          </cell>
          <cell r="D320" t="str">
            <v>GI0209</v>
          </cell>
          <cell r="E320" t="str">
            <v>LUCKHNOW FAIZABAD ROAD ONLINE PETTY CASH A/C</v>
          </cell>
          <cell r="F320" t="str">
            <v>ACASH</v>
          </cell>
          <cell r="G320">
            <v>1084</v>
          </cell>
          <cell r="K320">
            <v>1084</v>
          </cell>
        </row>
        <row r="321">
          <cell r="C321">
            <v>23520063</v>
          </cell>
          <cell r="D321" t="str">
            <v>GI0228</v>
          </cell>
          <cell r="E321" t="str">
            <v>BHAVNAGAR WAGHAWADI ROAD ONLINE PETTY CASH</v>
          </cell>
          <cell r="F321" t="str">
            <v>ACASH</v>
          </cell>
          <cell r="G321">
            <v>3033</v>
          </cell>
          <cell r="K321">
            <v>3033</v>
          </cell>
        </row>
        <row r="322">
          <cell r="C322">
            <v>23520349</v>
          </cell>
          <cell r="D322" t="str">
            <v>GI0253</v>
          </cell>
          <cell r="E322" t="str">
            <v>PUNJABI BAGH OFFLINE PETTY CASH A/C</v>
          </cell>
          <cell r="F322" t="str">
            <v>ACASH</v>
          </cell>
          <cell r="G322">
            <v>1785</v>
          </cell>
          <cell r="K322">
            <v>1785</v>
          </cell>
        </row>
        <row r="323">
          <cell r="C323">
            <v>23520331</v>
          </cell>
          <cell r="D323" t="str">
            <v>GI0283</v>
          </cell>
          <cell r="E323" t="str">
            <v>PIMPRI PETTY CASH A/C</v>
          </cell>
          <cell r="F323" t="str">
            <v>ACASH</v>
          </cell>
          <cell r="G323">
            <v>2908</v>
          </cell>
          <cell r="K323">
            <v>2908</v>
          </cell>
        </row>
        <row r="324">
          <cell r="C324">
            <v>23520189</v>
          </cell>
          <cell r="D324" t="str">
            <v>GI0497</v>
          </cell>
          <cell r="E324" t="str">
            <v>HYDRABAD HYTECH CITY MADHAPUR PETTY CASH A/C</v>
          </cell>
          <cell r="F324" t="str">
            <v>ACASH</v>
          </cell>
          <cell r="G324">
            <v>2309</v>
          </cell>
          <cell r="K324">
            <v>2309</v>
          </cell>
        </row>
        <row r="325">
          <cell r="C325">
            <v>23520232</v>
          </cell>
          <cell r="D325" t="str">
            <v>GI048</v>
          </cell>
          <cell r="E325" t="str">
            <v>KANPUR PETTY CASH</v>
          </cell>
          <cell r="F325" t="str">
            <v>ACASH</v>
          </cell>
          <cell r="G325">
            <v>334</v>
          </cell>
          <cell r="K325">
            <v>334</v>
          </cell>
        </row>
        <row r="326">
          <cell r="C326">
            <v>23520123</v>
          </cell>
          <cell r="D326" t="str">
            <v>GI0153</v>
          </cell>
          <cell r="E326" t="str">
            <v>DHANBAD PETTY CASH A/C</v>
          </cell>
          <cell r="F326" t="str">
            <v>ACASH</v>
          </cell>
          <cell r="G326">
            <v>545</v>
          </cell>
          <cell r="K326">
            <v>545</v>
          </cell>
        </row>
        <row r="327">
          <cell r="C327">
            <v>23520261</v>
          </cell>
          <cell r="D327" t="str">
            <v>GI050</v>
          </cell>
          <cell r="E327" t="str">
            <v>LUCKNOW PETTY CASH</v>
          </cell>
          <cell r="F327" t="str">
            <v>ACASH</v>
          </cell>
          <cell r="G327">
            <v>559</v>
          </cell>
          <cell r="K327">
            <v>559</v>
          </cell>
        </row>
        <row r="328">
          <cell r="C328">
            <v>23520206</v>
          </cell>
          <cell r="D328" t="str">
            <v>GI0217</v>
          </cell>
          <cell r="E328" t="str">
            <v>JALANDHAR ONLINE PETTY CASH A/C</v>
          </cell>
          <cell r="F328" t="str">
            <v>ACASH</v>
          </cell>
          <cell r="G328">
            <v>160</v>
          </cell>
          <cell r="K328">
            <v>160</v>
          </cell>
        </row>
        <row r="329">
          <cell r="C329">
            <v>23520119</v>
          </cell>
          <cell r="D329" t="str">
            <v>GI0442</v>
          </cell>
          <cell r="E329" t="str">
            <v>DELHI HAUZ KHAS PETTY CASH A/C</v>
          </cell>
          <cell r="F329" t="str">
            <v>ACASH</v>
          </cell>
          <cell r="G329">
            <v>1760</v>
          </cell>
          <cell r="K329">
            <v>1760</v>
          </cell>
        </row>
        <row r="330">
          <cell r="C330">
            <v>23520020</v>
          </cell>
          <cell r="D330" t="str">
            <v>GI059</v>
          </cell>
          <cell r="E330" t="str">
            <v>ALLAHABAD PETTY CASH</v>
          </cell>
          <cell r="F330" t="str">
            <v>ACASH</v>
          </cell>
          <cell r="G330">
            <v>74</v>
          </cell>
          <cell r="K330">
            <v>74</v>
          </cell>
        </row>
        <row r="331">
          <cell r="C331">
            <v>23520194</v>
          </cell>
          <cell r="D331" t="str">
            <v>GI054</v>
          </cell>
          <cell r="E331" t="str">
            <v>INDORE PETTY CASH</v>
          </cell>
          <cell r="F331" t="str">
            <v>ACASH</v>
          </cell>
          <cell r="G331">
            <v>4244</v>
          </cell>
          <cell r="K331">
            <v>4244</v>
          </cell>
        </row>
        <row r="332">
          <cell r="C332">
            <v>23520363</v>
          </cell>
          <cell r="D332" t="str">
            <v>GI062</v>
          </cell>
          <cell r="E332" t="str">
            <v>RANCHI- PETTY CASH</v>
          </cell>
          <cell r="F332" t="str">
            <v>ACASH</v>
          </cell>
          <cell r="G332">
            <v>1945</v>
          </cell>
          <cell r="K332">
            <v>1945</v>
          </cell>
        </row>
        <row r="333">
          <cell r="C333">
            <v>23520197</v>
          </cell>
          <cell r="D333" t="str">
            <v>GI0367</v>
          </cell>
          <cell r="E333" t="str">
            <v>JAIPUR MALVIYA NAGAR ONLINE PETTY CASH A\C</v>
          </cell>
          <cell r="F333" t="str">
            <v>ACASH</v>
          </cell>
          <cell r="G333">
            <v>3954.5</v>
          </cell>
          <cell r="K333">
            <v>3954.5</v>
          </cell>
        </row>
        <row r="334">
          <cell r="C334">
            <v>23520329</v>
          </cell>
          <cell r="D334" t="str">
            <v>GA03002</v>
          </cell>
          <cell r="E334" t="str">
            <v>PATIALA PETTY CASH</v>
          </cell>
          <cell r="F334" t="str">
            <v>ACASH</v>
          </cell>
          <cell r="G334">
            <v>410</v>
          </cell>
          <cell r="K334">
            <v>410</v>
          </cell>
        </row>
        <row r="335">
          <cell r="C335">
            <v>23520188</v>
          </cell>
          <cell r="D335" t="str">
            <v>GI0314</v>
          </cell>
          <cell r="E335" t="str">
            <v>HYDRABAD DILSUKH OFFLINE PETTY CASH A/C</v>
          </cell>
          <cell r="F335" t="str">
            <v>ACASH</v>
          </cell>
          <cell r="G335">
            <v>762</v>
          </cell>
          <cell r="K335">
            <v>762</v>
          </cell>
        </row>
        <row r="336">
          <cell r="C336">
            <v>23520147</v>
          </cell>
          <cell r="D336" t="str">
            <v>GI084</v>
          </cell>
          <cell r="E336" t="str">
            <v>GHAZIABAD PETTY CASH</v>
          </cell>
          <cell r="F336" t="str">
            <v>ACASH</v>
          </cell>
          <cell r="G336">
            <v>924</v>
          </cell>
          <cell r="K336">
            <v>924</v>
          </cell>
        </row>
        <row r="337">
          <cell r="C337">
            <v>23520234</v>
          </cell>
          <cell r="D337" t="str">
            <v>GI0285</v>
          </cell>
          <cell r="E337" t="str">
            <v>KARKARDOOMA PETTY CASH A/C</v>
          </cell>
          <cell r="F337" t="str">
            <v>ACASH</v>
          </cell>
          <cell r="G337">
            <v>291</v>
          </cell>
          <cell r="K337">
            <v>291</v>
          </cell>
        </row>
        <row r="338">
          <cell r="C338">
            <v>23520030</v>
          </cell>
          <cell r="D338" t="str">
            <v>GI0158</v>
          </cell>
          <cell r="E338" t="str">
            <v>AMRITSAR PETTY CASH ONLINE</v>
          </cell>
          <cell r="F338" t="str">
            <v>ACASH</v>
          </cell>
          <cell r="G338">
            <v>1501</v>
          </cell>
          <cell r="K338">
            <v>1501</v>
          </cell>
        </row>
        <row r="339">
          <cell r="C339">
            <v>23520071</v>
          </cell>
          <cell r="D339" t="str">
            <v>GI0262</v>
          </cell>
          <cell r="E339" t="str">
            <v>BHUVNESHWAR JANPATH PETTY CASH A/C</v>
          </cell>
          <cell r="F339" t="str">
            <v>ACASH</v>
          </cell>
          <cell r="G339">
            <v>1759</v>
          </cell>
          <cell r="K339">
            <v>1759</v>
          </cell>
        </row>
        <row r="340">
          <cell r="C340">
            <v>23520396</v>
          </cell>
          <cell r="D340" t="str">
            <v>GI0383</v>
          </cell>
          <cell r="E340" t="str">
            <v>SECUNDERABAD OFFLINE PETTY CASH A/C</v>
          </cell>
          <cell r="F340" t="str">
            <v>ACASH</v>
          </cell>
          <cell r="G340">
            <v>395</v>
          </cell>
          <cell r="K340">
            <v>395</v>
          </cell>
        </row>
        <row r="341">
          <cell r="C341">
            <v>23520441</v>
          </cell>
          <cell r="D341" t="str">
            <v>GI0174</v>
          </cell>
          <cell r="E341" t="str">
            <v>VAISHALI PETTY CASH A/C</v>
          </cell>
          <cell r="F341" t="str">
            <v>ACASH</v>
          </cell>
          <cell r="G341">
            <v>326</v>
          </cell>
          <cell r="K341">
            <v>326</v>
          </cell>
        </row>
        <row r="342">
          <cell r="C342">
            <v>23520439</v>
          </cell>
          <cell r="D342" t="str">
            <v>GI0134</v>
          </cell>
          <cell r="E342" t="str">
            <v>ULLHASNAGAR PETTY CASH</v>
          </cell>
          <cell r="F342" t="str">
            <v>ACASH</v>
          </cell>
          <cell r="G342">
            <v>8691</v>
          </cell>
          <cell r="K342">
            <v>8691</v>
          </cell>
        </row>
        <row r="343">
          <cell r="C343">
            <v>23520087</v>
          </cell>
          <cell r="D343" t="str">
            <v>GI0256</v>
          </cell>
          <cell r="E343" t="str">
            <v>CHANDNI CHOWK OFFLINE PETTY CASH A/C</v>
          </cell>
          <cell r="F343" t="str">
            <v>ACASH</v>
          </cell>
          <cell r="G343">
            <v>452</v>
          </cell>
          <cell r="K343">
            <v>452</v>
          </cell>
        </row>
        <row r="344">
          <cell r="C344">
            <v>23520415</v>
          </cell>
          <cell r="D344" t="str">
            <v>GI0162</v>
          </cell>
          <cell r="E344" t="str">
            <v>SOUTH EXTN. PETTY CASH PART-II</v>
          </cell>
          <cell r="F344" t="str">
            <v>ACASH</v>
          </cell>
          <cell r="G344">
            <v>1491</v>
          </cell>
          <cell r="K344">
            <v>1491</v>
          </cell>
        </row>
        <row r="345">
          <cell r="C345">
            <v>23520262</v>
          </cell>
          <cell r="D345" t="str">
            <v>GI0161</v>
          </cell>
          <cell r="E345" t="str">
            <v>LUCKNOW PETTY CASH ( ONLINE )</v>
          </cell>
          <cell r="F345" t="str">
            <v>ACASH</v>
          </cell>
          <cell r="G345">
            <v>389.7</v>
          </cell>
          <cell r="K345">
            <v>389.7</v>
          </cell>
        </row>
        <row r="346">
          <cell r="C346">
            <v>23520358</v>
          </cell>
          <cell r="D346" t="str">
            <v>GI061</v>
          </cell>
          <cell r="E346" t="str">
            <v>RAJKOT  PETTY CASH</v>
          </cell>
          <cell r="F346" t="str">
            <v>ACASH</v>
          </cell>
          <cell r="G346">
            <v>172</v>
          </cell>
          <cell r="K346">
            <v>172</v>
          </cell>
        </row>
        <row r="347">
          <cell r="C347">
            <v>23520142</v>
          </cell>
          <cell r="D347" t="str">
            <v>GI0263</v>
          </cell>
          <cell r="E347" t="str">
            <v>FORT MUMBAI PETTY CASH A/C</v>
          </cell>
          <cell r="F347" t="str">
            <v>ACASH</v>
          </cell>
          <cell r="G347">
            <v>35</v>
          </cell>
          <cell r="K347">
            <v>35</v>
          </cell>
        </row>
        <row r="348">
          <cell r="C348">
            <v>23520332</v>
          </cell>
          <cell r="D348" t="str">
            <v>GI017</v>
          </cell>
          <cell r="E348" t="str">
            <v>PITAMPURA ( DELHI ) PETTY CASH</v>
          </cell>
          <cell r="F348" t="str">
            <v>ACASH</v>
          </cell>
          <cell r="G348">
            <v>570</v>
          </cell>
          <cell r="K348">
            <v>570</v>
          </cell>
        </row>
        <row r="349">
          <cell r="C349">
            <v>23520134</v>
          </cell>
          <cell r="D349" t="str">
            <v>GI0176</v>
          </cell>
          <cell r="E349" t="str">
            <v>F-BLOCK DELHI PETTY CASH A/C</v>
          </cell>
          <cell r="F349" t="str">
            <v>ACASH</v>
          </cell>
          <cell r="G349">
            <v>11725</v>
          </cell>
          <cell r="K349">
            <v>11725</v>
          </cell>
        </row>
        <row r="350">
          <cell r="C350">
            <v>23520806</v>
          </cell>
          <cell r="E350" t="str">
            <v>GURGAON SECTOR 14 ONLINE PEETY CASH</v>
          </cell>
          <cell r="F350" t="str">
            <v>ACASH</v>
          </cell>
          <cell r="G350">
            <v>4786</v>
          </cell>
          <cell r="K350">
            <v>4786</v>
          </cell>
        </row>
        <row r="351">
          <cell r="C351">
            <v>23520437</v>
          </cell>
          <cell r="D351" t="str">
            <v>GI0127</v>
          </cell>
          <cell r="E351" t="str">
            <v>UDAIPUR PETTY CASH A/C</v>
          </cell>
          <cell r="F351" t="str">
            <v>ACASH</v>
          </cell>
          <cell r="G351">
            <v>2026</v>
          </cell>
          <cell r="K351">
            <v>2026</v>
          </cell>
        </row>
        <row r="352">
          <cell r="C352">
            <v>23520255</v>
          </cell>
          <cell r="D352" t="str">
            <v>GI0299</v>
          </cell>
          <cell r="E352" t="str">
            <v>LAXMI NAGAR ONLINE PETTY CASH A/C</v>
          </cell>
          <cell r="F352" t="str">
            <v>ACASH</v>
          </cell>
          <cell r="G352">
            <v>490</v>
          </cell>
          <cell r="K352">
            <v>490</v>
          </cell>
        </row>
        <row r="353">
          <cell r="C353">
            <v>23520324</v>
          </cell>
          <cell r="D353" t="str">
            <v>GA0025</v>
          </cell>
          <cell r="E353" t="str">
            <v>PANIPAT PETTY CASH</v>
          </cell>
          <cell r="F353" t="str">
            <v>ACASH</v>
          </cell>
          <cell r="G353">
            <v>2429</v>
          </cell>
          <cell r="K353">
            <v>2429</v>
          </cell>
        </row>
        <row r="354">
          <cell r="C354">
            <v>23520145</v>
          </cell>
          <cell r="D354" t="str">
            <v>GI0302</v>
          </cell>
          <cell r="E354" t="str">
            <v>GARIHAT PETTY CASH A/C</v>
          </cell>
          <cell r="F354" t="str">
            <v>ACASH</v>
          </cell>
          <cell r="G354">
            <v>4585.5</v>
          </cell>
          <cell r="K354">
            <v>4585.5</v>
          </cell>
        </row>
        <row r="355">
          <cell r="C355">
            <v>23520183</v>
          </cell>
          <cell r="D355" t="str">
            <v>GI0345</v>
          </cell>
          <cell r="E355" t="str">
            <v>HYDERABAD HITECH CITY PETTY CASH A/C</v>
          </cell>
          <cell r="F355" t="str">
            <v>ACASH</v>
          </cell>
          <cell r="G355">
            <v>1081</v>
          </cell>
          <cell r="K355">
            <v>1081</v>
          </cell>
        </row>
        <row r="356">
          <cell r="C356">
            <v>23520138</v>
          </cell>
          <cell r="D356" t="str">
            <v>GI0430</v>
          </cell>
          <cell r="E356" t="str">
            <v>FARIDABAD OFFLINE SEC-15 PETTY CASH A/C</v>
          </cell>
          <cell r="F356" t="str">
            <v>ACASH</v>
          </cell>
          <cell r="G356">
            <v>4602</v>
          </cell>
          <cell r="K356">
            <v>4602</v>
          </cell>
        </row>
        <row r="357">
          <cell r="C357">
            <v>23520182</v>
          </cell>
          <cell r="D357" t="str">
            <v>GI092</v>
          </cell>
          <cell r="E357" t="str">
            <v>HUBLI PETTY CASH A/C</v>
          </cell>
          <cell r="F357" t="str">
            <v>ACASH</v>
          </cell>
          <cell r="G357">
            <v>15659</v>
          </cell>
          <cell r="K357">
            <v>15659</v>
          </cell>
        </row>
        <row r="358">
          <cell r="C358">
            <v>23520163</v>
          </cell>
          <cell r="D358" t="str">
            <v>GI077</v>
          </cell>
          <cell r="E358" t="str">
            <v>GURGAON - PETTY CASH</v>
          </cell>
          <cell r="F358" t="str">
            <v>ACASH</v>
          </cell>
          <cell r="G358">
            <v>4337</v>
          </cell>
          <cell r="K358">
            <v>4337</v>
          </cell>
        </row>
        <row r="359">
          <cell r="C359">
            <v>23520085</v>
          </cell>
          <cell r="D359" t="str">
            <v>GI0167</v>
          </cell>
          <cell r="E359" t="str">
            <v>CHANDIGARH PETTY CASH A/C ( SECTOR 35 )</v>
          </cell>
          <cell r="F359" t="str">
            <v>ACASH</v>
          </cell>
          <cell r="G359">
            <v>531</v>
          </cell>
          <cell r="K359">
            <v>531</v>
          </cell>
        </row>
        <row r="360">
          <cell r="C360">
            <v>23520029</v>
          </cell>
          <cell r="D360" t="str">
            <v>GI02</v>
          </cell>
          <cell r="E360" t="str">
            <v>AMRITSAR PETTY CASH</v>
          </cell>
          <cell r="F360" t="str">
            <v>ACASH</v>
          </cell>
          <cell r="G360">
            <v>1698</v>
          </cell>
          <cell r="K360">
            <v>1698</v>
          </cell>
        </row>
        <row r="361">
          <cell r="C361">
            <v>23520106</v>
          </cell>
          <cell r="D361" t="str">
            <v>GI060</v>
          </cell>
          <cell r="E361" t="str">
            <v>COCHIN PETTY CASH</v>
          </cell>
          <cell r="F361" t="str">
            <v>ACASH</v>
          </cell>
          <cell r="G361">
            <v>1482</v>
          </cell>
          <cell r="K361">
            <v>1482</v>
          </cell>
        </row>
        <row r="362">
          <cell r="C362">
            <v>23520139</v>
          </cell>
          <cell r="D362" t="str">
            <v>GI057</v>
          </cell>
          <cell r="E362" t="str">
            <v>FARIDABAD PETTY CASH A/C</v>
          </cell>
          <cell r="F362" t="str">
            <v>ACASH</v>
          </cell>
          <cell r="G362">
            <v>1304</v>
          </cell>
          <cell r="K362">
            <v>1304</v>
          </cell>
        </row>
        <row r="363">
          <cell r="C363">
            <v>23520305</v>
          </cell>
          <cell r="D363" t="str">
            <v>GI0252</v>
          </cell>
          <cell r="E363" t="str">
            <v>NASIK OFFLINE PETTY CASH A/C</v>
          </cell>
          <cell r="F363" t="str">
            <v>ACASH</v>
          </cell>
          <cell r="G363">
            <v>41</v>
          </cell>
          <cell r="K363">
            <v>41</v>
          </cell>
        </row>
        <row r="364">
          <cell r="C364">
            <v>23520278</v>
          </cell>
          <cell r="D364" t="str">
            <v>GI0116</v>
          </cell>
          <cell r="E364" t="str">
            <v>MANDI GOBINDGARH- PETTY CASH</v>
          </cell>
          <cell r="F364" t="str">
            <v>ACASH</v>
          </cell>
          <cell r="G364">
            <v>1170</v>
          </cell>
          <cell r="K364">
            <v>1170</v>
          </cell>
        </row>
        <row r="365">
          <cell r="C365">
            <v>23520086</v>
          </cell>
          <cell r="D365" t="str">
            <v>GI0104</v>
          </cell>
          <cell r="E365" t="str">
            <v>CHANDIGHAR PETTY CASH (OFFLINE)</v>
          </cell>
          <cell r="F365" t="str">
            <v>ACASH</v>
          </cell>
          <cell r="G365">
            <v>315</v>
          </cell>
          <cell r="K365">
            <v>315</v>
          </cell>
        </row>
        <row r="366">
          <cell r="C366">
            <v>23520348</v>
          </cell>
          <cell r="D366" t="str">
            <v>GI0427</v>
          </cell>
          <cell r="E366" t="str">
            <v>PUNE SHIVAJINAGAR ONLINE</v>
          </cell>
          <cell r="F366" t="str">
            <v>ACASH</v>
          </cell>
          <cell r="G366">
            <v>700</v>
          </cell>
          <cell r="K366">
            <v>700</v>
          </cell>
        </row>
        <row r="367">
          <cell r="C367">
            <v>23520359</v>
          </cell>
          <cell r="D367" t="str">
            <v>GI0249</v>
          </cell>
          <cell r="E367" t="str">
            <v>RAJKOT ONLINE PETTY CASH A/C</v>
          </cell>
          <cell r="F367" t="str">
            <v>ACASH</v>
          </cell>
          <cell r="G367">
            <v>335</v>
          </cell>
          <cell r="K367">
            <v>335</v>
          </cell>
        </row>
        <row r="368">
          <cell r="C368">
            <v>23520283</v>
          </cell>
          <cell r="D368" t="str">
            <v>GI0145</v>
          </cell>
          <cell r="E368" t="str">
            <v>MANINAGAR OFFLINE PETTY CASH A/C</v>
          </cell>
          <cell r="F368" t="str">
            <v>ACASH</v>
          </cell>
          <cell r="G368">
            <v>3075</v>
          </cell>
          <cell r="K368">
            <v>3075</v>
          </cell>
        </row>
        <row r="369">
          <cell r="C369">
            <v>23520184</v>
          </cell>
          <cell r="D369" t="str">
            <v>GI049</v>
          </cell>
          <cell r="E369" t="str">
            <v>HYDERABAD OFFLINE PETTY CASH A/C</v>
          </cell>
          <cell r="F369" t="str">
            <v>ACASH</v>
          </cell>
          <cell r="G369">
            <v>17098</v>
          </cell>
          <cell r="K369">
            <v>17098</v>
          </cell>
        </row>
        <row r="370">
          <cell r="C370">
            <v>23520248</v>
          </cell>
          <cell r="D370" t="str">
            <v>GI0445</v>
          </cell>
          <cell r="E370" t="str">
            <v>KRISHNA NAGAR OFFLINE PETTY CASH A/C</v>
          </cell>
          <cell r="F370" t="str">
            <v>ACASH</v>
          </cell>
          <cell r="G370">
            <v>5726</v>
          </cell>
          <cell r="K370">
            <v>5726</v>
          </cell>
        </row>
        <row r="371">
          <cell r="C371">
            <v>23520382</v>
          </cell>
          <cell r="D371" t="str">
            <v>GI0102</v>
          </cell>
          <cell r="E371" t="str">
            <v>SALT LAKE ( CALCUTTA ) PETTY CASH A/C</v>
          </cell>
          <cell r="F371" t="str">
            <v>ACASH</v>
          </cell>
          <cell r="G371">
            <v>3786</v>
          </cell>
          <cell r="K371">
            <v>3786</v>
          </cell>
        </row>
        <row r="372">
          <cell r="C372">
            <v>23520012</v>
          </cell>
          <cell r="D372" t="str">
            <v>GI086</v>
          </cell>
          <cell r="E372" t="str">
            <v>AJMER PETTY CASH A/C</v>
          </cell>
          <cell r="F372" t="str">
            <v>ACASH</v>
          </cell>
          <cell r="G372">
            <v>3374</v>
          </cell>
          <cell r="K372">
            <v>3374</v>
          </cell>
        </row>
        <row r="373">
          <cell r="C373">
            <v>23520401</v>
          </cell>
          <cell r="D373" t="str">
            <v>GI0257</v>
          </cell>
          <cell r="E373" t="str">
            <v>SHALIMAR BAGH PETTY CASH A/C</v>
          </cell>
          <cell r="F373" t="str">
            <v>ACASH</v>
          </cell>
          <cell r="G373">
            <v>1152</v>
          </cell>
          <cell r="K373">
            <v>1152</v>
          </cell>
        </row>
        <row r="374">
          <cell r="C374">
            <v>23520151</v>
          </cell>
          <cell r="D374" t="str">
            <v>GI015</v>
          </cell>
          <cell r="E374" t="str">
            <v>GK-II PETTY CASH</v>
          </cell>
          <cell r="F374" t="str">
            <v>ACASH</v>
          </cell>
          <cell r="G374">
            <v>82</v>
          </cell>
          <cell r="K374">
            <v>82</v>
          </cell>
        </row>
        <row r="375">
          <cell r="C375">
            <v>23520347</v>
          </cell>
          <cell r="D375" t="str">
            <v>GI0189</v>
          </cell>
          <cell r="E375" t="str">
            <v>PUNE SHANKAR SETH ROAD PETTY CASH A/C</v>
          </cell>
          <cell r="F375" t="str">
            <v>ACASH</v>
          </cell>
          <cell r="G375">
            <v>255</v>
          </cell>
          <cell r="K375">
            <v>255</v>
          </cell>
        </row>
        <row r="376">
          <cell r="C376">
            <v>23520289</v>
          </cell>
          <cell r="D376" t="str">
            <v>GI0205</v>
          </cell>
          <cell r="E376" t="str">
            <v>MAYAPURI PETTY CASH A/C</v>
          </cell>
          <cell r="F376" t="str">
            <v>ACASH</v>
          </cell>
          <cell r="G376">
            <v>986</v>
          </cell>
          <cell r="K376">
            <v>986</v>
          </cell>
        </row>
        <row r="377">
          <cell r="C377">
            <v>23520394</v>
          </cell>
          <cell r="D377" t="str">
            <v>GI0210</v>
          </cell>
          <cell r="E377" t="str">
            <v>SATELLITE PETTY CASH</v>
          </cell>
          <cell r="F377" t="str">
            <v>ACASH</v>
          </cell>
          <cell r="G377">
            <v>44</v>
          </cell>
          <cell r="K377">
            <v>44</v>
          </cell>
        </row>
        <row r="378">
          <cell r="C378">
            <v>23520075</v>
          </cell>
          <cell r="D378" t="str">
            <v>GI0357</v>
          </cell>
          <cell r="E378" t="str">
            <v>BIKANER PETTY CASH A/C</v>
          </cell>
          <cell r="F378" t="str">
            <v>ACASH</v>
          </cell>
          <cell r="G378">
            <v>4622</v>
          </cell>
          <cell r="K378">
            <v>4622</v>
          </cell>
        </row>
        <row r="379">
          <cell r="C379">
            <v>23520118</v>
          </cell>
          <cell r="D379" t="str">
            <v>GI0310</v>
          </cell>
          <cell r="E379" t="str">
            <v>DEHRADUN RAJA ROAD PETTY CASH A/C</v>
          </cell>
          <cell r="F379" t="str">
            <v>ACASH</v>
          </cell>
          <cell r="G379">
            <v>395</v>
          </cell>
          <cell r="K379">
            <v>395</v>
          </cell>
        </row>
        <row r="380">
          <cell r="C380">
            <v>23520187</v>
          </cell>
          <cell r="D380" t="str">
            <v>GI0297</v>
          </cell>
          <cell r="E380" t="str">
            <v>HYDRABAD DILSUKH NAGAR PETTY CASH A/C</v>
          </cell>
          <cell r="F380" t="str">
            <v>ACASH</v>
          </cell>
          <cell r="G380">
            <v>950</v>
          </cell>
          <cell r="K380">
            <v>950</v>
          </cell>
        </row>
        <row r="381">
          <cell r="C381">
            <v>23520489</v>
          </cell>
          <cell r="E381" t="str">
            <v>KANPUR LAJPAT NAGAR PETTY CASH A/C</v>
          </cell>
          <cell r="F381" t="str">
            <v>ACASH</v>
          </cell>
          <cell r="G381">
            <v>516</v>
          </cell>
          <cell r="K381">
            <v>516</v>
          </cell>
        </row>
        <row r="382">
          <cell r="C382">
            <v>23520450</v>
          </cell>
          <cell r="D382" t="str">
            <v>GI0466</v>
          </cell>
          <cell r="E382" t="str">
            <v>VASHI ONLINE PETTY CASH A/C</v>
          </cell>
          <cell r="F382" t="str">
            <v>ACASH</v>
          </cell>
          <cell r="G382">
            <v>285</v>
          </cell>
          <cell r="K382">
            <v>285</v>
          </cell>
        </row>
        <row r="383">
          <cell r="C383">
            <v>23520148</v>
          </cell>
          <cell r="D383" t="str">
            <v>GI0319</v>
          </cell>
          <cell r="E383" t="str">
            <v>GHAZIABAD VAISHALI PETTY CASH A/C</v>
          </cell>
          <cell r="F383" t="str">
            <v>ACASH</v>
          </cell>
          <cell r="G383">
            <v>11</v>
          </cell>
          <cell r="K383">
            <v>11</v>
          </cell>
        </row>
        <row r="384">
          <cell r="C384">
            <v>23520198</v>
          </cell>
          <cell r="D384" t="str">
            <v>GI013</v>
          </cell>
          <cell r="E384" t="str">
            <v>JAIPUR ONLINE-PETTY CASH</v>
          </cell>
          <cell r="F384" t="str">
            <v>ACASH</v>
          </cell>
          <cell r="G384">
            <v>181</v>
          </cell>
          <cell r="K384">
            <v>181</v>
          </cell>
        </row>
        <row r="385">
          <cell r="C385">
            <v>23521151</v>
          </cell>
          <cell r="E385" t="str">
            <v>Ahemdabad Shivranjani (Dist.Bus.)-Petty cash</v>
          </cell>
          <cell r="F385" t="str">
            <v>ACASH</v>
          </cell>
          <cell r="G385">
            <v>14.5</v>
          </cell>
          <cell r="K385">
            <v>14.5</v>
          </cell>
        </row>
        <row r="386">
          <cell r="C386">
            <v>23520228</v>
          </cell>
          <cell r="D386" t="str">
            <v>GI0298</v>
          </cell>
          <cell r="E386" t="str">
            <v>KANDIVALI WEST PETTY CASH A/C</v>
          </cell>
          <cell r="F386" t="str">
            <v>ACASH</v>
          </cell>
          <cell r="G386">
            <v>13123</v>
          </cell>
          <cell r="K386">
            <v>13123</v>
          </cell>
        </row>
        <row r="387">
          <cell r="C387">
            <v>23520051</v>
          </cell>
          <cell r="D387" t="str">
            <v>GI0103</v>
          </cell>
          <cell r="E387" t="str">
            <v>BARODA -PETTY CASH</v>
          </cell>
          <cell r="F387" t="str">
            <v>ACASH</v>
          </cell>
          <cell r="G387">
            <v>416</v>
          </cell>
          <cell r="K387">
            <v>416</v>
          </cell>
        </row>
        <row r="388">
          <cell r="C388">
            <v>23520306</v>
          </cell>
          <cell r="D388" t="str">
            <v>GI0108</v>
          </cell>
          <cell r="E388" t="str">
            <v>NASIK PETTY CASH</v>
          </cell>
          <cell r="F388" t="str">
            <v>ACASH</v>
          </cell>
          <cell r="G388">
            <v>212.5</v>
          </cell>
          <cell r="K388">
            <v>212.5</v>
          </cell>
        </row>
        <row r="389">
          <cell r="C389">
            <v>23520095</v>
          </cell>
          <cell r="D389" t="str">
            <v>GI0432</v>
          </cell>
          <cell r="E389" t="str">
            <v>CHENNAI P.H. ROAD ONLINE PETTY CASH A/C</v>
          </cell>
          <cell r="F389" t="str">
            <v>ACASH</v>
          </cell>
          <cell r="G389">
            <v>3336</v>
          </cell>
          <cell r="K389">
            <v>3336</v>
          </cell>
        </row>
        <row r="390">
          <cell r="C390">
            <v>23520014</v>
          </cell>
          <cell r="D390" t="str">
            <v>GI0318</v>
          </cell>
          <cell r="E390" t="str">
            <v>ALAKNANDA DELHI PETTY CASH A/C</v>
          </cell>
          <cell r="F390" t="str">
            <v>ACASH</v>
          </cell>
          <cell r="G390">
            <v>240</v>
          </cell>
          <cell r="K390">
            <v>240</v>
          </cell>
        </row>
        <row r="391">
          <cell r="C391">
            <v>23520784</v>
          </cell>
          <cell r="E391" t="str">
            <v>HYDERABAD BANJARA HILLS ONLINE PETTY CASH A/C</v>
          </cell>
          <cell r="F391" t="str">
            <v>ACASH</v>
          </cell>
          <cell r="G391">
            <v>2439</v>
          </cell>
          <cell r="K391">
            <v>2439</v>
          </cell>
        </row>
        <row r="392">
          <cell r="C392">
            <v>23520208</v>
          </cell>
          <cell r="D392" t="str">
            <v>GI0254</v>
          </cell>
          <cell r="E392" t="str">
            <v>JALGAON PETTY CASH A/C</v>
          </cell>
          <cell r="F392" t="str">
            <v>ACASH</v>
          </cell>
          <cell r="G392">
            <v>4</v>
          </cell>
          <cell r="K392">
            <v>4</v>
          </cell>
        </row>
        <row r="393">
          <cell r="C393">
            <v>23520231</v>
          </cell>
          <cell r="D393" t="str">
            <v>GI0132</v>
          </cell>
          <cell r="E393" t="str">
            <v>KANPUR  PETTY CASH A/C ONLINE</v>
          </cell>
          <cell r="F393" t="str">
            <v>ACASH</v>
          </cell>
          <cell r="G393">
            <v>21002</v>
          </cell>
          <cell r="K393">
            <v>21002</v>
          </cell>
        </row>
        <row r="394">
          <cell r="C394">
            <v>23520290</v>
          </cell>
          <cell r="D394" t="str">
            <v>GI058</v>
          </cell>
          <cell r="E394" t="str">
            <v>MEERUT PETTY CASH</v>
          </cell>
          <cell r="F394" t="str">
            <v>ACASH</v>
          </cell>
          <cell r="G394">
            <v>0</v>
          </cell>
          <cell r="K394">
            <v>0</v>
          </cell>
        </row>
        <row r="395">
          <cell r="C395">
            <v>23520296</v>
          </cell>
          <cell r="D395" t="str">
            <v>GI081</v>
          </cell>
          <cell r="E395" t="str">
            <v>MORADABAD PETTY CASH</v>
          </cell>
          <cell r="F395" t="str">
            <v>ACASH</v>
          </cell>
          <cell r="G395">
            <v>0</v>
          </cell>
          <cell r="K395">
            <v>0</v>
          </cell>
        </row>
        <row r="396">
          <cell r="C396">
            <v>23520447</v>
          </cell>
          <cell r="D396" t="str">
            <v>GI0365</v>
          </cell>
          <cell r="E396" t="str">
            <v>VASANT KUNJ ONLINE PETTY CASH A/C</v>
          </cell>
          <cell r="F396" t="str">
            <v>ACASH</v>
          </cell>
          <cell r="G396">
            <v>0</v>
          </cell>
          <cell r="K396">
            <v>0</v>
          </cell>
        </row>
        <row r="397">
          <cell r="C397">
            <v>23520170</v>
          </cell>
          <cell r="D397" t="str">
            <v>GI0294</v>
          </cell>
          <cell r="E397" t="str">
            <v>HAMILTON HOUSE A BLOCK PETTY CASH A/C</v>
          </cell>
          <cell r="F397" t="str">
            <v>ACASH</v>
          </cell>
          <cell r="G397">
            <v>6479</v>
          </cell>
          <cell r="K397">
            <v>6479</v>
          </cell>
        </row>
        <row r="398">
          <cell r="C398">
            <v>23520263</v>
          </cell>
          <cell r="D398" t="str">
            <v>GI0268</v>
          </cell>
          <cell r="E398" t="str">
            <v>LUDHIANA MILLER GUNG PETTY CASH A/C</v>
          </cell>
          <cell r="F398" t="str">
            <v>ACASH</v>
          </cell>
          <cell r="G398">
            <v>0</v>
          </cell>
          <cell r="K398">
            <v>0</v>
          </cell>
        </row>
        <row r="399">
          <cell r="C399">
            <v>23520267</v>
          </cell>
          <cell r="E399" t="str">
            <v>Mumbai Fort Petty Cash ( Distribution Business )</v>
          </cell>
          <cell r="F399" t="str">
            <v>ACASH</v>
          </cell>
          <cell r="G399">
            <v>0</v>
          </cell>
          <cell r="K399">
            <v>0</v>
          </cell>
        </row>
        <row r="400">
          <cell r="C400">
            <v>23520436</v>
          </cell>
          <cell r="D400" t="str">
            <v>GI0324</v>
          </cell>
          <cell r="E400" t="str">
            <v>UDAIPUR OFFLINE PETTY CASH A/C</v>
          </cell>
          <cell r="F400" t="str">
            <v>ACASH</v>
          </cell>
          <cell r="G400">
            <v>0</v>
          </cell>
          <cell r="K400">
            <v>0</v>
          </cell>
        </row>
        <row r="401">
          <cell r="C401">
            <v>23520446</v>
          </cell>
          <cell r="D401" t="str">
            <v>GI0276</v>
          </cell>
          <cell r="E401" t="str">
            <v>VASANT KUNJ OFFLINE PETTY CASH A/C</v>
          </cell>
          <cell r="F401" t="str">
            <v>ACASH</v>
          </cell>
          <cell r="G401">
            <v>0</v>
          </cell>
          <cell r="K401">
            <v>0</v>
          </cell>
        </row>
        <row r="402">
          <cell r="C402">
            <v>23520458</v>
          </cell>
          <cell r="D402" t="str">
            <v>GI0341</v>
          </cell>
          <cell r="E402" t="str">
            <v>VILE PARLE PETTY CASH A/C</v>
          </cell>
          <cell r="F402" t="str">
            <v>ACASH</v>
          </cell>
          <cell r="G402">
            <v>0</v>
          </cell>
          <cell r="K402">
            <v>0</v>
          </cell>
        </row>
        <row r="403">
          <cell r="C403">
            <v>23520748</v>
          </cell>
          <cell r="E403" t="str">
            <v>CHENNAI MYLAPORE ONLINE PETTY CASH A/C</v>
          </cell>
          <cell r="F403" t="str">
            <v>ACASH</v>
          </cell>
          <cell r="G403">
            <v>0</v>
          </cell>
          <cell r="K403">
            <v>0</v>
          </cell>
        </row>
        <row r="404">
          <cell r="C404">
            <v>23520699</v>
          </cell>
          <cell r="E404" t="str">
            <v>Ranchi Petty Cash A/c</v>
          </cell>
          <cell r="F404" t="str">
            <v>ACASH</v>
          </cell>
          <cell r="G404">
            <v>339</v>
          </cell>
          <cell r="K404">
            <v>339</v>
          </cell>
        </row>
        <row r="405">
          <cell r="C405">
            <v>23520276</v>
          </cell>
          <cell r="E405" t="str">
            <v>Delhi A Block Petty Cash A/C(Distribution Busines)</v>
          </cell>
          <cell r="F405" t="str">
            <v>ACASH</v>
          </cell>
          <cell r="G405">
            <v>0</v>
          </cell>
          <cell r="K405">
            <v>0</v>
          </cell>
        </row>
        <row r="406">
          <cell r="C406">
            <v>23521153</v>
          </cell>
          <cell r="E406" t="str">
            <v>Kolkata Dalhousie (Dist. Busi.) Petty Cash</v>
          </cell>
          <cell r="F406" t="str">
            <v>ACASH</v>
          </cell>
          <cell r="G406">
            <v>2235</v>
          </cell>
          <cell r="K406">
            <v>2235</v>
          </cell>
        </row>
        <row r="407">
          <cell r="C407">
            <v>23520254</v>
          </cell>
          <cell r="E407" t="str">
            <v>ROHINI SEC-3 OFFLINE PETTY CASH A/C</v>
          </cell>
          <cell r="F407" t="str">
            <v>ACASH</v>
          </cell>
          <cell r="G407">
            <v>10820</v>
          </cell>
          <cell r="K407">
            <v>10820</v>
          </cell>
        </row>
        <row r="408">
          <cell r="C408">
            <v>23520840</v>
          </cell>
          <cell r="D408" t="str">
            <v>GI0402</v>
          </cell>
          <cell r="E408" t="str">
            <v>MODI NAGAR PETTY CASH A/C</v>
          </cell>
          <cell r="F408" t="str">
            <v>ACASH</v>
          </cell>
          <cell r="G408">
            <v>0</v>
          </cell>
          <cell r="K408">
            <v>0</v>
          </cell>
        </row>
        <row r="409">
          <cell r="C409">
            <v>23520269</v>
          </cell>
          <cell r="E409" t="str">
            <v>Delhi F Block Petty Cash A/C(Distribution Business</v>
          </cell>
          <cell r="F409" t="str">
            <v>ACASH</v>
          </cell>
          <cell r="G409">
            <v>0</v>
          </cell>
          <cell r="K409">
            <v>0</v>
          </cell>
        </row>
        <row r="411">
          <cell r="E411" t="str">
            <v>CURRENT ASSETS- BANK</v>
          </cell>
        </row>
        <row r="412">
          <cell r="C412">
            <v>23514750</v>
          </cell>
          <cell r="E412" t="str">
            <v>IDBI A/C 038102000015543(F/D A/C, GURGAON)</v>
          </cell>
          <cell r="F412" t="str">
            <v>ABANK</v>
          </cell>
          <cell r="G412">
            <v>2981088</v>
          </cell>
          <cell r="K412">
            <v>2981088</v>
          </cell>
        </row>
        <row r="413">
          <cell r="C413">
            <v>23503790</v>
          </cell>
          <cell r="D413" t="str">
            <v>GA00B215</v>
          </cell>
          <cell r="E413" t="str">
            <v>269443  Uco Bank</v>
          </cell>
          <cell r="F413" t="str">
            <v>ABANK</v>
          </cell>
          <cell r="G413">
            <v>10012314.119999999</v>
          </cell>
          <cell r="K413">
            <v>10012314.119999999</v>
          </cell>
        </row>
        <row r="414">
          <cell r="C414">
            <v>23510470</v>
          </cell>
          <cell r="E414" t="str">
            <v>Indian Bank  a/c no 723815435</v>
          </cell>
          <cell r="F414" t="str">
            <v>ABANK</v>
          </cell>
          <cell r="G414">
            <v>62878</v>
          </cell>
          <cell r="K414">
            <v>62878</v>
          </cell>
        </row>
        <row r="415">
          <cell r="C415">
            <v>23500640</v>
          </cell>
          <cell r="D415" t="str">
            <v>GA00B99</v>
          </cell>
          <cell r="E415" t="str">
            <v>Union Bank Of India 25136</v>
          </cell>
          <cell r="F415" t="str">
            <v>ABANK</v>
          </cell>
          <cell r="G415">
            <v>65595.8</v>
          </cell>
          <cell r="K415">
            <v>65595.8</v>
          </cell>
        </row>
        <row r="416">
          <cell r="C416">
            <v>23500890</v>
          </cell>
          <cell r="D416" t="str">
            <v>GA00B104</v>
          </cell>
          <cell r="E416" t="str">
            <v>Icici Bank (Free Press, Mumbai) A/C 15895</v>
          </cell>
          <cell r="F416" t="str">
            <v>ABANK</v>
          </cell>
          <cell r="G416">
            <v>9256080.3900000006</v>
          </cell>
          <cell r="K416">
            <v>9256080.3900000006</v>
          </cell>
        </row>
        <row r="417">
          <cell r="C417">
            <v>23514070</v>
          </cell>
          <cell r="E417" t="str">
            <v>05988510000240 ISL DIVIDEND 2007-2008 A/C</v>
          </cell>
          <cell r="F417" t="str">
            <v>ABANK</v>
          </cell>
          <cell r="G417">
            <v>4376288</v>
          </cell>
          <cell r="K417">
            <v>4376288</v>
          </cell>
        </row>
        <row r="418">
          <cell r="C418">
            <v>23520127</v>
          </cell>
          <cell r="E418" t="str">
            <v>ISL-DIVIDEND A/C-08-09 -HDFC 05988510000422</v>
          </cell>
          <cell r="F418" t="str">
            <v>ABANK</v>
          </cell>
          <cell r="G418">
            <v>3203172</v>
          </cell>
          <cell r="K418">
            <v>3203172</v>
          </cell>
        </row>
        <row r="419">
          <cell r="C419">
            <v>23502580</v>
          </cell>
          <cell r="D419" t="str">
            <v>GA00B182</v>
          </cell>
          <cell r="E419" t="str">
            <v>0030340018143 ISL</v>
          </cell>
          <cell r="F419" t="str">
            <v>ABANK</v>
          </cell>
          <cell r="G419">
            <v>9581025.5999999996</v>
          </cell>
          <cell r="K419">
            <v>9581025.5999999996</v>
          </cell>
        </row>
        <row r="420">
          <cell r="C420">
            <v>23503980</v>
          </cell>
          <cell r="D420" t="str">
            <v>GA00B525</v>
          </cell>
          <cell r="E420" t="str">
            <v>0540340003004 Hdfc Bank Ltd</v>
          </cell>
          <cell r="F420" t="str">
            <v>ABANK</v>
          </cell>
          <cell r="G420">
            <v>3277935</v>
          </cell>
          <cell r="K420">
            <v>3277935</v>
          </cell>
        </row>
        <row r="421">
          <cell r="C421">
            <v>23502620</v>
          </cell>
          <cell r="D421" t="str">
            <v>GA00B243</v>
          </cell>
          <cell r="E421" t="str">
            <v>ISL- Uti Bank Ltd For Ho-007010200039622</v>
          </cell>
          <cell r="F421" t="str">
            <v>ABANK</v>
          </cell>
          <cell r="G421">
            <v>784180.07</v>
          </cell>
          <cell r="K421">
            <v>784180.07</v>
          </cell>
        </row>
        <row r="422">
          <cell r="C422">
            <v>23500090</v>
          </cell>
          <cell r="D422" t="str">
            <v>GA00B211</v>
          </cell>
          <cell r="E422" t="str">
            <v>Hdfc Bank (Brokers) 10340005474</v>
          </cell>
          <cell r="F422" t="str">
            <v>ABANK</v>
          </cell>
          <cell r="G422">
            <v>7001013.1900000004</v>
          </cell>
          <cell r="K422">
            <v>7001013.1900000004</v>
          </cell>
        </row>
        <row r="423">
          <cell r="C423">
            <v>23501590</v>
          </cell>
          <cell r="D423" t="str">
            <v>GA00B142</v>
          </cell>
          <cell r="E423" t="str">
            <v>Hsbc Account 051-895951-002</v>
          </cell>
          <cell r="F423" t="str">
            <v>ABANK</v>
          </cell>
          <cell r="G423">
            <v>8498111.0999999996</v>
          </cell>
          <cell r="K423">
            <v>8498111.0999999996</v>
          </cell>
        </row>
        <row r="424">
          <cell r="C424">
            <v>23520150</v>
          </cell>
          <cell r="E424" t="str">
            <v>Indiabulls Securities Ltd. A/c No. 00030340037616</v>
          </cell>
          <cell r="F424" t="str">
            <v>ABANK</v>
          </cell>
          <cell r="G424">
            <v>7892819.2300000004</v>
          </cell>
          <cell r="K424">
            <v>7892819.2300000004</v>
          </cell>
        </row>
        <row r="425">
          <cell r="C425">
            <v>23500072</v>
          </cell>
          <cell r="E425" t="str">
            <v>ISL Preference Dividend Account 07-08 598851000013</v>
          </cell>
          <cell r="F425" t="str">
            <v>ABANK</v>
          </cell>
          <cell r="G425">
            <v>0</v>
          </cell>
          <cell r="K425">
            <v>0</v>
          </cell>
        </row>
        <row r="426">
          <cell r="C426">
            <v>23520600</v>
          </cell>
          <cell r="E426" t="str">
            <v>0276050413756  UNITED BANK OF INDIA</v>
          </cell>
          <cell r="F426" t="str">
            <v>ABANK</v>
          </cell>
          <cell r="G426">
            <v>321894.36</v>
          </cell>
          <cell r="K426">
            <v>321894.36</v>
          </cell>
        </row>
        <row r="427">
          <cell r="C427">
            <v>23501610</v>
          </cell>
          <cell r="D427" t="str">
            <v>GA00B148</v>
          </cell>
          <cell r="E427" t="str">
            <v>0182340000130 Hdfc Bank</v>
          </cell>
          <cell r="F427" t="str">
            <v>ABANK</v>
          </cell>
          <cell r="G427">
            <v>234198.55</v>
          </cell>
          <cell r="K427">
            <v>234198.55</v>
          </cell>
        </row>
        <row r="428">
          <cell r="C428">
            <v>23503800</v>
          </cell>
          <cell r="D428" t="str">
            <v>GA00B216</v>
          </cell>
          <cell r="E428" t="str">
            <v xml:space="preserve"> Bank of Maharastra 20007603128</v>
          </cell>
          <cell r="F428" t="str">
            <v>ABANK</v>
          </cell>
          <cell r="G428">
            <v>697959</v>
          </cell>
          <cell r="K428">
            <v>697959</v>
          </cell>
        </row>
        <row r="429">
          <cell r="C429">
            <v>23500840</v>
          </cell>
          <cell r="D429" t="str">
            <v>GA00B262</v>
          </cell>
          <cell r="E429" t="str">
            <v>0030340022261 Hdfc Bank Ltd</v>
          </cell>
          <cell r="F429" t="str">
            <v>ABANK</v>
          </cell>
          <cell r="G429">
            <v>149723.73000000001</v>
          </cell>
          <cell r="K429">
            <v>149723.73000000001</v>
          </cell>
        </row>
        <row r="430">
          <cell r="C430">
            <v>23502640</v>
          </cell>
          <cell r="D430" t="str">
            <v>GA00B350</v>
          </cell>
          <cell r="E430" t="str">
            <v>0480340000015 Hdfc Bank Ltd</v>
          </cell>
          <cell r="F430" t="str">
            <v>ABANK</v>
          </cell>
          <cell r="G430">
            <v>134841.60000000001</v>
          </cell>
          <cell r="K430">
            <v>134841.60000000001</v>
          </cell>
        </row>
        <row r="431">
          <cell r="C431">
            <v>23502030</v>
          </cell>
          <cell r="D431" t="str">
            <v>GA00B112</v>
          </cell>
          <cell r="E431" t="str">
            <v>0360340000342 Hdfc Bank</v>
          </cell>
          <cell r="F431" t="str">
            <v>ABANK</v>
          </cell>
          <cell r="G431">
            <v>86067.12</v>
          </cell>
          <cell r="K431">
            <v>86067.12</v>
          </cell>
        </row>
        <row r="432">
          <cell r="C432">
            <v>23502820</v>
          </cell>
          <cell r="D432" t="str">
            <v>GA00B24</v>
          </cell>
          <cell r="E432" t="str">
            <v>0090340000292 Hdfc Bank</v>
          </cell>
          <cell r="F432" t="str">
            <v>ABANK</v>
          </cell>
          <cell r="G432">
            <v>116906.61</v>
          </cell>
          <cell r="K432">
            <v>116906.61</v>
          </cell>
        </row>
        <row r="433">
          <cell r="C433">
            <v>23502060</v>
          </cell>
          <cell r="D433" t="str">
            <v>GA00B115</v>
          </cell>
          <cell r="E433" t="str">
            <v>0070340000352 Hdfc Bank</v>
          </cell>
          <cell r="F433" t="str">
            <v>ABANK</v>
          </cell>
          <cell r="G433">
            <v>107279.79</v>
          </cell>
          <cell r="K433">
            <v>107279.79</v>
          </cell>
        </row>
        <row r="434">
          <cell r="C434">
            <v>23503720</v>
          </cell>
          <cell r="D434" t="str">
            <v>GA00B214</v>
          </cell>
          <cell r="E434" t="str">
            <v>004010200559638  Uti  Bank</v>
          </cell>
          <cell r="F434" t="str">
            <v>ABANK</v>
          </cell>
          <cell r="G434">
            <v>83068.09</v>
          </cell>
          <cell r="K434">
            <v>83068.09</v>
          </cell>
        </row>
        <row r="435">
          <cell r="C435">
            <v>23502300</v>
          </cell>
          <cell r="D435" t="str">
            <v>GA00B488</v>
          </cell>
          <cell r="E435" t="str">
            <v>0280340000028 Hdfc Bankltd</v>
          </cell>
          <cell r="F435" t="str">
            <v>ABANK</v>
          </cell>
          <cell r="G435">
            <v>244599.24</v>
          </cell>
          <cell r="K435">
            <v>244599.24</v>
          </cell>
        </row>
        <row r="436">
          <cell r="C436">
            <v>23503000</v>
          </cell>
          <cell r="D436" t="str">
            <v>GA00B332</v>
          </cell>
          <cell r="E436" t="str">
            <v>1190340000121  Hdfc Bank Ltd.</v>
          </cell>
          <cell r="F436" t="str">
            <v>ABANK</v>
          </cell>
          <cell r="G436">
            <v>159592.59</v>
          </cell>
          <cell r="K436">
            <v>159592.59</v>
          </cell>
        </row>
        <row r="437">
          <cell r="C437">
            <v>23501320</v>
          </cell>
          <cell r="D437" t="str">
            <v>GA00B123</v>
          </cell>
          <cell r="E437" t="str">
            <v>2250340000011 Hdfc Bank</v>
          </cell>
          <cell r="F437" t="str">
            <v>ABANK</v>
          </cell>
          <cell r="G437">
            <v>226763</v>
          </cell>
          <cell r="K437">
            <v>226763</v>
          </cell>
        </row>
        <row r="438">
          <cell r="C438">
            <v>23501000</v>
          </cell>
          <cell r="D438" t="str">
            <v>GA00B167</v>
          </cell>
          <cell r="E438" t="str">
            <v>0040340002766 Hdfc Bank</v>
          </cell>
          <cell r="F438" t="str">
            <v>ABANK</v>
          </cell>
          <cell r="G438">
            <v>131772.63</v>
          </cell>
          <cell r="K438">
            <v>131772.63</v>
          </cell>
        </row>
        <row r="439">
          <cell r="C439">
            <v>23500660</v>
          </cell>
          <cell r="D439" t="str">
            <v>GA00B107</v>
          </cell>
          <cell r="E439" t="str">
            <v>Abn Amro Bank 6523927</v>
          </cell>
          <cell r="F439" t="str">
            <v>ABANK</v>
          </cell>
          <cell r="G439">
            <v>95095.79</v>
          </cell>
          <cell r="K439">
            <v>95095.79</v>
          </cell>
        </row>
        <row r="440">
          <cell r="C440">
            <v>23505120</v>
          </cell>
          <cell r="D440" t="str">
            <v>GA00B477</v>
          </cell>
          <cell r="E440" t="str">
            <v>Allahabad Bank a/c no 20015744423</v>
          </cell>
          <cell r="F440" t="str">
            <v>ABANK</v>
          </cell>
          <cell r="G440">
            <v>1863331</v>
          </cell>
          <cell r="K440">
            <v>1863331</v>
          </cell>
        </row>
        <row r="441">
          <cell r="C441">
            <v>23503750</v>
          </cell>
          <cell r="D441" t="str">
            <v>GA00B285</v>
          </cell>
          <cell r="E441" t="str">
            <v>2260340000179  Hdfc Bank Ltd</v>
          </cell>
          <cell r="F441" t="str">
            <v>ABANK</v>
          </cell>
          <cell r="G441">
            <v>135149.07</v>
          </cell>
          <cell r="K441">
            <v>135149.07</v>
          </cell>
        </row>
        <row r="442">
          <cell r="C442">
            <v>23501400</v>
          </cell>
          <cell r="D442" t="str">
            <v>GA00B92</v>
          </cell>
          <cell r="E442" t="str">
            <v>0540340000958 Hdfc Bank</v>
          </cell>
          <cell r="F442" t="str">
            <v>ABANK</v>
          </cell>
          <cell r="G442">
            <v>86643.199999999997</v>
          </cell>
          <cell r="K442">
            <v>86643.199999999997</v>
          </cell>
        </row>
        <row r="443">
          <cell r="C443">
            <v>23503220</v>
          </cell>
          <cell r="D443" t="str">
            <v>GA00B321</v>
          </cell>
          <cell r="E443" t="str">
            <v>0642340000107  Hdfc Bank Ltd.</v>
          </cell>
          <cell r="F443" t="str">
            <v>ABANK</v>
          </cell>
          <cell r="G443">
            <v>93038.96</v>
          </cell>
          <cell r="K443">
            <v>93038.96</v>
          </cell>
        </row>
        <row r="444">
          <cell r="C444">
            <v>23500410</v>
          </cell>
          <cell r="D444" t="str">
            <v>GA00B209</v>
          </cell>
          <cell r="E444" t="str">
            <v>0880340000064 Hdfc Bank</v>
          </cell>
          <cell r="F444" t="str">
            <v>ABANK</v>
          </cell>
          <cell r="G444">
            <v>145190.01999999999</v>
          </cell>
          <cell r="K444">
            <v>145190.01999999999</v>
          </cell>
        </row>
        <row r="445">
          <cell r="C445">
            <v>23502810</v>
          </cell>
          <cell r="D445" t="str">
            <v>GA00B23</v>
          </cell>
          <cell r="E445" t="str">
            <v>0062340000381 Hdfc Bank</v>
          </cell>
          <cell r="F445" t="str">
            <v>ABANK</v>
          </cell>
          <cell r="G445">
            <v>67487.149999999994</v>
          </cell>
          <cell r="K445">
            <v>67487.149999999994</v>
          </cell>
        </row>
        <row r="446">
          <cell r="C446">
            <v>23501930</v>
          </cell>
          <cell r="D446" t="str">
            <v>GA00B309</v>
          </cell>
          <cell r="E446" t="str">
            <v>4290340000281  Hdfc Bank Ltd.</v>
          </cell>
          <cell r="F446" t="str">
            <v>ABANK</v>
          </cell>
          <cell r="G446">
            <v>120920.99</v>
          </cell>
          <cell r="K446">
            <v>120920.99</v>
          </cell>
        </row>
        <row r="447">
          <cell r="C447">
            <v>23504480</v>
          </cell>
          <cell r="D447" t="str">
            <v>GA00B410</v>
          </cell>
          <cell r="E447" t="str">
            <v>0540340002936  Hdfc Bank Ltd.</v>
          </cell>
          <cell r="F447" t="str">
            <v>ABANK</v>
          </cell>
          <cell r="G447">
            <v>73509.820000000007</v>
          </cell>
          <cell r="K447">
            <v>73509.820000000007</v>
          </cell>
        </row>
        <row r="448">
          <cell r="C448">
            <v>23502660</v>
          </cell>
          <cell r="D448" t="str">
            <v>GA00B351</v>
          </cell>
          <cell r="E448" t="str">
            <v>0482340000055 Hdfc Bank Ltd</v>
          </cell>
          <cell r="F448" t="str">
            <v>ABANK</v>
          </cell>
          <cell r="G448">
            <v>72319.210000000006</v>
          </cell>
          <cell r="K448">
            <v>72319.210000000006</v>
          </cell>
        </row>
        <row r="449">
          <cell r="C449">
            <v>23500400</v>
          </cell>
          <cell r="D449" t="str">
            <v>GA00B175</v>
          </cell>
          <cell r="E449" t="str">
            <v>1270340002975 Hdfc Bank</v>
          </cell>
          <cell r="F449" t="str">
            <v>ABANK</v>
          </cell>
          <cell r="G449">
            <v>46154.720000000001</v>
          </cell>
          <cell r="K449">
            <v>46154.720000000001</v>
          </cell>
        </row>
        <row r="450">
          <cell r="C450">
            <v>23502800</v>
          </cell>
          <cell r="D450" t="str">
            <v>GA00B22</v>
          </cell>
          <cell r="E450" t="str">
            <v>0140340002609 Hdfc Bank</v>
          </cell>
          <cell r="F450" t="str">
            <v>ABANK</v>
          </cell>
          <cell r="G450">
            <v>182122.02</v>
          </cell>
          <cell r="K450">
            <v>182122.02</v>
          </cell>
        </row>
        <row r="451">
          <cell r="C451">
            <v>23512480</v>
          </cell>
          <cell r="E451" t="str">
            <v>HDFC Bank Ltd. SRTRR2 00670340000865</v>
          </cell>
          <cell r="F451" t="str">
            <v>ABANK</v>
          </cell>
          <cell r="G451">
            <v>85940.83</v>
          </cell>
          <cell r="K451">
            <v>85940.83</v>
          </cell>
        </row>
        <row r="452">
          <cell r="C452">
            <v>23501920</v>
          </cell>
          <cell r="D452" t="str">
            <v>GA00B308</v>
          </cell>
          <cell r="E452" t="str">
            <v>0032340000732  Hdfc Bank Ltd</v>
          </cell>
          <cell r="F452" t="str">
            <v>ABANK</v>
          </cell>
          <cell r="G452">
            <v>112432.76</v>
          </cell>
          <cell r="K452">
            <v>112432.76</v>
          </cell>
        </row>
        <row r="453">
          <cell r="C453">
            <v>23502130</v>
          </cell>
          <cell r="D453" t="str">
            <v>GA00B37</v>
          </cell>
          <cell r="E453" t="str">
            <v>2540340000011 Hdfc Bank</v>
          </cell>
          <cell r="F453" t="str">
            <v>ABANK</v>
          </cell>
          <cell r="G453">
            <v>116594.83</v>
          </cell>
          <cell r="K453">
            <v>116594.83</v>
          </cell>
        </row>
        <row r="454">
          <cell r="C454">
            <v>23500940</v>
          </cell>
          <cell r="D454" t="str">
            <v>GA00B159</v>
          </cell>
          <cell r="E454" t="str">
            <v>Karnataka Bank-Mumbai(15201)</v>
          </cell>
          <cell r="F454" t="str">
            <v>ABANK</v>
          </cell>
          <cell r="G454">
            <v>53125</v>
          </cell>
          <cell r="K454">
            <v>53125</v>
          </cell>
        </row>
        <row r="455">
          <cell r="C455">
            <v>23501080</v>
          </cell>
          <cell r="D455" t="str">
            <v>GA00B293</v>
          </cell>
          <cell r="E455" t="str">
            <v>2500340000017 Hdfc Bank Ltd.</v>
          </cell>
          <cell r="F455" t="str">
            <v>ABANK</v>
          </cell>
          <cell r="G455">
            <v>61154</v>
          </cell>
          <cell r="K455">
            <v>61154</v>
          </cell>
        </row>
        <row r="456">
          <cell r="C456">
            <v>23503680</v>
          </cell>
          <cell r="D456" t="str">
            <v>GA00B149</v>
          </cell>
          <cell r="E456" t="str">
            <v>0080340011214 Hdfc Bank</v>
          </cell>
          <cell r="F456" t="str">
            <v>ABANK</v>
          </cell>
          <cell r="G456">
            <v>197200.72</v>
          </cell>
          <cell r="K456">
            <v>197200.72</v>
          </cell>
        </row>
        <row r="457">
          <cell r="C457">
            <v>23500620</v>
          </cell>
          <cell r="D457" t="str">
            <v>GA00B208</v>
          </cell>
          <cell r="E457" t="str">
            <v>1020340000244 Hdfc Bank</v>
          </cell>
          <cell r="F457" t="str">
            <v>ABANK</v>
          </cell>
          <cell r="G457">
            <v>57668.75</v>
          </cell>
          <cell r="K457">
            <v>57668.75</v>
          </cell>
        </row>
        <row r="458">
          <cell r="C458">
            <v>23503210</v>
          </cell>
          <cell r="D458" t="str">
            <v>GA00B320</v>
          </cell>
          <cell r="E458" t="str">
            <v>4372340000015  Hdfc Bank Ltd.</v>
          </cell>
          <cell r="F458" t="str">
            <v>ABANK</v>
          </cell>
          <cell r="G458">
            <v>111591.31</v>
          </cell>
          <cell r="K458">
            <v>111591.31</v>
          </cell>
        </row>
        <row r="459">
          <cell r="C459">
            <v>23500490</v>
          </cell>
          <cell r="D459" t="str">
            <v>GA00B130</v>
          </cell>
          <cell r="E459" t="str">
            <v>Standard Chartered Bank-52505051059</v>
          </cell>
          <cell r="F459" t="str">
            <v>ABANK</v>
          </cell>
          <cell r="G459">
            <v>59531.96</v>
          </cell>
          <cell r="K459">
            <v>59531.96</v>
          </cell>
        </row>
        <row r="460">
          <cell r="C460">
            <v>23502490</v>
          </cell>
          <cell r="D460" t="str">
            <v>GA00B317</v>
          </cell>
          <cell r="E460" t="str">
            <v>1550340000132 Hdfc Bank Ltd.</v>
          </cell>
          <cell r="F460" t="str">
            <v>ABANK</v>
          </cell>
          <cell r="G460">
            <v>38310</v>
          </cell>
          <cell r="K460">
            <v>38310</v>
          </cell>
        </row>
        <row r="461">
          <cell r="C461">
            <v>23501370</v>
          </cell>
          <cell r="D461" t="str">
            <v>GA00B61</v>
          </cell>
          <cell r="E461" t="str">
            <v>0590340000047 Hdfc Bank</v>
          </cell>
          <cell r="F461" t="str">
            <v>ABANK</v>
          </cell>
          <cell r="G461">
            <v>102901.21</v>
          </cell>
          <cell r="K461">
            <v>102901.21</v>
          </cell>
        </row>
        <row r="462">
          <cell r="C462">
            <v>23500540</v>
          </cell>
          <cell r="D462" t="str">
            <v>GA00B190</v>
          </cell>
          <cell r="E462" t="str">
            <v>3002340000055 Hdfc Bank</v>
          </cell>
          <cell r="F462" t="str">
            <v>ABANK</v>
          </cell>
          <cell r="G462">
            <v>48961.75</v>
          </cell>
          <cell r="K462">
            <v>48961.75</v>
          </cell>
        </row>
        <row r="463">
          <cell r="C463">
            <v>23500380</v>
          </cell>
          <cell r="D463" t="str">
            <v>GA00B173</v>
          </cell>
          <cell r="E463" t="str">
            <v>2612340000011 Hdfc Bank</v>
          </cell>
          <cell r="F463" t="str">
            <v>ABANK</v>
          </cell>
          <cell r="G463">
            <v>48665.79</v>
          </cell>
          <cell r="K463">
            <v>48665.79</v>
          </cell>
        </row>
        <row r="464">
          <cell r="C464">
            <v>23505670</v>
          </cell>
          <cell r="D464" t="str">
            <v>GA00B537</v>
          </cell>
          <cell r="E464" t="str">
            <v>2512340000031HDFC BANK LIMITED</v>
          </cell>
          <cell r="F464" t="str">
            <v>ABANK</v>
          </cell>
          <cell r="G464">
            <v>86514.86</v>
          </cell>
          <cell r="K464">
            <v>86514.86</v>
          </cell>
        </row>
        <row r="465">
          <cell r="C465">
            <v>23501940</v>
          </cell>
          <cell r="D465" t="str">
            <v>GA00B310</v>
          </cell>
          <cell r="E465" t="str">
            <v>1310340000124  Hdfc Bank Ltd.</v>
          </cell>
          <cell r="F465" t="str">
            <v>ABANK</v>
          </cell>
          <cell r="G465">
            <v>54557.77</v>
          </cell>
          <cell r="K465">
            <v>54557.77</v>
          </cell>
        </row>
        <row r="466">
          <cell r="C466">
            <v>23502870</v>
          </cell>
          <cell r="D466" t="str">
            <v>GA00B35</v>
          </cell>
          <cell r="E466" t="str">
            <v>Canara Bank 3070 Blocked</v>
          </cell>
          <cell r="F466" t="str">
            <v>ABANK</v>
          </cell>
          <cell r="G466">
            <v>0</v>
          </cell>
          <cell r="K466">
            <v>0</v>
          </cell>
        </row>
        <row r="467">
          <cell r="C467">
            <v>23504120</v>
          </cell>
          <cell r="D467" t="str">
            <v>GA00B463</v>
          </cell>
          <cell r="E467" t="str">
            <v>5452340000020 Hdfc Bank Ltd.</v>
          </cell>
          <cell r="F467" t="str">
            <v>ABANK</v>
          </cell>
          <cell r="G467">
            <v>101970.1</v>
          </cell>
          <cell r="K467">
            <v>101970.1</v>
          </cell>
        </row>
        <row r="468">
          <cell r="C468">
            <v>24532030</v>
          </cell>
          <cell r="E468" t="str">
            <v>Oriental Bank of Commerce a/c no 01791011001474</v>
          </cell>
          <cell r="F468" t="str">
            <v>ABANK</v>
          </cell>
          <cell r="G468">
            <v>5868172</v>
          </cell>
          <cell r="K468">
            <v>5868172</v>
          </cell>
        </row>
        <row r="469">
          <cell r="C469">
            <v>23500520</v>
          </cell>
          <cell r="D469" t="str">
            <v>GA00B140</v>
          </cell>
          <cell r="E469" t="str">
            <v>0330340000504 Hdfc Bank</v>
          </cell>
          <cell r="F469" t="str">
            <v>ABANK</v>
          </cell>
          <cell r="G469">
            <v>59571.69</v>
          </cell>
          <cell r="K469">
            <v>59571.69</v>
          </cell>
        </row>
        <row r="470">
          <cell r="C470">
            <v>23502260</v>
          </cell>
          <cell r="D470" t="str">
            <v>GA00B483</v>
          </cell>
          <cell r="E470" t="str">
            <v>0930340000073 Hdfc Bank Ltd</v>
          </cell>
          <cell r="F470" t="str">
            <v>ABANK</v>
          </cell>
          <cell r="G470">
            <v>13659.7</v>
          </cell>
          <cell r="K470">
            <v>13659.7</v>
          </cell>
        </row>
        <row r="471">
          <cell r="C471">
            <v>23511040</v>
          </cell>
          <cell r="E471" t="str">
            <v>UTI Bank Gurgaon 392010200001656</v>
          </cell>
          <cell r="F471" t="str">
            <v>ABANK</v>
          </cell>
          <cell r="G471">
            <v>0</v>
          </cell>
          <cell r="K471">
            <v>0</v>
          </cell>
        </row>
        <row r="472">
          <cell r="C472">
            <v>23502080</v>
          </cell>
          <cell r="D472" t="str">
            <v>GA00B117</v>
          </cell>
          <cell r="E472" t="str">
            <v>0310340000354 Hdfc Bank</v>
          </cell>
          <cell r="F472" t="str">
            <v>ABANK</v>
          </cell>
          <cell r="G472">
            <v>7520.8</v>
          </cell>
          <cell r="K472">
            <v>7520.8</v>
          </cell>
        </row>
        <row r="473">
          <cell r="C473">
            <v>23500570</v>
          </cell>
          <cell r="D473" t="str">
            <v>GA00B234</v>
          </cell>
          <cell r="E473" t="str">
            <v>Dena Bank a/c no116211001016</v>
          </cell>
          <cell r="F473" t="str">
            <v>ABANK</v>
          </cell>
          <cell r="G473">
            <v>41724</v>
          </cell>
          <cell r="K473">
            <v>41724</v>
          </cell>
        </row>
        <row r="474">
          <cell r="C474">
            <v>23503870</v>
          </cell>
          <cell r="D474" t="str">
            <v>GA00B339</v>
          </cell>
          <cell r="E474" t="str">
            <v>1550340000149  Hdfc Bank Ltd.</v>
          </cell>
          <cell r="F474" t="str">
            <v>ABANK</v>
          </cell>
          <cell r="G474">
            <v>47.16</v>
          </cell>
          <cell r="K474">
            <v>47.16</v>
          </cell>
        </row>
        <row r="475">
          <cell r="C475">
            <v>23502980</v>
          </cell>
          <cell r="D475" t="str">
            <v>GA00B330</v>
          </cell>
          <cell r="E475" t="str">
            <v>3312340000023 Hdfc Bank Ltd.</v>
          </cell>
          <cell r="F475" t="str">
            <v>ABANK</v>
          </cell>
          <cell r="G475">
            <v>25105.75</v>
          </cell>
          <cell r="K475">
            <v>25105.75</v>
          </cell>
        </row>
        <row r="476">
          <cell r="C476">
            <v>23502520</v>
          </cell>
          <cell r="D476" t="str">
            <v>GA00B363</v>
          </cell>
          <cell r="E476" t="str">
            <v xml:space="preserve"> 1822340000084  Hdfc Bank Ltd</v>
          </cell>
          <cell r="F476" t="str">
            <v>ABANK</v>
          </cell>
          <cell r="G476">
            <v>133681.23000000001</v>
          </cell>
          <cell r="K476">
            <v>133681.23000000001</v>
          </cell>
        </row>
        <row r="477">
          <cell r="C477">
            <v>23503040</v>
          </cell>
          <cell r="D477" t="str">
            <v>GA00B245</v>
          </cell>
          <cell r="E477" t="str">
            <v>0080340014480 Hdfc Bank Ltd</v>
          </cell>
          <cell r="F477" t="str">
            <v>ABANK</v>
          </cell>
          <cell r="G477">
            <v>112507.4</v>
          </cell>
          <cell r="K477">
            <v>112507.4</v>
          </cell>
        </row>
        <row r="478">
          <cell r="C478">
            <v>23501440</v>
          </cell>
          <cell r="D478" t="str">
            <v>GA00B93</v>
          </cell>
          <cell r="E478" t="str">
            <v>Lord Krishna Bank - Mumbai 316051000005282</v>
          </cell>
          <cell r="F478" t="str">
            <v>ABANK</v>
          </cell>
          <cell r="G478">
            <v>37148.69</v>
          </cell>
          <cell r="K478">
            <v>37148.69</v>
          </cell>
        </row>
        <row r="479">
          <cell r="C479">
            <v>23505570</v>
          </cell>
          <cell r="E479" t="str">
            <v>2202340000142 HDFC BANK LTD</v>
          </cell>
          <cell r="F479" t="str">
            <v>ABANK</v>
          </cell>
          <cell r="G479">
            <v>113161.4</v>
          </cell>
          <cell r="K479">
            <v>113161.4</v>
          </cell>
        </row>
        <row r="480">
          <cell r="C480">
            <v>23500980</v>
          </cell>
          <cell r="D480" t="str">
            <v>GA00B165</v>
          </cell>
          <cell r="E480" t="str">
            <v>0030340016971 Hdfc Bank</v>
          </cell>
          <cell r="F480" t="str">
            <v>ABANK</v>
          </cell>
          <cell r="G480">
            <v>52914.73</v>
          </cell>
          <cell r="K480">
            <v>52914.73</v>
          </cell>
        </row>
        <row r="481">
          <cell r="C481">
            <v>23500960</v>
          </cell>
          <cell r="D481" t="str">
            <v>GA00B161</v>
          </cell>
          <cell r="E481" t="str">
            <v>Indiabulls Secruities Ltd. 1500340000377 Hdfc Bank</v>
          </cell>
          <cell r="F481" t="str">
            <v>ABANK</v>
          </cell>
          <cell r="G481">
            <v>41803.58</v>
          </cell>
          <cell r="K481">
            <v>41803.58</v>
          </cell>
        </row>
        <row r="482">
          <cell r="C482">
            <v>23502850</v>
          </cell>
          <cell r="D482" t="str">
            <v>GA00B29</v>
          </cell>
          <cell r="E482" t="str">
            <v>0012320000871 Hdfc Bank</v>
          </cell>
          <cell r="F482" t="str">
            <v>ABANK</v>
          </cell>
          <cell r="G482">
            <v>1425873.53</v>
          </cell>
          <cell r="K482">
            <v>1425873.53</v>
          </cell>
        </row>
        <row r="483">
          <cell r="C483">
            <v>23502270</v>
          </cell>
          <cell r="D483" t="str">
            <v>GA00B484</v>
          </cell>
          <cell r="E483" t="str">
            <v>2792340000029  Hdfc Bank Ltd</v>
          </cell>
          <cell r="F483" t="str">
            <v>ABANK</v>
          </cell>
          <cell r="G483">
            <v>18178.810000000001</v>
          </cell>
          <cell r="K483">
            <v>18178.810000000001</v>
          </cell>
        </row>
        <row r="484">
          <cell r="C484">
            <v>23503860</v>
          </cell>
          <cell r="D484" t="str">
            <v>GA00B249</v>
          </cell>
          <cell r="E484" t="str">
            <v>1042340000029 Hdfc Bank Ltd</v>
          </cell>
          <cell r="F484" t="str">
            <v>ABANK</v>
          </cell>
          <cell r="G484">
            <v>66663.45</v>
          </cell>
          <cell r="K484">
            <v>66663.45</v>
          </cell>
        </row>
        <row r="485">
          <cell r="C485">
            <v>23501640</v>
          </cell>
          <cell r="D485" t="str">
            <v>GA00B272</v>
          </cell>
          <cell r="E485" t="str">
            <v>0780340001027 Hdfc Bank Ltd.</v>
          </cell>
          <cell r="F485" t="str">
            <v>ABANK</v>
          </cell>
          <cell r="G485">
            <v>73648.84</v>
          </cell>
          <cell r="K485">
            <v>73648.84</v>
          </cell>
        </row>
        <row r="486">
          <cell r="C486">
            <v>23504490</v>
          </cell>
          <cell r="D486" t="str">
            <v>GA00B411</v>
          </cell>
          <cell r="E486" t="str">
            <v>1800340000327 Hdfc Bank Ltd.</v>
          </cell>
          <cell r="F486" t="str">
            <v>ABANK</v>
          </cell>
          <cell r="G486">
            <v>-3502.35</v>
          </cell>
          <cell r="K486">
            <v>-3502.35</v>
          </cell>
        </row>
        <row r="487">
          <cell r="C487">
            <v>23501310</v>
          </cell>
          <cell r="D487" t="str">
            <v>GA00B122</v>
          </cell>
          <cell r="E487" t="str">
            <v>2050340000034 Hdfc Bank</v>
          </cell>
          <cell r="F487" t="str">
            <v>ABANK</v>
          </cell>
          <cell r="G487">
            <v>74272.58</v>
          </cell>
          <cell r="K487">
            <v>74272.58</v>
          </cell>
        </row>
        <row r="488">
          <cell r="C488">
            <v>24532320</v>
          </cell>
          <cell r="E488" t="str">
            <v>HDFC Bank Ltd A/c ISL HYD online5212340000039</v>
          </cell>
          <cell r="F488" t="str">
            <v>ABANK</v>
          </cell>
          <cell r="G488">
            <v>41734.03</v>
          </cell>
          <cell r="K488">
            <v>41734.03</v>
          </cell>
        </row>
        <row r="489">
          <cell r="C489">
            <v>23502830</v>
          </cell>
          <cell r="D489" t="str">
            <v>GA00B25</v>
          </cell>
          <cell r="E489" t="str">
            <v>0040340001021 Hdfc Bank</v>
          </cell>
          <cell r="F489" t="str">
            <v>ABANK</v>
          </cell>
          <cell r="G489">
            <v>96987.07</v>
          </cell>
          <cell r="K489">
            <v>96987.07</v>
          </cell>
        </row>
        <row r="490">
          <cell r="C490">
            <v>23503150</v>
          </cell>
          <cell r="D490" t="str">
            <v>GA00B87</v>
          </cell>
          <cell r="E490" t="str">
            <v>1090340000131 Hdfc Bank</v>
          </cell>
          <cell r="F490" t="str">
            <v>ABANK</v>
          </cell>
          <cell r="G490">
            <v>44518.12</v>
          </cell>
          <cell r="K490">
            <v>44518.12</v>
          </cell>
        </row>
        <row r="491">
          <cell r="C491">
            <v>23503920</v>
          </cell>
          <cell r="D491" t="str">
            <v>GA00B440</v>
          </cell>
          <cell r="E491" t="str">
            <v>0430002101005835 Pnb</v>
          </cell>
          <cell r="F491" t="str">
            <v>ABANK</v>
          </cell>
          <cell r="G491">
            <v>26231</v>
          </cell>
          <cell r="K491">
            <v>26231</v>
          </cell>
        </row>
        <row r="492">
          <cell r="C492">
            <v>23505140</v>
          </cell>
          <cell r="D492" t="str">
            <v>GA00B417</v>
          </cell>
          <cell r="E492" t="str">
            <v>0272340000084 Hdfc Bank Ltd.</v>
          </cell>
          <cell r="F492" t="str">
            <v>ABANK</v>
          </cell>
          <cell r="G492">
            <v>29380.19</v>
          </cell>
          <cell r="K492">
            <v>29380.19</v>
          </cell>
        </row>
        <row r="493">
          <cell r="C493">
            <v>23514410</v>
          </cell>
          <cell r="E493" t="str">
            <v>ISL A/c No. 00030340036899 HDFC Bank Ltd.</v>
          </cell>
          <cell r="F493" t="str">
            <v>ABANK</v>
          </cell>
          <cell r="G493">
            <v>22700</v>
          </cell>
          <cell r="K493">
            <v>22700</v>
          </cell>
        </row>
        <row r="494">
          <cell r="C494">
            <v>23514360</v>
          </cell>
          <cell r="E494" t="str">
            <v>ISL-A/c no. 00030340036597 HDFC BANK LTD.</v>
          </cell>
          <cell r="F494" t="str">
            <v>ABANK</v>
          </cell>
          <cell r="G494">
            <v>21391</v>
          </cell>
          <cell r="K494">
            <v>21391</v>
          </cell>
        </row>
        <row r="495">
          <cell r="C495">
            <v>23502420</v>
          </cell>
          <cell r="D495" t="str">
            <v>GA00B21</v>
          </cell>
          <cell r="E495" t="str">
            <v>0460340000071 Hdfc Bank</v>
          </cell>
          <cell r="F495" t="str">
            <v>ABANK</v>
          </cell>
          <cell r="G495">
            <v>33822.01</v>
          </cell>
          <cell r="K495">
            <v>33822.01</v>
          </cell>
        </row>
        <row r="496">
          <cell r="C496">
            <v>23501140</v>
          </cell>
          <cell r="D496" t="str">
            <v>GA00B297</v>
          </cell>
          <cell r="E496" t="str">
            <v>0460340000305 Hdfc Bank Ltd</v>
          </cell>
          <cell r="F496" t="str">
            <v>ABANK</v>
          </cell>
          <cell r="G496">
            <v>74018.89</v>
          </cell>
          <cell r="K496">
            <v>74018.89</v>
          </cell>
        </row>
        <row r="497">
          <cell r="C497">
            <v>23504170</v>
          </cell>
          <cell r="D497" t="str">
            <v>GA00B443</v>
          </cell>
          <cell r="E497" t="str">
            <v xml:space="preserve"> 0070340000819 Hdfc Bank Ltd</v>
          </cell>
          <cell r="F497" t="str">
            <v>ABANK</v>
          </cell>
          <cell r="G497">
            <v>61473.18</v>
          </cell>
          <cell r="K497">
            <v>61473.18</v>
          </cell>
        </row>
        <row r="498">
          <cell r="C498">
            <v>23501690</v>
          </cell>
          <cell r="D498" t="str">
            <v>GA00B251</v>
          </cell>
          <cell r="E498" t="str">
            <v>Punjab National Bank - 0061002101604825</v>
          </cell>
          <cell r="F498" t="str">
            <v>ABANK</v>
          </cell>
          <cell r="G498">
            <v>8621308</v>
          </cell>
          <cell r="K498">
            <v>8621308</v>
          </cell>
        </row>
        <row r="499">
          <cell r="C499">
            <v>23509960</v>
          </cell>
          <cell r="D499" t="str">
            <v>GA00B565</v>
          </cell>
          <cell r="E499" t="str">
            <v>2972340000011 HDFC BANK AGRA SADAR-ISL</v>
          </cell>
          <cell r="F499" t="str">
            <v>ABANK</v>
          </cell>
          <cell r="G499">
            <v>69893.59</v>
          </cell>
          <cell r="K499">
            <v>69893.59</v>
          </cell>
        </row>
        <row r="500">
          <cell r="C500">
            <v>23501650</v>
          </cell>
          <cell r="D500" t="str">
            <v>GA00B273</v>
          </cell>
          <cell r="E500" t="str">
            <v xml:space="preserve"> 0090340002064  Hdfc Bank Ltd.</v>
          </cell>
          <cell r="F500" t="str">
            <v>ABANK</v>
          </cell>
          <cell r="G500">
            <v>139063.87</v>
          </cell>
          <cell r="K500">
            <v>139063.87</v>
          </cell>
        </row>
        <row r="501">
          <cell r="C501">
            <v>23514490</v>
          </cell>
          <cell r="E501" t="str">
            <v>ISL A/c 00422340000066 HDFC BANK LTD.</v>
          </cell>
          <cell r="F501" t="str">
            <v>ABANK</v>
          </cell>
          <cell r="G501">
            <v>18883.09</v>
          </cell>
          <cell r="K501">
            <v>18883.09</v>
          </cell>
        </row>
        <row r="502">
          <cell r="C502">
            <v>23504160</v>
          </cell>
          <cell r="D502" t="str">
            <v>GA00B442</v>
          </cell>
          <cell r="E502" t="str">
            <v>4812340000048 Hdfc Bank Ltd</v>
          </cell>
          <cell r="F502" t="str">
            <v>ABANK</v>
          </cell>
          <cell r="G502">
            <v>21148.49</v>
          </cell>
          <cell r="K502">
            <v>21148.49</v>
          </cell>
        </row>
        <row r="503">
          <cell r="C503">
            <v>23501160</v>
          </cell>
          <cell r="D503" t="str">
            <v>GA00B299</v>
          </cell>
          <cell r="E503" t="str">
            <v>1420340000640  Hdfc Bank Ltd</v>
          </cell>
          <cell r="F503" t="str">
            <v>ABANK</v>
          </cell>
          <cell r="G503">
            <v>62860.28</v>
          </cell>
          <cell r="K503">
            <v>62860.28</v>
          </cell>
        </row>
        <row r="504">
          <cell r="C504">
            <v>23503160</v>
          </cell>
          <cell r="D504" t="str">
            <v>GA00B88</v>
          </cell>
          <cell r="E504" t="str">
            <v>0930340000022 Hdfc Bank</v>
          </cell>
          <cell r="F504" t="str">
            <v>ABANK</v>
          </cell>
          <cell r="G504">
            <v>37117.760000000002</v>
          </cell>
          <cell r="K504">
            <v>37117.760000000002</v>
          </cell>
        </row>
        <row r="505">
          <cell r="C505">
            <v>23501510</v>
          </cell>
          <cell r="D505" t="str">
            <v>GA00B050</v>
          </cell>
          <cell r="E505" t="str">
            <v>Indusind Bank 0033-567046-050</v>
          </cell>
          <cell r="F505" t="str">
            <v>ABANK</v>
          </cell>
          <cell r="G505">
            <v>20770.98</v>
          </cell>
          <cell r="K505">
            <v>20770.98</v>
          </cell>
        </row>
        <row r="506">
          <cell r="C506">
            <v>23501770</v>
          </cell>
          <cell r="D506" t="str">
            <v>GA00B138</v>
          </cell>
          <cell r="E506" t="str">
            <v>Abn Amro Bank 1021820</v>
          </cell>
          <cell r="F506" t="str">
            <v>ABANK</v>
          </cell>
          <cell r="G506">
            <v>19338.8</v>
          </cell>
          <cell r="K506">
            <v>19338.8</v>
          </cell>
        </row>
        <row r="507">
          <cell r="C507">
            <v>23504540</v>
          </cell>
          <cell r="D507" t="str">
            <v>GA00B416</v>
          </cell>
          <cell r="E507" t="str">
            <v>0070340000757  Hdfc Bank Ltd.</v>
          </cell>
          <cell r="F507" t="str">
            <v>ABANK</v>
          </cell>
          <cell r="G507">
            <v>49930.26</v>
          </cell>
          <cell r="K507">
            <v>49930.26</v>
          </cell>
        </row>
        <row r="508">
          <cell r="C508">
            <v>23504740</v>
          </cell>
          <cell r="D508" t="str">
            <v>GA00B402</v>
          </cell>
          <cell r="E508" t="str">
            <v>016405002419 Icici Bank Ltd</v>
          </cell>
          <cell r="F508" t="str">
            <v>ABANK</v>
          </cell>
          <cell r="G508">
            <v>0</v>
          </cell>
          <cell r="K508">
            <v>0</v>
          </cell>
        </row>
        <row r="509">
          <cell r="C509">
            <v>23501620</v>
          </cell>
          <cell r="D509" t="str">
            <v>GA00B202</v>
          </cell>
          <cell r="E509" t="str">
            <v>0640340000248 Hdfc Bank</v>
          </cell>
          <cell r="F509" t="str">
            <v>ABANK</v>
          </cell>
          <cell r="G509">
            <v>53595.8</v>
          </cell>
          <cell r="K509">
            <v>53595.8</v>
          </cell>
        </row>
        <row r="510">
          <cell r="C510">
            <v>23514680</v>
          </cell>
          <cell r="E510" t="str">
            <v>ISL A/c No.06450340000562 HDFC Bank Ltd.</v>
          </cell>
          <cell r="F510" t="str">
            <v>ABANK</v>
          </cell>
          <cell r="G510">
            <v>39915</v>
          </cell>
          <cell r="K510">
            <v>39915</v>
          </cell>
        </row>
        <row r="511">
          <cell r="C511">
            <v>23504210</v>
          </cell>
          <cell r="D511" t="str">
            <v>GA00B447</v>
          </cell>
          <cell r="E511" t="str">
            <v>203010200006491 Uti Bank Ltd Blocked</v>
          </cell>
          <cell r="F511" t="str">
            <v>ABANK</v>
          </cell>
          <cell r="G511">
            <v>0</v>
          </cell>
          <cell r="K511">
            <v>0</v>
          </cell>
        </row>
        <row r="512">
          <cell r="C512">
            <v>23514500</v>
          </cell>
          <cell r="E512" t="str">
            <v>Indiabulls Securities Ltd. A/c No. 00482340000099</v>
          </cell>
          <cell r="F512" t="str">
            <v>ABANK</v>
          </cell>
          <cell r="G512">
            <v>5312.46</v>
          </cell>
          <cell r="K512">
            <v>5312.46</v>
          </cell>
        </row>
        <row r="513">
          <cell r="C513">
            <v>23501180</v>
          </cell>
          <cell r="D513" t="str">
            <v>GA00B269</v>
          </cell>
          <cell r="E513" t="str">
            <v>2172340000145  Hdfc Bank Ltd.</v>
          </cell>
          <cell r="F513" t="str">
            <v>ABANK</v>
          </cell>
          <cell r="G513">
            <v>63648.32</v>
          </cell>
          <cell r="K513">
            <v>63648.32</v>
          </cell>
        </row>
        <row r="514">
          <cell r="C514">
            <v>23504530</v>
          </cell>
          <cell r="D514" t="str">
            <v>GA00B415</v>
          </cell>
          <cell r="E514" t="str">
            <v>342010200002929 Uti Bank Ltd. Blocked</v>
          </cell>
          <cell r="F514" t="str">
            <v>ABANK</v>
          </cell>
          <cell r="G514">
            <v>0</v>
          </cell>
          <cell r="K514">
            <v>0</v>
          </cell>
        </row>
        <row r="515">
          <cell r="C515">
            <v>23504330</v>
          </cell>
          <cell r="D515" t="str">
            <v>GA00B394</v>
          </cell>
          <cell r="E515" t="str">
            <v>5260340000038 Hdfc Bank Ltd.</v>
          </cell>
          <cell r="F515" t="str">
            <v>ABANK</v>
          </cell>
          <cell r="G515">
            <v>75361.25</v>
          </cell>
          <cell r="K515">
            <v>75361.25</v>
          </cell>
        </row>
        <row r="516">
          <cell r="C516">
            <v>23513140</v>
          </cell>
          <cell r="E516" t="str">
            <v>Vijaya Bank A/C 500600301000135</v>
          </cell>
          <cell r="F516" t="str">
            <v>ABANK</v>
          </cell>
          <cell r="G516">
            <v>18902</v>
          </cell>
          <cell r="K516">
            <v>18902</v>
          </cell>
        </row>
        <row r="517">
          <cell r="C517">
            <v>23504430</v>
          </cell>
          <cell r="D517" t="str">
            <v>GA00B531</v>
          </cell>
          <cell r="E517" t="str">
            <v>392010200000444 Uti Bank Ltd.(Closed)</v>
          </cell>
          <cell r="F517" t="str">
            <v>ABANK</v>
          </cell>
          <cell r="G517">
            <v>0</v>
          </cell>
          <cell r="K517">
            <v>0</v>
          </cell>
        </row>
        <row r="518">
          <cell r="C518">
            <v>23509280</v>
          </cell>
          <cell r="D518" t="str">
            <v>GA00B567</v>
          </cell>
          <cell r="E518" t="str">
            <v>UTI 392010200000976-ISL Blocked</v>
          </cell>
          <cell r="F518" t="str">
            <v>ABANK</v>
          </cell>
          <cell r="G518">
            <v>0</v>
          </cell>
          <cell r="K518">
            <v>0</v>
          </cell>
        </row>
        <row r="519">
          <cell r="C519">
            <v>23500450</v>
          </cell>
          <cell r="D519" t="str">
            <v>GA00B213</v>
          </cell>
          <cell r="E519" t="str">
            <v>2440340000110 Hdfc Bank</v>
          </cell>
          <cell r="F519" t="str">
            <v>ABANK</v>
          </cell>
          <cell r="G519">
            <v>75950.710000000006</v>
          </cell>
          <cell r="K519">
            <v>75950.710000000006</v>
          </cell>
        </row>
        <row r="520">
          <cell r="C520">
            <v>23502910</v>
          </cell>
          <cell r="D520" t="str">
            <v>GA00B49</v>
          </cell>
          <cell r="E520" t="str">
            <v>0210340000573 Hdfc Bank</v>
          </cell>
          <cell r="F520" t="str">
            <v>ABANK</v>
          </cell>
          <cell r="G520">
            <v>95896.29</v>
          </cell>
          <cell r="K520">
            <v>95896.29</v>
          </cell>
        </row>
        <row r="521">
          <cell r="C521">
            <v>23509910</v>
          </cell>
          <cell r="D521" t="str">
            <v>GA00B535</v>
          </cell>
          <cell r="E521" t="str">
            <v>ISL.3682340000014 HDFC BANK LTD.</v>
          </cell>
          <cell r="F521" t="str">
            <v>ABANK</v>
          </cell>
          <cell r="G521">
            <v>105627.77</v>
          </cell>
          <cell r="K521">
            <v>105627.77</v>
          </cell>
        </row>
        <row r="522">
          <cell r="C522">
            <v>23501870</v>
          </cell>
          <cell r="D522" t="str">
            <v>GA00B276</v>
          </cell>
          <cell r="E522" t="str">
            <v>0310340000560 Hdfc Bank</v>
          </cell>
          <cell r="F522" t="str">
            <v>ABANK</v>
          </cell>
          <cell r="G522">
            <v>89114.3</v>
          </cell>
          <cell r="K522">
            <v>89114.3</v>
          </cell>
        </row>
        <row r="523">
          <cell r="C523">
            <v>23501710</v>
          </cell>
          <cell r="D523" t="str">
            <v>GA00B70</v>
          </cell>
          <cell r="E523" t="str">
            <v>Hdfc Bank Dp 0032000016357</v>
          </cell>
          <cell r="F523" t="str">
            <v>ABANK</v>
          </cell>
          <cell r="G523">
            <v>11500</v>
          </cell>
          <cell r="K523">
            <v>11500</v>
          </cell>
        </row>
        <row r="524">
          <cell r="C524">
            <v>23504070</v>
          </cell>
          <cell r="D524" t="str">
            <v>GA00B458</v>
          </cell>
          <cell r="E524" t="str">
            <v>335010200001892 Uti Bank Ltd. Blocked</v>
          </cell>
          <cell r="F524" t="str">
            <v>ABANK</v>
          </cell>
          <cell r="G524">
            <v>0</v>
          </cell>
          <cell r="K524">
            <v>0</v>
          </cell>
        </row>
        <row r="525">
          <cell r="C525">
            <v>23501360</v>
          </cell>
          <cell r="D525" t="str">
            <v>GA00B58</v>
          </cell>
          <cell r="E525" t="str">
            <v>0500340000185 Hdfc Bank</v>
          </cell>
          <cell r="F525" t="str">
            <v>ABANK</v>
          </cell>
          <cell r="G525">
            <v>86247.23</v>
          </cell>
          <cell r="K525">
            <v>86247.23</v>
          </cell>
        </row>
        <row r="526">
          <cell r="C526">
            <v>23501550</v>
          </cell>
          <cell r="D526" t="str">
            <v>GA00B206</v>
          </cell>
          <cell r="E526" t="str">
            <v>Hdfc Bank 0010340005467</v>
          </cell>
          <cell r="F526" t="str">
            <v>ABANK</v>
          </cell>
          <cell r="G526">
            <v>10100</v>
          </cell>
          <cell r="K526">
            <v>10100</v>
          </cell>
        </row>
        <row r="527">
          <cell r="C527">
            <v>23502750</v>
          </cell>
          <cell r="D527" t="str">
            <v>GA00B193</v>
          </cell>
          <cell r="E527" t="str">
            <v>0600340021760 Hdfc Bank</v>
          </cell>
          <cell r="F527" t="str">
            <v>ABANK</v>
          </cell>
          <cell r="G527">
            <v>10100</v>
          </cell>
          <cell r="K527">
            <v>10100</v>
          </cell>
        </row>
        <row r="528">
          <cell r="C528">
            <v>23510290</v>
          </cell>
          <cell r="D528" t="str">
            <v>GA00B156</v>
          </cell>
          <cell r="E528" t="str">
            <v>ISL A/c no 0030340016580</v>
          </cell>
          <cell r="F528" t="str">
            <v>ABANK</v>
          </cell>
          <cell r="G528">
            <v>10100</v>
          </cell>
          <cell r="K528">
            <v>10100</v>
          </cell>
        </row>
        <row r="529">
          <cell r="C529">
            <v>23500670</v>
          </cell>
          <cell r="D529" t="str">
            <v>GA00B108</v>
          </cell>
          <cell r="E529" t="str">
            <v>Hdfc Bank A/C - Nri Product (5982340002925)</v>
          </cell>
          <cell r="F529" t="str">
            <v>ABANK</v>
          </cell>
          <cell r="G529">
            <v>10001</v>
          </cell>
          <cell r="K529">
            <v>10001</v>
          </cell>
        </row>
        <row r="530">
          <cell r="C530">
            <v>23502220</v>
          </cell>
          <cell r="D530" t="str">
            <v>GA00B501</v>
          </cell>
          <cell r="E530" t="str">
            <v>Malad(W) Hdfc Bank Ltd.</v>
          </cell>
          <cell r="F530" t="str">
            <v>ABANK</v>
          </cell>
          <cell r="G530">
            <v>10000</v>
          </cell>
          <cell r="K530">
            <v>10000</v>
          </cell>
        </row>
        <row r="531">
          <cell r="C531">
            <v>23503990</v>
          </cell>
          <cell r="D531" t="str">
            <v>GA00B526</v>
          </cell>
          <cell r="E531" t="str">
            <v>Stamp Duty Pnb Bank</v>
          </cell>
          <cell r="F531" t="str">
            <v>ABANK</v>
          </cell>
          <cell r="G531">
            <v>10000</v>
          </cell>
          <cell r="K531">
            <v>10000</v>
          </cell>
        </row>
        <row r="532">
          <cell r="C532">
            <v>23504110</v>
          </cell>
          <cell r="D532" t="str">
            <v>GA00B462</v>
          </cell>
          <cell r="E532" t="str">
            <v>Kannur Hdfc Bank Ltd.</v>
          </cell>
          <cell r="F532" t="str">
            <v>ABANK</v>
          </cell>
          <cell r="G532">
            <v>10000</v>
          </cell>
          <cell r="K532">
            <v>10000</v>
          </cell>
        </row>
        <row r="533">
          <cell r="C533">
            <v>23504230</v>
          </cell>
          <cell r="D533" t="str">
            <v>GA00B449</v>
          </cell>
          <cell r="E533" t="str">
            <v>Andheri (E) Hdfc Bank Ltd.</v>
          </cell>
          <cell r="F533" t="str">
            <v>ABANK</v>
          </cell>
          <cell r="G533">
            <v>10000</v>
          </cell>
          <cell r="K533">
            <v>10000</v>
          </cell>
        </row>
        <row r="534">
          <cell r="C534">
            <v>23504340</v>
          </cell>
          <cell r="D534" t="str">
            <v>GA00B497</v>
          </cell>
          <cell r="E534" t="str">
            <v>Majid Bander (E) Mumbai Hdfc Bank</v>
          </cell>
          <cell r="F534" t="str">
            <v>ABANK</v>
          </cell>
          <cell r="G534">
            <v>10000</v>
          </cell>
          <cell r="K534">
            <v>10000</v>
          </cell>
        </row>
        <row r="535">
          <cell r="C535">
            <v>23504820</v>
          </cell>
          <cell r="D535" t="str">
            <v>GA00B473</v>
          </cell>
          <cell r="E535" t="str">
            <v>Hi-Tech Citi Hdfc Bank Ltd.</v>
          </cell>
          <cell r="F535" t="str">
            <v>ABANK</v>
          </cell>
          <cell r="G535">
            <v>10000</v>
          </cell>
          <cell r="K535">
            <v>10000</v>
          </cell>
        </row>
        <row r="536">
          <cell r="C536">
            <v>23505590</v>
          </cell>
          <cell r="E536" t="str">
            <v>ICICI BANK 032505002604 (Closed)</v>
          </cell>
          <cell r="F536" t="str">
            <v>ABANK</v>
          </cell>
          <cell r="G536">
            <v>0</v>
          </cell>
          <cell r="K536">
            <v>0</v>
          </cell>
        </row>
        <row r="537">
          <cell r="C537">
            <v>23505710</v>
          </cell>
          <cell r="E537" t="str">
            <v>ICICI BANK LIMITED 031805002191(Closed)</v>
          </cell>
          <cell r="F537" t="str">
            <v>ABANK</v>
          </cell>
          <cell r="G537">
            <v>0</v>
          </cell>
          <cell r="K537">
            <v>0</v>
          </cell>
        </row>
        <row r="538">
          <cell r="C538">
            <v>23509840</v>
          </cell>
          <cell r="D538" t="str">
            <v>GA00B564</v>
          </cell>
          <cell r="E538" t="str">
            <v>ISL -SHIVPURI HDFC BANK LTD.</v>
          </cell>
          <cell r="F538" t="str">
            <v>ABANK</v>
          </cell>
          <cell r="G538">
            <v>10000</v>
          </cell>
          <cell r="K538">
            <v>10000</v>
          </cell>
        </row>
        <row r="539">
          <cell r="C539">
            <v>23510050</v>
          </cell>
          <cell r="D539" t="str">
            <v>GA00B563</v>
          </cell>
          <cell r="E539" t="str">
            <v>ISL.MANINAGAR HDFC BANK LTD.</v>
          </cell>
          <cell r="F539" t="str">
            <v>ABANK</v>
          </cell>
          <cell r="G539">
            <v>10000</v>
          </cell>
          <cell r="K539">
            <v>10000</v>
          </cell>
        </row>
        <row r="540">
          <cell r="C540">
            <v>23510310</v>
          </cell>
          <cell r="E540" t="str">
            <v>ISL-MERRUT R.G-HDFC</v>
          </cell>
          <cell r="F540" t="str">
            <v>ABANK</v>
          </cell>
          <cell r="G540">
            <v>10000</v>
          </cell>
          <cell r="K540">
            <v>10000</v>
          </cell>
        </row>
        <row r="541">
          <cell r="C541">
            <v>23510730</v>
          </cell>
          <cell r="E541" t="str">
            <v>HDFC Bank - Sirsa Road Fatehabad</v>
          </cell>
          <cell r="F541" t="str">
            <v>ABANK</v>
          </cell>
          <cell r="G541">
            <v>10000</v>
          </cell>
          <cell r="K541">
            <v>10000</v>
          </cell>
        </row>
        <row r="542">
          <cell r="C542">
            <v>23520870</v>
          </cell>
          <cell r="D542" t="str">
            <v>GA00B607</v>
          </cell>
          <cell r="E542" t="str">
            <v>00030340033640(Business a\c) HDFC BANK A/c</v>
          </cell>
          <cell r="F542" t="str">
            <v>ABANK</v>
          </cell>
          <cell r="G542">
            <v>10000</v>
          </cell>
          <cell r="K542">
            <v>10000</v>
          </cell>
        </row>
        <row r="543">
          <cell r="C543">
            <v>24532370</v>
          </cell>
          <cell r="E543" t="str">
            <v>HDFC Bank 00030340030637</v>
          </cell>
          <cell r="F543" t="str">
            <v>ABANK</v>
          </cell>
          <cell r="G543">
            <v>10000</v>
          </cell>
          <cell r="K543">
            <v>10000</v>
          </cell>
        </row>
        <row r="544">
          <cell r="C544">
            <v>23503410</v>
          </cell>
          <cell r="D544" t="str">
            <v>GA00B222</v>
          </cell>
          <cell r="E544" t="str">
            <v>ISL Printing &amp; Stationery A/c no 0030340020877</v>
          </cell>
          <cell r="F544" t="str">
            <v>ABANK</v>
          </cell>
          <cell r="G544">
            <v>10000</v>
          </cell>
          <cell r="K544">
            <v>10000</v>
          </cell>
        </row>
        <row r="545">
          <cell r="C545">
            <v>23514840</v>
          </cell>
          <cell r="E545" t="str">
            <v>ISL A/c No. 04192340000020 HDFC BANK LTD.</v>
          </cell>
          <cell r="F545" t="str">
            <v>ABANK</v>
          </cell>
          <cell r="G545">
            <v>61755.9</v>
          </cell>
          <cell r="K545">
            <v>61755.9</v>
          </cell>
        </row>
        <row r="546">
          <cell r="C546">
            <v>23514850</v>
          </cell>
          <cell r="E546" t="str">
            <v>ISL A/c No. 02250340000220 HDFC BANK LTD</v>
          </cell>
          <cell r="F546" t="str">
            <v>ABANK</v>
          </cell>
          <cell r="G546">
            <v>61377</v>
          </cell>
          <cell r="K546">
            <v>61377</v>
          </cell>
        </row>
        <row r="547">
          <cell r="C547">
            <v>23500720</v>
          </cell>
          <cell r="D547" t="str">
            <v>GA00B280</v>
          </cell>
          <cell r="E547" t="str">
            <v>1220340000152  Hdfc Bank Ltd</v>
          </cell>
          <cell r="F547" t="str">
            <v>ABANK</v>
          </cell>
          <cell r="G547">
            <v>29008.49</v>
          </cell>
          <cell r="K547">
            <v>29008.49</v>
          </cell>
        </row>
        <row r="548">
          <cell r="C548">
            <v>23513090</v>
          </cell>
          <cell r="E548" t="str">
            <v>Punjab and Sind bank a/c no. 105742</v>
          </cell>
          <cell r="F548" t="str">
            <v>ABANK</v>
          </cell>
          <cell r="G548">
            <v>9666</v>
          </cell>
          <cell r="K548">
            <v>9666</v>
          </cell>
        </row>
        <row r="549">
          <cell r="C549">
            <v>23509780</v>
          </cell>
          <cell r="D549" t="str">
            <v>GA00B561</v>
          </cell>
          <cell r="E549" t="str">
            <v>STATE BANK OF PATIALA 65016496315 -ISL</v>
          </cell>
          <cell r="F549" t="str">
            <v>ABANK</v>
          </cell>
          <cell r="G549">
            <v>2816622</v>
          </cell>
          <cell r="K549">
            <v>2816622</v>
          </cell>
        </row>
        <row r="550">
          <cell r="C550">
            <v>23501470</v>
          </cell>
          <cell r="D550" t="str">
            <v>GA00B96</v>
          </cell>
          <cell r="E550" t="str">
            <v>Hdfc Bank - Mumbai 0032340000395</v>
          </cell>
          <cell r="F550" t="str">
            <v>ABANK</v>
          </cell>
          <cell r="G550">
            <v>11983.45</v>
          </cell>
          <cell r="K550">
            <v>11983.45</v>
          </cell>
        </row>
        <row r="551">
          <cell r="C551">
            <v>23504050</v>
          </cell>
          <cell r="D551" t="str">
            <v>GA00B513</v>
          </cell>
          <cell r="E551" t="str">
            <v>Pnb Bank Ltd.-19888002100185139 (Closed)</v>
          </cell>
          <cell r="F551" t="str">
            <v>ABANK</v>
          </cell>
          <cell r="G551">
            <v>0</v>
          </cell>
          <cell r="K551">
            <v>0</v>
          </cell>
        </row>
        <row r="552">
          <cell r="C552">
            <v>23501460</v>
          </cell>
          <cell r="D552" t="str">
            <v>GA00B95</v>
          </cell>
          <cell r="E552" t="str">
            <v>Lord Krishna Bank - Delhi 31515322</v>
          </cell>
          <cell r="F552" t="str">
            <v>ABANK</v>
          </cell>
          <cell r="G552">
            <v>9561.82</v>
          </cell>
          <cell r="K552">
            <v>9561.82</v>
          </cell>
        </row>
        <row r="553">
          <cell r="C553">
            <v>23502890</v>
          </cell>
          <cell r="D553" t="str">
            <v>GA00B45</v>
          </cell>
          <cell r="E553" t="str">
            <v>Global Trust Bank (Delhi) 1700101940</v>
          </cell>
          <cell r="F553" t="str">
            <v>ABANK</v>
          </cell>
          <cell r="G553">
            <v>9550</v>
          </cell>
          <cell r="K553">
            <v>9550</v>
          </cell>
        </row>
        <row r="554">
          <cell r="C554">
            <v>23511870</v>
          </cell>
          <cell r="E554" t="str">
            <v>ICICI Bank 000705008197 (Closed)</v>
          </cell>
          <cell r="F554" t="str">
            <v>ABANK</v>
          </cell>
          <cell r="G554">
            <v>0</v>
          </cell>
          <cell r="K554">
            <v>0</v>
          </cell>
        </row>
        <row r="555">
          <cell r="C555">
            <v>23511880</v>
          </cell>
          <cell r="E555" t="str">
            <v>ICICI Bank 000705008198 (Closed)</v>
          </cell>
          <cell r="F555" t="str">
            <v>ABANK</v>
          </cell>
          <cell r="G555">
            <v>0</v>
          </cell>
          <cell r="K555">
            <v>0</v>
          </cell>
        </row>
        <row r="556">
          <cell r="C556">
            <v>23502960</v>
          </cell>
          <cell r="D556" t="str">
            <v>GA00B328</v>
          </cell>
          <cell r="E556" t="str">
            <v>0912340000180  Hdfc Bank Ltd.</v>
          </cell>
          <cell r="F556" t="str">
            <v>ABANK</v>
          </cell>
          <cell r="G556">
            <v>38332.400000000001</v>
          </cell>
          <cell r="K556">
            <v>38332.400000000001</v>
          </cell>
        </row>
        <row r="557">
          <cell r="C557">
            <v>23502070</v>
          </cell>
          <cell r="D557" t="str">
            <v>GA00B116</v>
          </cell>
          <cell r="E557" t="str">
            <v>2100340000026 Hdfc Bank</v>
          </cell>
          <cell r="F557" t="str">
            <v>ABANK</v>
          </cell>
          <cell r="G557">
            <v>43862.52</v>
          </cell>
          <cell r="K557">
            <v>43862.52</v>
          </cell>
        </row>
        <row r="558">
          <cell r="C558">
            <v>23503290</v>
          </cell>
          <cell r="D558" t="str">
            <v>GA00B370</v>
          </cell>
          <cell r="E558" t="str">
            <v>2182340000023 Hdfc Bank Ltd</v>
          </cell>
          <cell r="F558" t="str">
            <v>ABANK</v>
          </cell>
          <cell r="G558">
            <v>102972.01</v>
          </cell>
          <cell r="K558">
            <v>102972.01</v>
          </cell>
        </row>
        <row r="559">
          <cell r="C559">
            <v>23503910</v>
          </cell>
          <cell r="D559" t="str">
            <v>GA00B343</v>
          </cell>
          <cell r="E559" t="str">
            <v>1830340000175 Hdfc Bank Ltd.</v>
          </cell>
          <cell r="F559" t="str">
            <v>ABANK</v>
          </cell>
          <cell r="G559">
            <v>41560.15</v>
          </cell>
          <cell r="K559">
            <v>41560.15</v>
          </cell>
        </row>
        <row r="560">
          <cell r="C560">
            <v>23500900</v>
          </cell>
          <cell r="D560" t="str">
            <v>GA00B232</v>
          </cell>
          <cell r="E560" t="str">
            <v>Indiabulls  Securities Ltd  A/C 0780340000853 Hdfc</v>
          </cell>
          <cell r="F560" t="str">
            <v>ABANK</v>
          </cell>
          <cell r="G560">
            <v>53815.48</v>
          </cell>
          <cell r="K560">
            <v>53815.48</v>
          </cell>
        </row>
        <row r="561">
          <cell r="C561">
            <v>23500550</v>
          </cell>
          <cell r="D561" t="str">
            <v>GA00B184</v>
          </cell>
          <cell r="E561" t="str">
            <v>0422340000012 Hdfc Bank</v>
          </cell>
          <cell r="F561" t="str">
            <v>ABANK</v>
          </cell>
          <cell r="G561">
            <v>1500.79</v>
          </cell>
          <cell r="K561">
            <v>1500.79</v>
          </cell>
        </row>
        <row r="562">
          <cell r="C562">
            <v>23503190</v>
          </cell>
          <cell r="D562" t="str">
            <v>GA00B91</v>
          </cell>
          <cell r="E562" t="str">
            <v>1270340002025 Hdfc Bank</v>
          </cell>
          <cell r="F562" t="str">
            <v>ABANK</v>
          </cell>
          <cell r="G562">
            <v>69512.429999999993</v>
          </cell>
          <cell r="K562">
            <v>69512.429999999993</v>
          </cell>
        </row>
        <row r="563">
          <cell r="C563">
            <v>24532140</v>
          </cell>
          <cell r="E563" t="str">
            <v>UNION BANK OF INDIA 317901011012025</v>
          </cell>
          <cell r="F563" t="str">
            <v>ABANK</v>
          </cell>
          <cell r="G563">
            <v>6110.76</v>
          </cell>
          <cell r="K563">
            <v>6110.76</v>
          </cell>
        </row>
        <row r="564">
          <cell r="C564">
            <v>23505610</v>
          </cell>
          <cell r="D564" t="str">
            <v>GA00B551</v>
          </cell>
          <cell r="E564" t="str">
            <v>HDFC BANK LIMITED 4832340000023</v>
          </cell>
          <cell r="F564" t="str">
            <v>ABANK</v>
          </cell>
          <cell r="G564">
            <v>602</v>
          </cell>
          <cell r="K564">
            <v>602</v>
          </cell>
        </row>
        <row r="565">
          <cell r="C565">
            <v>23505560</v>
          </cell>
          <cell r="E565" t="str">
            <v>HDFC BANK  0040340003733</v>
          </cell>
          <cell r="F565" t="str">
            <v>ABANK</v>
          </cell>
          <cell r="G565">
            <v>44465.68</v>
          </cell>
          <cell r="K565">
            <v>44465.68</v>
          </cell>
        </row>
        <row r="566">
          <cell r="C566">
            <v>23502650</v>
          </cell>
          <cell r="D566" t="str">
            <v>GA00B154</v>
          </cell>
          <cell r="E566" t="str">
            <v>0540340001935 Hdfc Bank</v>
          </cell>
          <cell r="F566" t="str">
            <v>ABANK</v>
          </cell>
          <cell r="G566">
            <v>44632.26</v>
          </cell>
          <cell r="K566">
            <v>44632.26</v>
          </cell>
        </row>
        <row r="567">
          <cell r="C567">
            <v>23502880</v>
          </cell>
          <cell r="D567" t="str">
            <v>GA00B36</v>
          </cell>
          <cell r="E567" t="str">
            <v>6342340000018 Hdfc Bank</v>
          </cell>
          <cell r="F567" t="str">
            <v>ABANK</v>
          </cell>
          <cell r="G567">
            <v>16444.560000000001</v>
          </cell>
          <cell r="K567">
            <v>16444.560000000001</v>
          </cell>
        </row>
        <row r="568">
          <cell r="C568">
            <v>23502050</v>
          </cell>
          <cell r="D568" t="str">
            <v>GA00B114</v>
          </cell>
          <cell r="E568" t="str">
            <v>1150340000107 Hdfc Bank</v>
          </cell>
          <cell r="F568" t="str">
            <v>ABANK</v>
          </cell>
          <cell r="G568">
            <v>31033.73</v>
          </cell>
          <cell r="K568">
            <v>31033.73</v>
          </cell>
        </row>
        <row r="569">
          <cell r="C569">
            <v>23504730</v>
          </cell>
          <cell r="D569" t="str">
            <v>GA00B401</v>
          </cell>
          <cell r="E569" t="str">
            <v>001805008351 Icici Bank Ltd</v>
          </cell>
          <cell r="F569" t="str">
            <v>ABANK</v>
          </cell>
          <cell r="G569">
            <v>0</v>
          </cell>
          <cell r="K569">
            <v>0</v>
          </cell>
        </row>
        <row r="570">
          <cell r="C570">
            <v>23501750</v>
          </cell>
          <cell r="D570" t="str">
            <v>GA00B69</v>
          </cell>
          <cell r="E570" t="str">
            <v>0600340006963 Hdfc Bank</v>
          </cell>
          <cell r="F570" t="str">
            <v>ABANK</v>
          </cell>
          <cell r="G570">
            <v>1360669.82</v>
          </cell>
          <cell r="K570">
            <v>1360669.82</v>
          </cell>
        </row>
        <row r="571">
          <cell r="C571">
            <v>23500740</v>
          </cell>
          <cell r="D571" t="str">
            <v>GA00B282</v>
          </cell>
          <cell r="E571" t="str">
            <v>4290340000230  Hdfc Bank Ltd</v>
          </cell>
          <cell r="F571" t="str">
            <v>ABANK</v>
          </cell>
          <cell r="G571">
            <v>34158.71</v>
          </cell>
          <cell r="K571">
            <v>34158.71</v>
          </cell>
        </row>
        <row r="572">
          <cell r="C572">
            <v>23501720</v>
          </cell>
          <cell r="D572" t="str">
            <v>GA00B132</v>
          </cell>
          <cell r="E572" t="str">
            <v>0862340000103 Hdfc Bank Blocked</v>
          </cell>
          <cell r="F572" t="str">
            <v>ABANK</v>
          </cell>
          <cell r="G572">
            <v>0</v>
          </cell>
          <cell r="K572">
            <v>0</v>
          </cell>
        </row>
        <row r="573">
          <cell r="C573">
            <v>23503810</v>
          </cell>
          <cell r="D573" t="str">
            <v>GA00B238</v>
          </cell>
          <cell r="E573" t="str">
            <v>1150340000237 Hdfc Bank Ltd</v>
          </cell>
          <cell r="F573" t="str">
            <v>ABANK</v>
          </cell>
          <cell r="G573">
            <v>76826</v>
          </cell>
          <cell r="K573">
            <v>76826</v>
          </cell>
        </row>
        <row r="574">
          <cell r="C574">
            <v>23502040</v>
          </cell>
          <cell r="D574" t="str">
            <v>GA00B113</v>
          </cell>
          <cell r="E574" t="str">
            <v>Canara Bank A/C No.40957</v>
          </cell>
          <cell r="F574" t="str">
            <v>ABANK</v>
          </cell>
          <cell r="G574">
            <v>61634</v>
          </cell>
          <cell r="K574">
            <v>61634</v>
          </cell>
        </row>
        <row r="575">
          <cell r="C575">
            <v>23501270</v>
          </cell>
          <cell r="D575" t="str">
            <v>GA00B180</v>
          </cell>
          <cell r="E575" t="str">
            <v>0540340002133 Hdfc Bank</v>
          </cell>
          <cell r="F575" t="str">
            <v>ABANK</v>
          </cell>
          <cell r="G575">
            <v>39236.32</v>
          </cell>
          <cell r="K575">
            <v>39236.32</v>
          </cell>
        </row>
        <row r="576">
          <cell r="C576">
            <v>23503530</v>
          </cell>
          <cell r="D576" t="str">
            <v>GA00B427</v>
          </cell>
          <cell r="E576" t="str">
            <v>2722340000176 Hdfc Bank Ltd.</v>
          </cell>
          <cell r="F576" t="str">
            <v>ABANK</v>
          </cell>
          <cell r="G576">
            <v>47260.27</v>
          </cell>
          <cell r="K576">
            <v>47260.27</v>
          </cell>
        </row>
        <row r="577">
          <cell r="C577">
            <v>23501340</v>
          </cell>
          <cell r="D577" t="str">
            <v>GA00B60</v>
          </cell>
          <cell r="E577" t="str">
            <v>1160340000012 Hdfc Bank</v>
          </cell>
          <cell r="F577" t="str">
            <v>ABANK</v>
          </cell>
          <cell r="G577">
            <v>51233.22</v>
          </cell>
          <cell r="K577">
            <v>51233.22</v>
          </cell>
        </row>
        <row r="578">
          <cell r="C578">
            <v>23504600</v>
          </cell>
          <cell r="D578" t="str">
            <v>GA00B390</v>
          </cell>
          <cell r="E578" t="str">
            <v>4182340000012 Hdfc Bank Ltd.</v>
          </cell>
          <cell r="F578" t="str">
            <v>ABANK</v>
          </cell>
          <cell r="G578">
            <v>56427.97</v>
          </cell>
          <cell r="K578">
            <v>56427.97</v>
          </cell>
        </row>
        <row r="579">
          <cell r="C579">
            <v>23501810</v>
          </cell>
          <cell r="D579" t="str">
            <v>GA00B177</v>
          </cell>
          <cell r="E579" t="str">
            <v>0912340000156  Hdfc Bank</v>
          </cell>
          <cell r="F579" t="str">
            <v>ABANK</v>
          </cell>
          <cell r="G579">
            <v>27019.26</v>
          </cell>
          <cell r="K579">
            <v>27019.26</v>
          </cell>
        </row>
        <row r="580">
          <cell r="C580">
            <v>23503690</v>
          </cell>
          <cell r="D580" t="str">
            <v>GA00B150</v>
          </cell>
          <cell r="E580" t="str">
            <v>1070340000345 Hdfc Bank</v>
          </cell>
          <cell r="F580" t="str">
            <v>ABANK</v>
          </cell>
          <cell r="G580">
            <v>56786.98</v>
          </cell>
          <cell r="K580">
            <v>56786.98</v>
          </cell>
        </row>
        <row r="581">
          <cell r="C581">
            <v>23503070</v>
          </cell>
          <cell r="D581" t="str">
            <v>GA00B205</v>
          </cell>
          <cell r="E581" t="str">
            <v>0902340000069 Hdfc Bank</v>
          </cell>
          <cell r="F581" t="str">
            <v>ABANK</v>
          </cell>
          <cell r="G581">
            <v>1957.95</v>
          </cell>
          <cell r="K581">
            <v>1957.95</v>
          </cell>
        </row>
        <row r="582">
          <cell r="C582">
            <v>23504440</v>
          </cell>
          <cell r="D582" t="str">
            <v>GA00B532</v>
          </cell>
          <cell r="E582" t="str">
            <v>4672340000026 Hdfc Bank Ltd.</v>
          </cell>
          <cell r="F582" t="str">
            <v>ABANK</v>
          </cell>
          <cell r="G582">
            <v>31433.84</v>
          </cell>
          <cell r="K582">
            <v>31433.84</v>
          </cell>
        </row>
        <row r="583">
          <cell r="C583">
            <v>23503330</v>
          </cell>
          <cell r="D583" t="str">
            <v>GA00B374</v>
          </cell>
          <cell r="E583" t="str">
            <v>1202340000434  Hdfc Bank Ltd</v>
          </cell>
          <cell r="F583" t="str">
            <v>ABANK</v>
          </cell>
          <cell r="G583">
            <v>2264.67</v>
          </cell>
          <cell r="K583">
            <v>2264.67</v>
          </cell>
        </row>
        <row r="584">
          <cell r="C584">
            <v>23501020</v>
          </cell>
          <cell r="D584" t="str">
            <v>GA00B170</v>
          </cell>
          <cell r="E584" t="str">
            <v>0272340000077 Hdfc Bank Ltd.</v>
          </cell>
          <cell r="F584" t="str">
            <v>ABANK</v>
          </cell>
          <cell r="G584">
            <v>73.39</v>
          </cell>
          <cell r="K584">
            <v>73.39</v>
          </cell>
        </row>
        <row r="585">
          <cell r="C585">
            <v>23502920</v>
          </cell>
          <cell r="D585" t="str">
            <v>GA00B50</v>
          </cell>
          <cell r="E585" t="str">
            <v>0350340000118 Hdfc Bank</v>
          </cell>
          <cell r="F585" t="str">
            <v>ABANK</v>
          </cell>
          <cell r="G585">
            <v>62051.53</v>
          </cell>
          <cell r="K585">
            <v>62051.53</v>
          </cell>
        </row>
        <row r="586">
          <cell r="C586">
            <v>23514370</v>
          </cell>
          <cell r="E586" t="str">
            <v>ISL-A/c no. 00600340047111 HDFC BanK LTD.</v>
          </cell>
          <cell r="F586" t="str">
            <v>ABANK</v>
          </cell>
          <cell r="G586">
            <v>3019.7</v>
          </cell>
          <cell r="K586">
            <v>3019.7</v>
          </cell>
        </row>
        <row r="587">
          <cell r="C587">
            <v>23502500</v>
          </cell>
          <cell r="D587" t="str">
            <v>GA00B318</v>
          </cell>
          <cell r="E587" t="str">
            <v>1370340000209 Hdfc Bank Ltd.</v>
          </cell>
          <cell r="F587" t="str">
            <v>ABANK</v>
          </cell>
          <cell r="G587">
            <v>52064.78</v>
          </cell>
          <cell r="K587">
            <v>52064.78</v>
          </cell>
        </row>
        <row r="588">
          <cell r="C588">
            <v>23500440</v>
          </cell>
          <cell r="D588" t="str">
            <v>GA00B212</v>
          </cell>
          <cell r="E588" t="str">
            <v>1190340000086 Hdfc Bank</v>
          </cell>
          <cell r="F588" t="str">
            <v>ABANK</v>
          </cell>
          <cell r="G588">
            <v>40152.550000000003</v>
          </cell>
          <cell r="K588">
            <v>40152.550000000003</v>
          </cell>
        </row>
        <row r="589">
          <cell r="C589">
            <v>23502610</v>
          </cell>
          <cell r="D589" t="str">
            <v>GA00B241</v>
          </cell>
          <cell r="E589" t="str">
            <v>0350340000712  Hdfc Bank Ltd</v>
          </cell>
          <cell r="F589" t="str">
            <v>ABANK</v>
          </cell>
          <cell r="G589">
            <v>46640.55</v>
          </cell>
          <cell r="K589">
            <v>46640.55</v>
          </cell>
        </row>
        <row r="590">
          <cell r="C590">
            <v>23502840</v>
          </cell>
          <cell r="D590" t="str">
            <v>GA00B26</v>
          </cell>
          <cell r="E590" t="str">
            <v>0392000001236 Hdfc Bank</v>
          </cell>
          <cell r="F590" t="str">
            <v>ABANK</v>
          </cell>
          <cell r="G590">
            <v>1170.01</v>
          </cell>
          <cell r="K590">
            <v>1170.01</v>
          </cell>
        </row>
        <row r="591">
          <cell r="C591">
            <v>23500920</v>
          </cell>
          <cell r="D591" t="str">
            <v>GA00B237</v>
          </cell>
          <cell r="E591" t="str">
            <v>A/C No.3192340000054 Hdfc Bank Ltd</v>
          </cell>
          <cell r="F591" t="str">
            <v>ABANK</v>
          </cell>
          <cell r="G591">
            <v>36257.72</v>
          </cell>
          <cell r="K591">
            <v>36257.72</v>
          </cell>
        </row>
        <row r="592">
          <cell r="C592">
            <v>23501520</v>
          </cell>
          <cell r="D592" t="str">
            <v>GA00B192</v>
          </cell>
          <cell r="E592" t="str">
            <v>0600340022685 Hdfc Bank</v>
          </cell>
          <cell r="F592" t="str">
            <v>ABANK</v>
          </cell>
          <cell r="G592">
            <v>68296.63</v>
          </cell>
          <cell r="K592">
            <v>68296.63</v>
          </cell>
        </row>
        <row r="593">
          <cell r="C593">
            <v>23502020</v>
          </cell>
          <cell r="D593" t="str">
            <v>GA00B111</v>
          </cell>
          <cell r="E593" t="str">
            <v>0200340000425 Hdfc Bank</v>
          </cell>
          <cell r="F593" t="str">
            <v>ABANK</v>
          </cell>
          <cell r="G593">
            <v>77611.399999999994</v>
          </cell>
          <cell r="K593">
            <v>77611.399999999994</v>
          </cell>
        </row>
        <row r="594">
          <cell r="C594">
            <v>23502600</v>
          </cell>
          <cell r="D594" t="str">
            <v>GA00B240</v>
          </cell>
          <cell r="E594" t="str">
            <v>0440340000200  Hdfc Bank Ltd</v>
          </cell>
          <cell r="F594" t="str">
            <v>ABANK</v>
          </cell>
          <cell r="G594">
            <v>26748.57</v>
          </cell>
          <cell r="K594">
            <v>26748.57</v>
          </cell>
        </row>
        <row r="595">
          <cell r="C595">
            <v>23501240</v>
          </cell>
          <cell r="D595" t="str">
            <v>GA00B106</v>
          </cell>
          <cell r="E595" t="str">
            <v xml:space="preserve"> Hdfc Bank 0030340012608</v>
          </cell>
          <cell r="F595" t="str">
            <v>ABANK</v>
          </cell>
          <cell r="G595">
            <v>1963.35</v>
          </cell>
          <cell r="K595">
            <v>1963.35</v>
          </cell>
        </row>
        <row r="596">
          <cell r="C596">
            <v>23511000</v>
          </cell>
          <cell r="E596" t="str">
            <v>HDFC Bank A/C-1270340003979 Kanpur Branch</v>
          </cell>
          <cell r="F596" t="str">
            <v>ABANK</v>
          </cell>
          <cell r="G596">
            <v>12343.07</v>
          </cell>
          <cell r="K596">
            <v>12343.07</v>
          </cell>
        </row>
        <row r="597">
          <cell r="C597">
            <v>23503170</v>
          </cell>
          <cell r="D597" t="str">
            <v>GA00B89</v>
          </cell>
          <cell r="E597" t="str">
            <v>1710340000019 Hdfc Bank</v>
          </cell>
          <cell r="F597" t="str">
            <v>ABANK</v>
          </cell>
          <cell r="G597">
            <v>50708.11</v>
          </cell>
          <cell r="K597">
            <v>50708.11</v>
          </cell>
        </row>
        <row r="598">
          <cell r="C598">
            <v>23501850</v>
          </cell>
          <cell r="D598" t="str">
            <v>GA00B145</v>
          </cell>
          <cell r="E598" t="str">
            <v>2850340000040 Hdfc Bank</v>
          </cell>
          <cell r="F598" t="str">
            <v>ABANK</v>
          </cell>
          <cell r="G598">
            <v>0</v>
          </cell>
          <cell r="K598">
            <v>0</v>
          </cell>
        </row>
        <row r="599">
          <cell r="C599">
            <v>23504610</v>
          </cell>
          <cell r="D599" t="str">
            <v>GA00B391</v>
          </cell>
          <cell r="E599" t="str">
            <v>0422340000022 Hdfc Bank Ltd.</v>
          </cell>
          <cell r="F599" t="str">
            <v>ABANK</v>
          </cell>
          <cell r="G599">
            <v>100165.52</v>
          </cell>
          <cell r="K599">
            <v>100165.52</v>
          </cell>
        </row>
        <row r="600">
          <cell r="C600">
            <v>23501070</v>
          </cell>
          <cell r="D600" t="str">
            <v>GA00B292</v>
          </cell>
          <cell r="E600" t="str">
            <v>1010340001903 Hdfc Bank Ltd.</v>
          </cell>
          <cell r="F600" t="str">
            <v>ABANK</v>
          </cell>
          <cell r="G600">
            <v>47597.8</v>
          </cell>
          <cell r="K600">
            <v>47597.8</v>
          </cell>
        </row>
        <row r="601">
          <cell r="C601">
            <v>23502480</v>
          </cell>
          <cell r="D601" t="str">
            <v>GA00B316</v>
          </cell>
          <cell r="E601" t="str">
            <v>2492340000045 Hdfc Bank Ltd.</v>
          </cell>
          <cell r="F601" t="str">
            <v>ABANK</v>
          </cell>
          <cell r="G601">
            <v>32954.639999999999</v>
          </cell>
          <cell r="K601">
            <v>32954.639999999999</v>
          </cell>
        </row>
        <row r="602">
          <cell r="C602">
            <v>23500880</v>
          </cell>
          <cell r="D602" t="str">
            <v>GA00B103</v>
          </cell>
          <cell r="E602" t="str">
            <v>1530340000044 Hdfc Bank</v>
          </cell>
          <cell r="F602" t="str">
            <v>ABANK</v>
          </cell>
          <cell r="G602">
            <v>27640.75</v>
          </cell>
          <cell r="K602">
            <v>27640.75</v>
          </cell>
        </row>
        <row r="603">
          <cell r="C603">
            <v>23501680</v>
          </cell>
          <cell r="D603" t="str">
            <v>GA00B200</v>
          </cell>
          <cell r="E603" t="str">
            <v>0600340022675 Hdfc Bank</v>
          </cell>
          <cell r="F603" t="str">
            <v>ABANK</v>
          </cell>
          <cell r="G603">
            <v>34742.65</v>
          </cell>
          <cell r="K603">
            <v>34742.65</v>
          </cell>
        </row>
        <row r="604">
          <cell r="C604">
            <v>23502440</v>
          </cell>
          <cell r="D604" t="str">
            <v>GA00B353</v>
          </cell>
          <cell r="E604" t="str">
            <v>2592340000015  Hdfc Bank Ltd Blocked</v>
          </cell>
          <cell r="F604" t="str">
            <v>ABANK</v>
          </cell>
          <cell r="G604">
            <v>0</v>
          </cell>
          <cell r="K604">
            <v>0</v>
          </cell>
        </row>
        <row r="605">
          <cell r="C605">
            <v>23505690</v>
          </cell>
          <cell r="D605" t="str">
            <v>GA00B572</v>
          </cell>
          <cell r="E605" t="str">
            <v>1530340000103 HDFC BANK LTD.</v>
          </cell>
          <cell r="F605" t="str">
            <v>ABANK</v>
          </cell>
          <cell r="G605">
            <v>12119</v>
          </cell>
          <cell r="K605">
            <v>12119</v>
          </cell>
        </row>
        <row r="606">
          <cell r="C606">
            <v>23502670</v>
          </cell>
          <cell r="D606" t="str">
            <v>GA00B335</v>
          </cell>
          <cell r="E606" t="str">
            <v>4222340000047 Hdfc Bank Ltd.</v>
          </cell>
          <cell r="F606" t="str">
            <v>ABANK</v>
          </cell>
          <cell r="G606">
            <v>15292</v>
          </cell>
          <cell r="K606">
            <v>15292</v>
          </cell>
        </row>
        <row r="607">
          <cell r="C607">
            <v>23501330</v>
          </cell>
          <cell r="D607" t="str">
            <v>GA00B136</v>
          </cell>
          <cell r="E607" t="str">
            <v>Abn Amro Bank (Dividend A/C 2004-05) 6528414</v>
          </cell>
          <cell r="F607" t="str">
            <v>ABANK</v>
          </cell>
          <cell r="G607">
            <v>807.03</v>
          </cell>
          <cell r="K607">
            <v>807.03</v>
          </cell>
        </row>
        <row r="608">
          <cell r="C608">
            <v>23500510</v>
          </cell>
          <cell r="D608" t="str">
            <v>GA00B139</v>
          </cell>
          <cell r="E608" t="str">
            <v>5402340000128 Hdfc Bank</v>
          </cell>
          <cell r="F608" t="str">
            <v>ABANK</v>
          </cell>
          <cell r="G608">
            <v>117541.97</v>
          </cell>
          <cell r="K608">
            <v>117541.97</v>
          </cell>
        </row>
        <row r="609">
          <cell r="C609">
            <v>23504100</v>
          </cell>
          <cell r="D609" t="str">
            <v>GA00B461</v>
          </cell>
          <cell r="E609" t="str">
            <v>5432340000035 Hdfc Bank Ltd.</v>
          </cell>
          <cell r="F609" t="str">
            <v>ABANK</v>
          </cell>
          <cell r="G609">
            <v>0</v>
          </cell>
          <cell r="K609">
            <v>0</v>
          </cell>
        </row>
        <row r="610">
          <cell r="C610">
            <v>23503180</v>
          </cell>
          <cell r="D610" t="str">
            <v>GA00B90</v>
          </cell>
          <cell r="E610" t="str">
            <v>2260340000039 Hdfc Bank</v>
          </cell>
          <cell r="F610" t="str">
            <v>ABANK</v>
          </cell>
          <cell r="G610">
            <v>79628.100000000006</v>
          </cell>
          <cell r="K610">
            <v>79628.100000000006</v>
          </cell>
        </row>
        <row r="611">
          <cell r="C611">
            <v>23500810</v>
          </cell>
          <cell r="D611" t="str">
            <v>GA00B233</v>
          </cell>
          <cell r="E611" t="str">
            <v>3002340000062 Hdfc Bank Ltd.</v>
          </cell>
          <cell r="F611" t="str">
            <v>ABANK</v>
          </cell>
          <cell r="G611">
            <v>60122.74</v>
          </cell>
          <cell r="K611">
            <v>60122.74</v>
          </cell>
        </row>
        <row r="612">
          <cell r="C612">
            <v>23509940</v>
          </cell>
          <cell r="D612" t="str">
            <v>GA00B569</v>
          </cell>
          <cell r="E612" t="str">
            <v>ISL.0040340003743 HDFC BANK LTD(7160340000037)</v>
          </cell>
          <cell r="F612" t="str">
            <v>ABANK</v>
          </cell>
          <cell r="G612">
            <v>0</v>
          </cell>
          <cell r="K612">
            <v>0</v>
          </cell>
        </row>
        <row r="613">
          <cell r="C613">
            <v>23509990</v>
          </cell>
          <cell r="D613" t="str">
            <v>GA00B581</v>
          </cell>
          <cell r="E613" t="str">
            <v>ISL.DWARKA HDFC BANK 2492340000062</v>
          </cell>
          <cell r="F613" t="str">
            <v>ABANK</v>
          </cell>
          <cell r="G613">
            <v>48175.16</v>
          </cell>
          <cell r="K613">
            <v>48175.16</v>
          </cell>
        </row>
        <row r="614">
          <cell r="C614">
            <v>23502460</v>
          </cell>
          <cell r="D614" t="str">
            <v>GA00B355</v>
          </cell>
          <cell r="E614" t="str">
            <v>2732340000057 Hdfc Bank Ltd</v>
          </cell>
          <cell r="F614" t="str">
            <v>ABANK</v>
          </cell>
          <cell r="G614">
            <v>0</v>
          </cell>
          <cell r="K614">
            <v>0</v>
          </cell>
        </row>
        <row r="615">
          <cell r="C615">
            <v>23502740</v>
          </cell>
          <cell r="D615" t="str">
            <v>GA00B361</v>
          </cell>
          <cell r="E615" t="str">
            <v>0902340000086 Hdfc Bank Ltd</v>
          </cell>
          <cell r="F615" t="str">
            <v>ABANK</v>
          </cell>
          <cell r="G615">
            <v>12335.83</v>
          </cell>
          <cell r="K615">
            <v>12335.83</v>
          </cell>
        </row>
        <row r="616">
          <cell r="C616">
            <v>23500690</v>
          </cell>
          <cell r="D616" t="str">
            <v>GA00B72</v>
          </cell>
          <cell r="E616" t="str">
            <v>Canara Bank 2308,Shimoga</v>
          </cell>
          <cell r="F616" t="str">
            <v>ABANK</v>
          </cell>
          <cell r="G616">
            <v>109</v>
          </cell>
          <cell r="K616">
            <v>109</v>
          </cell>
        </row>
        <row r="617">
          <cell r="C617">
            <v>23501230</v>
          </cell>
          <cell r="D617" t="str">
            <v>GA00B105</v>
          </cell>
          <cell r="E617" t="str">
            <v>0620340000116 Hdfc Bank (Closed)</v>
          </cell>
          <cell r="F617" t="str">
            <v>ABANK</v>
          </cell>
          <cell r="G617">
            <v>0</v>
          </cell>
          <cell r="K617">
            <v>0</v>
          </cell>
        </row>
        <row r="618">
          <cell r="C618">
            <v>23502860</v>
          </cell>
          <cell r="D618" t="str">
            <v>GA00B30</v>
          </cell>
          <cell r="E618" t="str">
            <v>0780340000249 Hdfc Bank</v>
          </cell>
          <cell r="F618" t="str">
            <v>ABANK</v>
          </cell>
          <cell r="G618">
            <v>39715.870000000003</v>
          </cell>
          <cell r="K618">
            <v>39715.870000000003</v>
          </cell>
        </row>
        <row r="619">
          <cell r="C619">
            <v>23510700</v>
          </cell>
          <cell r="E619" t="str">
            <v>ISL 02062340000127 HDFC Bank (Closed)</v>
          </cell>
          <cell r="F619" t="str">
            <v>ABANK</v>
          </cell>
          <cell r="G619">
            <v>0</v>
          </cell>
          <cell r="K619">
            <v>0</v>
          </cell>
        </row>
        <row r="620">
          <cell r="C620">
            <v>23503240</v>
          </cell>
          <cell r="D620" t="str">
            <v>GA00B323</v>
          </cell>
          <cell r="E620" t="str">
            <v>0222340000086 Hdfc Bank Ltd.</v>
          </cell>
          <cell r="F620" t="str">
            <v>ABANK</v>
          </cell>
          <cell r="G620">
            <v>29041.19</v>
          </cell>
          <cell r="K620">
            <v>29041.19</v>
          </cell>
        </row>
        <row r="621">
          <cell r="C621">
            <v>23501030</v>
          </cell>
          <cell r="D621" t="str">
            <v>GA00B168</v>
          </cell>
          <cell r="E621" t="str">
            <v>3420340000032 Hdfc Bank</v>
          </cell>
          <cell r="F621" t="str">
            <v>ABANK</v>
          </cell>
          <cell r="G621">
            <v>67494.63</v>
          </cell>
          <cell r="K621">
            <v>67494.63</v>
          </cell>
        </row>
        <row r="622">
          <cell r="C622">
            <v>23505660</v>
          </cell>
          <cell r="D622" t="str">
            <v>GA00B543</v>
          </cell>
          <cell r="E622" t="str">
            <v>1202340000441 HDFC BANK LIMITED</v>
          </cell>
          <cell r="F622" t="str">
            <v>ABANK</v>
          </cell>
          <cell r="G622">
            <v>39716.58</v>
          </cell>
          <cell r="K622">
            <v>39716.58</v>
          </cell>
        </row>
        <row r="623">
          <cell r="C623">
            <v>23503130</v>
          </cell>
          <cell r="D623" t="str">
            <v>GA00B85</v>
          </cell>
          <cell r="E623" t="str">
            <v>0880340000030 Hdfc Bank</v>
          </cell>
          <cell r="F623" t="str">
            <v>ABANK</v>
          </cell>
          <cell r="G623">
            <v>25433.95</v>
          </cell>
          <cell r="K623">
            <v>25433.95</v>
          </cell>
        </row>
        <row r="624">
          <cell r="C624">
            <v>23502150</v>
          </cell>
          <cell r="D624" t="str">
            <v>GA00B53</v>
          </cell>
          <cell r="E624" t="str">
            <v>1210340000134 Hdfc Bank</v>
          </cell>
          <cell r="F624" t="str">
            <v>ABANK</v>
          </cell>
          <cell r="G624">
            <v>0</v>
          </cell>
          <cell r="K624">
            <v>0</v>
          </cell>
        </row>
        <row r="625">
          <cell r="C625">
            <v>23501290</v>
          </cell>
          <cell r="D625" t="str">
            <v>GA00B120</v>
          </cell>
          <cell r="E625" t="str">
            <v>1582340000288 Hdfc Bank</v>
          </cell>
          <cell r="F625" t="str">
            <v>ABANK</v>
          </cell>
          <cell r="G625">
            <v>28396.39</v>
          </cell>
          <cell r="K625">
            <v>28396.39</v>
          </cell>
        </row>
        <row r="626">
          <cell r="C626">
            <v>23500370</v>
          </cell>
          <cell r="D626" t="str">
            <v>GA00B172</v>
          </cell>
          <cell r="E626" t="str">
            <v>1510340000118 Hdfc Bank</v>
          </cell>
          <cell r="F626" t="str">
            <v>ABANK</v>
          </cell>
          <cell r="G626">
            <v>0</v>
          </cell>
          <cell r="K626">
            <v>0</v>
          </cell>
        </row>
        <row r="627">
          <cell r="C627">
            <v>23500390</v>
          </cell>
          <cell r="D627" t="str">
            <v>GA00B174</v>
          </cell>
          <cell r="E627" t="str">
            <v>0940340000067 Hdfc Bank</v>
          </cell>
          <cell r="F627" t="str">
            <v>ABANK</v>
          </cell>
          <cell r="G627">
            <v>0</v>
          </cell>
          <cell r="K627">
            <v>0</v>
          </cell>
        </row>
        <row r="628">
          <cell r="C628">
            <v>23500420</v>
          </cell>
          <cell r="D628" t="str">
            <v>GA00B210</v>
          </cell>
          <cell r="E628" t="str">
            <v>1090340000416  Hdfc Bank</v>
          </cell>
          <cell r="F628" t="str">
            <v>ABANK</v>
          </cell>
          <cell r="G628">
            <v>0</v>
          </cell>
          <cell r="K628">
            <v>0</v>
          </cell>
        </row>
        <row r="629">
          <cell r="C629">
            <v>23500480</v>
          </cell>
          <cell r="D629" t="str">
            <v>GA00B129</v>
          </cell>
          <cell r="E629" t="str">
            <v>Uti Bank-Bhimavaram 217010200000462</v>
          </cell>
          <cell r="F629" t="str">
            <v>ABANK</v>
          </cell>
          <cell r="G629">
            <v>0</v>
          </cell>
          <cell r="K629">
            <v>0</v>
          </cell>
        </row>
        <row r="630">
          <cell r="C630">
            <v>23500500</v>
          </cell>
          <cell r="D630" t="str">
            <v>GA00B157</v>
          </cell>
          <cell r="E630" t="str">
            <v>0630340000117 Hdfc Bank</v>
          </cell>
          <cell r="F630" t="str">
            <v>ABANK</v>
          </cell>
          <cell r="G630">
            <v>0</v>
          </cell>
          <cell r="K630">
            <v>0</v>
          </cell>
        </row>
        <row r="631">
          <cell r="C631">
            <v>23500580</v>
          </cell>
          <cell r="D631" t="str">
            <v>GA00B235</v>
          </cell>
          <cell r="E631" t="str">
            <v>4392340000017 Hdfc Bank Ltd</v>
          </cell>
          <cell r="F631" t="str">
            <v>ABANK</v>
          </cell>
          <cell r="G631">
            <v>0</v>
          </cell>
          <cell r="K631">
            <v>0</v>
          </cell>
        </row>
        <row r="632">
          <cell r="C632">
            <v>23500600</v>
          </cell>
          <cell r="D632" t="str">
            <v>GA00B256</v>
          </cell>
          <cell r="E632" t="str">
            <v xml:space="preserve"> 2680340000118 Hdfc Bank Ltd</v>
          </cell>
          <cell r="F632" t="str">
            <v>ABANK</v>
          </cell>
          <cell r="G632">
            <v>0</v>
          </cell>
          <cell r="K632">
            <v>0</v>
          </cell>
        </row>
        <row r="633">
          <cell r="C633">
            <v>23500610</v>
          </cell>
          <cell r="D633" t="str">
            <v>GA00B255</v>
          </cell>
          <cell r="E633" t="str">
            <v>1210340000213  Hdfc Bank Ltd</v>
          </cell>
          <cell r="F633" t="str">
            <v>ABANK</v>
          </cell>
          <cell r="G633">
            <v>0</v>
          </cell>
          <cell r="K633">
            <v>0</v>
          </cell>
        </row>
        <row r="634">
          <cell r="C634">
            <v>23500710</v>
          </cell>
          <cell r="D634" t="str">
            <v>GA00B79</v>
          </cell>
          <cell r="E634" t="str">
            <v>2340340000017 Hdfc Bank</v>
          </cell>
          <cell r="F634" t="str">
            <v>ABANK</v>
          </cell>
          <cell r="G634">
            <v>0</v>
          </cell>
          <cell r="K634">
            <v>0</v>
          </cell>
        </row>
        <row r="635">
          <cell r="C635">
            <v>23500730</v>
          </cell>
          <cell r="D635" t="str">
            <v>GA00B281</v>
          </cell>
          <cell r="E635" t="str">
            <v>2830340000038  Hdfc Bank Ltd</v>
          </cell>
          <cell r="F635" t="str">
            <v>ABANK</v>
          </cell>
          <cell r="G635">
            <v>0</v>
          </cell>
          <cell r="K635">
            <v>0</v>
          </cell>
        </row>
        <row r="636">
          <cell r="C636">
            <v>23500750</v>
          </cell>
          <cell r="D636" t="str">
            <v>GA00B204</v>
          </cell>
          <cell r="E636" t="str">
            <v>007010200037129 Uti Bank</v>
          </cell>
          <cell r="F636" t="str">
            <v>ABANK</v>
          </cell>
          <cell r="G636">
            <v>0</v>
          </cell>
          <cell r="K636">
            <v>0</v>
          </cell>
        </row>
        <row r="637">
          <cell r="C637">
            <v>23500760</v>
          </cell>
          <cell r="D637" t="str">
            <v>GA05001</v>
          </cell>
          <cell r="E637" t="str">
            <v>Bse Bank</v>
          </cell>
          <cell r="F637" t="str">
            <v>ABANK</v>
          </cell>
          <cell r="G637">
            <v>0</v>
          </cell>
          <cell r="K637">
            <v>0</v>
          </cell>
        </row>
        <row r="638">
          <cell r="C638">
            <v>23500790</v>
          </cell>
          <cell r="D638" t="str">
            <v>GA00B01</v>
          </cell>
          <cell r="E638" t="str">
            <v>A/C 2080340000037 Hdfc Bank Ltd.</v>
          </cell>
          <cell r="F638" t="str">
            <v>ABANK</v>
          </cell>
          <cell r="G638">
            <v>0</v>
          </cell>
          <cell r="K638">
            <v>0</v>
          </cell>
        </row>
        <row r="639">
          <cell r="C639">
            <v>23500800</v>
          </cell>
          <cell r="D639" t="str">
            <v>GA00B218</v>
          </cell>
          <cell r="E639" t="str">
            <v>4630340000013 Hdfc Bank Ltd</v>
          </cell>
          <cell r="F639" t="str">
            <v>ABANK</v>
          </cell>
          <cell r="G639">
            <v>0</v>
          </cell>
          <cell r="K639">
            <v>0</v>
          </cell>
        </row>
        <row r="640">
          <cell r="C640">
            <v>23500820</v>
          </cell>
          <cell r="D640" t="str">
            <v>GA00B252</v>
          </cell>
          <cell r="E640" t="str">
            <v>0870340000228 Hdfc Bank Ltd</v>
          </cell>
          <cell r="F640" t="str">
            <v>ABANK</v>
          </cell>
          <cell r="G640">
            <v>0</v>
          </cell>
          <cell r="K640">
            <v>0</v>
          </cell>
        </row>
        <row r="641">
          <cell r="C641">
            <v>23500830</v>
          </cell>
          <cell r="D641" t="str">
            <v>GA00B253</v>
          </cell>
          <cell r="E641" t="str">
            <v>3800340000021  Hdfc Bank Ltd</v>
          </cell>
          <cell r="F641" t="str">
            <v>ABANK</v>
          </cell>
          <cell r="G641">
            <v>0</v>
          </cell>
          <cell r="K641">
            <v>0</v>
          </cell>
        </row>
        <row r="642">
          <cell r="C642">
            <v>23500870</v>
          </cell>
          <cell r="D642" t="str">
            <v>GA00B102</v>
          </cell>
          <cell r="E642" t="str">
            <v>1370340000088 Hdfc Bank</v>
          </cell>
          <cell r="F642" t="str">
            <v>ABANK</v>
          </cell>
          <cell r="G642">
            <v>0</v>
          </cell>
          <cell r="K642">
            <v>0</v>
          </cell>
        </row>
        <row r="643">
          <cell r="C643">
            <v>23500910</v>
          </cell>
          <cell r="D643" t="str">
            <v>GA00B236</v>
          </cell>
          <cell r="E643" t="str">
            <v>5050340000060 Hdfc Bank Ltd</v>
          </cell>
          <cell r="F643" t="str">
            <v>ABANK</v>
          </cell>
          <cell r="G643">
            <v>0</v>
          </cell>
          <cell r="K643">
            <v>0</v>
          </cell>
        </row>
        <row r="644">
          <cell r="C644">
            <v>23500930</v>
          </cell>
          <cell r="D644" t="str">
            <v>GA00B158</v>
          </cell>
          <cell r="E644" t="str">
            <v>0650340000040  Hdfc Bank</v>
          </cell>
          <cell r="F644" t="str">
            <v>ABANK</v>
          </cell>
          <cell r="G644">
            <v>0</v>
          </cell>
          <cell r="K644">
            <v>0</v>
          </cell>
        </row>
        <row r="645">
          <cell r="C645">
            <v>23500950</v>
          </cell>
          <cell r="D645" t="str">
            <v>GA00B160</v>
          </cell>
          <cell r="E645" t="str">
            <v>Indusind Bank A/C Indiabulls Securities Ltd</v>
          </cell>
          <cell r="F645" t="str">
            <v>ABANK</v>
          </cell>
          <cell r="G645">
            <v>0</v>
          </cell>
          <cell r="K645">
            <v>0</v>
          </cell>
        </row>
        <row r="646">
          <cell r="C646">
            <v>23500990</v>
          </cell>
          <cell r="D646" t="str">
            <v>GA00B166</v>
          </cell>
          <cell r="E646" t="str">
            <v>2140340000133 Hdfc Bank</v>
          </cell>
          <cell r="F646" t="str">
            <v>ABANK</v>
          </cell>
          <cell r="G646">
            <v>0</v>
          </cell>
          <cell r="K646">
            <v>0</v>
          </cell>
        </row>
        <row r="647">
          <cell r="C647">
            <v>23501040</v>
          </cell>
          <cell r="D647" t="str">
            <v>GA00B171</v>
          </cell>
          <cell r="E647" t="str">
            <v>4260340000018 Hdfc Bank</v>
          </cell>
          <cell r="F647" t="str">
            <v>ABANK</v>
          </cell>
          <cell r="G647">
            <v>0</v>
          </cell>
          <cell r="K647">
            <v>0</v>
          </cell>
        </row>
        <row r="648">
          <cell r="C648">
            <v>23501060</v>
          </cell>
          <cell r="D648" t="str">
            <v>GA00B291</v>
          </cell>
          <cell r="E648" t="str">
            <v>0562340000033 Hdfc Bank Ltd.</v>
          </cell>
          <cell r="F648" t="str">
            <v>ABANK</v>
          </cell>
          <cell r="G648">
            <v>0</v>
          </cell>
          <cell r="K648">
            <v>0</v>
          </cell>
        </row>
        <row r="649">
          <cell r="C649">
            <v>23501100</v>
          </cell>
          <cell r="D649" t="str">
            <v>GA00B295</v>
          </cell>
          <cell r="E649" t="str">
            <v>1770340000165  Hdfc Bank Ltd.</v>
          </cell>
          <cell r="F649" t="str">
            <v>ABANK</v>
          </cell>
          <cell r="G649">
            <v>0</v>
          </cell>
          <cell r="K649">
            <v>0</v>
          </cell>
        </row>
        <row r="650">
          <cell r="C650">
            <v>23501110</v>
          </cell>
          <cell r="D650" t="str">
            <v>GA00B289</v>
          </cell>
          <cell r="E650" t="str">
            <v>1130340000105  Hdfc Bank Ltd.</v>
          </cell>
          <cell r="F650" t="str">
            <v>ABANK</v>
          </cell>
          <cell r="G650">
            <v>0</v>
          </cell>
          <cell r="K650">
            <v>0</v>
          </cell>
        </row>
        <row r="651">
          <cell r="C651">
            <v>23501120</v>
          </cell>
          <cell r="D651" t="str">
            <v>GA00B290</v>
          </cell>
          <cell r="E651" t="str">
            <v>4112340000022  Hdfc Bank Ltd.</v>
          </cell>
          <cell r="F651" t="str">
            <v>ABANK</v>
          </cell>
          <cell r="G651">
            <v>0</v>
          </cell>
          <cell r="K651">
            <v>0</v>
          </cell>
        </row>
        <row r="652">
          <cell r="C652">
            <v>23501130</v>
          </cell>
          <cell r="D652" t="str">
            <v>GA00B296</v>
          </cell>
          <cell r="E652" t="str">
            <v>0172340000019  Hdfc Bank Ltd</v>
          </cell>
          <cell r="F652" t="str">
            <v>ABANK</v>
          </cell>
          <cell r="G652">
            <v>0</v>
          </cell>
          <cell r="K652">
            <v>0</v>
          </cell>
        </row>
        <row r="653">
          <cell r="C653">
            <v>23501150</v>
          </cell>
          <cell r="D653" t="str">
            <v>GA00B298</v>
          </cell>
          <cell r="E653" t="str">
            <v>1822340000074 Hdfc Bank</v>
          </cell>
          <cell r="F653" t="str">
            <v>ABANK</v>
          </cell>
          <cell r="G653">
            <v>0</v>
          </cell>
          <cell r="K653">
            <v>0</v>
          </cell>
        </row>
        <row r="654">
          <cell r="C654">
            <v>23501170</v>
          </cell>
          <cell r="D654" t="str">
            <v>GA00B268</v>
          </cell>
          <cell r="E654" t="str">
            <v>2100340000060  Hdfc Bank Ltd.</v>
          </cell>
          <cell r="F654" t="str">
            <v>ABANK</v>
          </cell>
          <cell r="G654">
            <v>0</v>
          </cell>
          <cell r="K654">
            <v>0</v>
          </cell>
        </row>
        <row r="655">
          <cell r="C655">
            <v>23501200</v>
          </cell>
          <cell r="D655" t="str">
            <v>GA00B303</v>
          </cell>
          <cell r="E655" t="str">
            <v>1310340000114 Hdfc Bank Ltd.</v>
          </cell>
          <cell r="F655" t="str">
            <v>ABANK</v>
          </cell>
          <cell r="G655">
            <v>0</v>
          </cell>
          <cell r="K655">
            <v>0</v>
          </cell>
        </row>
        <row r="656">
          <cell r="C656">
            <v>23501210</v>
          </cell>
          <cell r="D656" t="str">
            <v>GA00B304</v>
          </cell>
          <cell r="E656" t="str">
            <v>1710340000046 Hdfc Bank Ltd.</v>
          </cell>
          <cell r="F656" t="str">
            <v>ABANK</v>
          </cell>
          <cell r="G656">
            <v>0</v>
          </cell>
          <cell r="K656">
            <v>0</v>
          </cell>
        </row>
        <row r="657">
          <cell r="C657">
            <v>23501220</v>
          </cell>
          <cell r="D657" t="str">
            <v>GA00B305</v>
          </cell>
          <cell r="E657" t="str">
            <v>358010200001588 Uti Bank Ltd.</v>
          </cell>
          <cell r="F657" t="str">
            <v>ABANK</v>
          </cell>
          <cell r="G657">
            <v>0</v>
          </cell>
          <cell r="K657">
            <v>0</v>
          </cell>
        </row>
        <row r="658">
          <cell r="C658">
            <v>23501260</v>
          </cell>
          <cell r="D658" t="str">
            <v>GA00B179</v>
          </cell>
          <cell r="E658" t="str">
            <v>1670340000141 Hdfc Bank</v>
          </cell>
          <cell r="F658" t="str">
            <v>ABANK</v>
          </cell>
          <cell r="G658">
            <v>0</v>
          </cell>
          <cell r="K658">
            <v>0</v>
          </cell>
        </row>
        <row r="659">
          <cell r="C659">
            <v>23501300</v>
          </cell>
          <cell r="D659" t="str">
            <v>GA00B121</v>
          </cell>
          <cell r="E659" t="str">
            <v>1420340000087 Hdfc Bank</v>
          </cell>
          <cell r="F659" t="str">
            <v>ABANK</v>
          </cell>
          <cell r="G659">
            <v>0</v>
          </cell>
          <cell r="K659">
            <v>0</v>
          </cell>
        </row>
        <row r="660">
          <cell r="C660">
            <v>23501350</v>
          </cell>
          <cell r="D660" t="str">
            <v>GA00B57</v>
          </cell>
          <cell r="E660" t="str">
            <v>631005007528 Icici Bank Ltd.</v>
          </cell>
          <cell r="F660" t="str">
            <v>ABANK</v>
          </cell>
          <cell r="G660">
            <v>0</v>
          </cell>
          <cell r="K660">
            <v>0</v>
          </cell>
        </row>
        <row r="661">
          <cell r="C661">
            <v>23501410</v>
          </cell>
          <cell r="D661" t="str">
            <v>GA00B147</v>
          </cell>
          <cell r="E661" t="str">
            <v>1230340000084 Hdfc Bank</v>
          </cell>
          <cell r="F661" t="str">
            <v>ABANK</v>
          </cell>
          <cell r="G661">
            <v>0</v>
          </cell>
          <cell r="K661">
            <v>0</v>
          </cell>
        </row>
        <row r="662">
          <cell r="C662">
            <v>23501450</v>
          </cell>
          <cell r="D662" t="str">
            <v>GA00B94</v>
          </cell>
          <cell r="E662" t="str">
            <v>0612340000025 Hdfc Bank</v>
          </cell>
          <cell r="F662" t="str">
            <v>ABANK</v>
          </cell>
          <cell r="G662">
            <v>0</v>
          </cell>
          <cell r="K662">
            <v>0</v>
          </cell>
        </row>
        <row r="663">
          <cell r="C663">
            <v>23501490</v>
          </cell>
          <cell r="D663" t="str">
            <v>GA00B196</v>
          </cell>
          <cell r="E663" t="str">
            <v>2982340000022 Hdfc Bank</v>
          </cell>
          <cell r="F663" t="str">
            <v>ABANK</v>
          </cell>
          <cell r="G663">
            <v>0</v>
          </cell>
          <cell r="K663">
            <v>0</v>
          </cell>
        </row>
        <row r="664">
          <cell r="C664">
            <v>23501500</v>
          </cell>
          <cell r="D664" t="str">
            <v>GA00B197</v>
          </cell>
          <cell r="E664" t="str">
            <v>1592340000039 Hdfc Bank</v>
          </cell>
          <cell r="F664" t="str">
            <v>ABANK</v>
          </cell>
          <cell r="G664">
            <v>0</v>
          </cell>
          <cell r="K664">
            <v>0</v>
          </cell>
        </row>
        <row r="665">
          <cell r="C665">
            <v>23501530</v>
          </cell>
          <cell r="D665" t="str">
            <v>GA00B201</v>
          </cell>
          <cell r="E665" t="str">
            <v>2150340000213 Hdfc Bank</v>
          </cell>
          <cell r="F665" t="str">
            <v>ABANK</v>
          </cell>
          <cell r="G665">
            <v>0</v>
          </cell>
          <cell r="K665">
            <v>0</v>
          </cell>
        </row>
        <row r="666">
          <cell r="C666">
            <v>23501540</v>
          </cell>
          <cell r="D666" t="str">
            <v>GA00B203</v>
          </cell>
          <cell r="E666" t="str">
            <v>0070340000627 Hdfc Bank</v>
          </cell>
          <cell r="F666" t="str">
            <v>ABANK</v>
          </cell>
          <cell r="G666">
            <v>0</v>
          </cell>
          <cell r="K666">
            <v>0</v>
          </cell>
        </row>
        <row r="667">
          <cell r="C667">
            <v>23501560</v>
          </cell>
          <cell r="D667" t="str">
            <v>GA00B207</v>
          </cell>
          <cell r="E667" t="str">
            <v>027905000230 Icici Bank</v>
          </cell>
          <cell r="F667" t="str">
            <v>ABANK</v>
          </cell>
          <cell r="G667">
            <v>0</v>
          </cell>
          <cell r="K667">
            <v>0</v>
          </cell>
        </row>
        <row r="668">
          <cell r="C668">
            <v>23501630</v>
          </cell>
          <cell r="D668" t="str">
            <v>GA00B271</v>
          </cell>
          <cell r="E668" t="str">
            <v>272010200001243  Uti Bank Ltd</v>
          </cell>
          <cell r="F668" t="str">
            <v>ABANK</v>
          </cell>
          <cell r="G668">
            <v>0</v>
          </cell>
          <cell r="K668">
            <v>0</v>
          </cell>
        </row>
        <row r="669">
          <cell r="C669">
            <v>23501660</v>
          </cell>
          <cell r="D669" t="str">
            <v>GA00B198</v>
          </cell>
          <cell r="E669" t="str">
            <v>1520340000060 Hdfc Bank</v>
          </cell>
          <cell r="F669" t="str">
            <v>ABANK</v>
          </cell>
          <cell r="G669">
            <v>0</v>
          </cell>
          <cell r="K669">
            <v>0</v>
          </cell>
        </row>
        <row r="670">
          <cell r="C670">
            <v>23501670</v>
          </cell>
          <cell r="D670" t="str">
            <v>GA00B199</v>
          </cell>
          <cell r="E670" t="str">
            <v>0200340000857 Hdfc Bank</v>
          </cell>
          <cell r="F670" t="str">
            <v>ABANK</v>
          </cell>
          <cell r="G670">
            <v>0</v>
          </cell>
          <cell r="K670">
            <v>0</v>
          </cell>
        </row>
        <row r="671">
          <cell r="C671">
            <v>23501700</v>
          </cell>
          <cell r="D671" t="str">
            <v>GA00B264</v>
          </cell>
          <cell r="E671" t="str">
            <v xml:space="preserve"> 267010200003377  Uti Bank Ltd</v>
          </cell>
          <cell r="F671" t="str">
            <v>ABANK</v>
          </cell>
          <cell r="G671">
            <v>0</v>
          </cell>
          <cell r="K671">
            <v>0</v>
          </cell>
        </row>
        <row r="672">
          <cell r="C672">
            <v>23501730</v>
          </cell>
          <cell r="D672" t="str">
            <v>GA00B133</v>
          </cell>
          <cell r="E672" t="str">
            <v>1452340000278 Hdfc Bank</v>
          </cell>
          <cell r="F672" t="str">
            <v>ABANK</v>
          </cell>
          <cell r="G672">
            <v>0</v>
          </cell>
          <cell r="K672">
            <v>0</v>
          </cell>
        </row>
        <row r="673">
          <cell r="C673">
            <v>23501760</v>
          </cell>
          <cell r="D673" t="str">
            <v>GA00B137</v>
          </cell>
          <cell r="E673" t="str">
            <v>0060340005600 Hdfc Bank</v>
          </cell>
          <cell r="F673" t="str">
            <v>ABANK</v>
          </cell>
          <cell r="G673">
            <v>0</v>
          </cell>
          <cell r="K673">
            <v>0</v>
          </cell>
        </row>
        <row r="674">
          <cell r="C674">
            <v>23501780</v>
          </cell>
          <cell r="D674" t="str">
            <v>GA00B98</v>
          </cell>
          <cell r="E674" t="str">
            <v>0902340000032 Hdfc Bank</v>
          </cell>
          <cell r="F674" t="str">
            <v>ABANK</v>
          </cell>
          <cell r="G674">
            <v>0</v>
          </cell>
          <cell r="K674">
            <v>0</v>
          </cell>
        </row>
        <row r="675">
          <cell r="C675">
            <v>23501820</v>
          </cell>
          <cell r="D675" t="str">
            <v>GA00B163</v>
          </cell>
          <cell r="E675" t="str">
            <v>Indiabullssecurities Ltd. 1780340000122 Hdfc Bank</v>
          </cell>
          <cell r="F675" t="str">
            <v>ABANK</v>
          </cell>
          <cell r="G675">
            <v>0</v>
          </cell>
          <cell r="K675">
            <v>0</v>
          </cell>
        </row>
        <row r="676">
          <cell r="C676">
            <v>23501830</v>
          </cell>
          <cell r="D676" t="str">
            <v>GA00B143</v>
          </cell>
          <cell r="E676" t="str">
            <v>3810340000049 Hdfc Bank</v>
          </cell>
          <cell r="F676" t="str">
            <v>ABANK</v>
          </cell>
          <cell r="G676">
            <v>0</v>
          </cell>
          <cell r="K676">
            <v>0</v>
          </cell>
        </row>
        <row r="677">
          <cell r="C677">
            <v>23501840</v>
          </cell>
          <cell r="D677" t="str">
            <v>GA00B144</v>
          </cell>
          <cell r="E677" t="str">
            <v>0370340000031 Hdfc Bank</v>
          </cell>
          <cell r="F677" t="str">
            <v>ABANK</v>
          </cell>
          <cell r="G677">
            <v>0</v>
          </cell>
          <cell r="K677">
            <v>0</v>
          </cell>
        </row>
        <row r="678">
          <cell r="C678">
            <v>23501890</v>
          </cell>
          <cell r="D678" t="str">
            <v>GA00B278</v>
          </cell>
          <cell r="E678" t="str">
            <v>1830340000165  Hdfc Bank Ltd</v>
          </cell>
          <cell r="F678" t="str">
            <v>ABANK</v>
          </cell>
          <cell r="G678">
            <v>0</v>
          </cell>
          <cell r="K678">
            <v>0</v>
          </cell>
        </row>
        <row r="679">
          <cell r="C679">
            <v>23501900</v>
          </cell>
          <cell r="D679" t="str">
            <v>GA00B279</v>
          </cell>
          <cell r="E679" t="str">
            <v>1950340000184 Hdfc Bank Ltd</v>
          </cell>
          <cell r="F679" t="str">
            <v>ABANK</v>
          </cell>
          <cell r="G679">
            <v>0</v>
          </cell>
          <cell r="K679">
            <v>0</v>
          </cell>
        </row>
        <row r="680">
          <cell r="C680">
            <v>23501910</v>
          </cell>
          <cell r="D680" t="str">
            <v>GA00B307</v>
          </cell>
          <cell r="E680" t="str">
            <v>4030340000038 Hdfc Bank Ltd.</v>
          </cell>
          <cell r="F680" t="str">
            <v>ABANK</v>
          </cell>
          <cell r="G680">
            <v>0</v>
          </cell>
          <cell r="K680">
            <v>0</v>
          </cell>
        </row>
        <row r="681">
          <cell r="C681">
            <v>23501950</v>
          </cell>
          <cell r="D681" t="str">
            <v>GA00B311</v>
          </cell>
          <cell r="E681" t="str">
            <v>4580340000048 Hdfc Bank Ltd.</v>
          </cell>
          <cell r="F681" t="str">
            <v>ABANK</v>
          </cell>
          <cell r="G681">
            <v>0</v>
          </cell>
          <cell r="K681">
            <v>0</v>
          </cell>
        </row>
        <row r="682">
          <cell r="C682">
            <v>23501960</v>
          </cell>
          <cell r="D682" t="str">
            <v>GA00B312</v>
          </cell>
          <cell r="E682" t="str">
            <v>2830340000048 Hdfc Bank Ltd.</v>
          </cell>
          <cell r="F682" t="str">
            <v>ABANK</v>
          </cell>
          <cell r="G682">
            <v>0</v>
          </cell>
          <cell r="K682">
            <v>0</v>
          </cell>
        </row>
        <row r="683">
          <cell r="C683">
            <v>23501970</v>
          </cell>
          <cell r="D683" t="str">
            <v>GA00B313</v>
          </cell>
          <cell r="E683" t="str">
            <v>2250340000107 Hdfc Bank Ltd.</v>
          </cell>
          <cell r="F683" t="str">
            <v>ABANK</v>
          </cell>
          <cell r="G683">
            <v>0</v>
          </cell>
          <cell r="K683">
            <v>0</v>
          </cell>
        </row>
        <row r="684">
          <cell r="C684">
            <v>23501980</v>
          </cell>
          <cell r="D684" t="str">
            <v>GA00B314</v>
          </cell>
          <cell r="E684" t="str">
            <v>2570340000034  Hdfc Bank Ltd.</v>
          </cell>
          <cell r="F684" t="str">
            <v>ABANK</v>
          </cell>
          <cell r="G684">
            <v>0</v>
          </cell>
          <cell r="K684">
            <v>0</v>
          </cell>
        </row>
        <row r="685">
          <cell r="C685">
            <v>23502000</v>
          </cell>
          <cell r="D685" t="str">
            <v>GA00B258</v>
          </cell>
          <cell r="E685" t="str">
            <v>1640340000086 Hdfc Bank</v>
          </cell>
          <cell r="F685" t="str">
            <v>ABANK</v>
          </cell>
          <cell r="G685">
            <v>0</v>
          </cell>
          <cell r="K685">
            <v>0</v>
          </cell>
        </row>
        <row r="686">
          <cell r="C686">
            <v>23502010</v>
          </cell>
          <cell r="D686" t="str">
            <v>GA00B110</v>
          </cell>
          <cell r="E686" t="str">
            <v>019005000406 Icici Bank Ltd.</v>
          </cell>
          <cell r="F686" t="str">
            <v>ABANK</v>
          </cell>
          <cell r="G686">
            <v>0</v>
          </cell>
          <cell r="K686">
            <v>0</v>
          </cell>
        </row>
        <row r="687">
          <cell r="C687">
            <v>23502090</v>
          </cell>
          <cell r="D687" t="str">
            <v>GA00B118</v>
          </cell>
          <cell r="E687" t="str">
            <v>2150340000110 Hdfc Bank</v>
          </cell>
          <cell r="F687" t="str">
            <v>ABANK</v>
          </cell>
          <cell r="G687">
            <v>0</v>
          </cell>
          <cell r="K687">
            <v>0</v>
          </cell>
        </row>
        <row r="688">
          <cell r="C688">
            <v>23502100</v>
          </cell>
          <cell r="D688" t="str">
            <v>GA00B267</v>
          </cell>
          <cell r="E688" t="str">
            <v>3500340000071  Hdfc Bank Ltd</v>
          </cell>
          <cell r="F688" t="str">
            <v>ABANK</v>
          </cell>
          <cell r="G688">
            <v>0</v>
          </cell>
          <cell r="K688">
            <v>0</v>
          </cell>
        </row>
        <row r="689">
          <cell r="C689">
            <v>23502140</v>
          </cell>
          <cell r="D689" t="str">
            <v>GA00B40</v>
          </cell>
          <cell r="E689" t="str">
            <v>1220340000128 Hdfc Bank</v>
          </cell>
          <cell r="F689" t="str">
            <v>ABANK</v>
          </cell>
          <cell r="G689">
            <v>0</v>
          </cell>
          <cell r="K689">
            <v>0</v>
          </cell>
        </row>
        <row r="690">
          <cell r="C690">
            <v>23502160</v>
          </cell>
          <cell r="D690" t="str">
            <v>GA00B186</v>
          </cell>
          <cell r="E690" t="str">
            <v>3040340000036 Hdfc Bank</v>
          </cell>
          <cell r="F690" t="str">
            <v>ABANK</v>
          </cell>
          <cell r="G690">
            <v>0</v>
          </cell>
          <cell r="K690">
            <v>0</v>
          </cell>
        </row>
        <row r="691">
          <cell r="C691">
            <v>23502170</v>
          </cell>
          <cell r="D691" t="str">
            <v>GA00B187</v>
          </cell>
          <cell r="E691" t="str">
            <v>4532340000015 Hdfc Bank</v>
          </cell>
          <cell r="F691" t="str">
            <v>ABANK</v>
          </cell>
          <cell r="G691">
            <v>0</v>
          </cell>
          <cell r="K691">
            <v>0</v>
          </cell>
        </row>
        <row r="692">
          <cell r="C692">
            <v>23502180</v>
          </cell>
          <cell r="D692" t="str">
            <v>GA00B259</v>
          </cell>
          <cell r="E692" t="str">
            <v>0802340000018 Hdfc Bank Ltd</v>
          </cell>
          <cell r="F692" t="str">
            <v>ABANK</v>
          </cell>
          <cell r="G692">
            <v>0</v>
          </cell>
          <cell r="K692">
            <v>0</v>
          </cell>
        </row>
        <row r="693">
          <cell r="C693">
            <v>23502190</v>
          </cell>
          <cell r="D693" t="str">
            <v>GA00B260</v>
          </cell>
          <cell r="E693" t="str">
            <v>3582340000017  Hdfc Bank Ltd</v>
          </cell>
          <cell r="F693" t="str">
            <v>ABANK</v>
          </cell>
          <cell r="G693">
            <v>0</v>
          </cell>
          <cell r="K693">
            <v>0</v>
          </cell>
        </row>
        <row r="694">
          <cell r="C694">
            <v>23502200</v>
          </cell>
          <cell r="D694" t="str">
            <v>GA00B261</v>
          </cell>
          <cell r="E694" t="str">
            <v>3500340000061 Hdfc Bank Ltd</v>
          </cell>
          <cell r="F694" t="str">
            <v>ABANK</v>
          </cell>
          <cell r="G694">
            <v>0</v>
          </cell>
          <cell r="K694">
            <v>0</v>
          </cell>
        </row>
        <row r="695">
          <cell r="C695">
            <v>23502210</v>
          </cell>
          <cell r="D695" t="str">
            <v>GA00B242</v>
          </cell>
          <cell r="E695" t="str">
            <v>2680340000101 Hdfc Bank Ltd</v>
          </cell>
          <cell r="F695" t="str">
            <v>ABANK</v>
          </cell>
          <cell r="G695">
            <v>0</v>
          </cell>
          <cell r="K695">
            <v>0</v>
          </cell>
        </row>
        <row r="696">
          <cell r="C696">
            <v>23502240</v>
          </cell>
          <cell r="D696" t="str">
            <v>GA00B436</v>
          </cell>
          <cell r="E696" t="str">
            <v>0620340000486 Hdfc Bank Ltd.</v>
          </cell>
          <cell r="F696" t="str">
            <v>ABANK</v>
          </cell>
          <cell r="G696">
            <v>0</v>
          </cell>
          <cell r="K696">
            <v>0</v>
          </cell>
        </row>
        <row r="697">
          <cell r="C697">
            <v>23502280</v>
          </cell>
          <cell r="D697" t="str">
            <v>GA00B486</v>
          </cell>
          <cell r="E697" t="str">
            <v>2692340000022  Hdfc Bank Ltd</v>
          </cell>
          <cell r="F697" t="str">
            <v>ABANK</v>
          </cell>
          <cell r="G697">
            <v>0</v>
          </cell>
          <cell r="K697">
            <v>0</v>
          </cell>
        </row>
        <row r="698">
          <cell r="C698">
            <v>23502290</v>
          </cell>
          <cell r="D698" t="str">
            <v>GA00B487</v>
          </cell>
          <cell r="E698" t="str">
            <v>3482340000037 Hdfc Bank Ltd</v>
          </cell>
          <cell r="F698" t="str">
            <v>ABANK</v>
          </cell>
          <cell r="G698">
            <v>0</v>
          </cell>
          <cell r="K698">
            <v>0</v>
          </cell>
        </row>
        <row r="699">
          <cell r="C699">
            <v>23502310</v>
          </cell>
          <cell r="D699" t="str">
            <v>GA00B489</v>
          </cell>
          <cell r="E699" t="str">
            <v>5002340000017 Hdfc Bank Ltd</v>
          </cell>
          <cell r="F699" t="str">
            <v>ABANK</v>
          </cell>
          <cell r="G699">
            <v>0</v>
          </cell>
          <cell r="K699">
            <v>0</v>
          </cell>
        </row>
        <row r="700">
          <cell r="C700">
            <v>23502320</v>
          </cell>
          <cell r="D700" t="str">
            <v>GA00B490</v>
          </cell>
          <cell r="E700" t="str">
            <v>7160340000020  Hdfc Bank Ltd</v>
          </cell>
          <cell r="F700" t="str">
            <v>ABANK</v>
          </cell>
          <cell r="G700">
            <v>0</v>
          </cell>
          <cell r="K700">
            <v>0</v>
          </cell>
        </row>
        <row r="701">
          <cell r="C701">
            <v>23502330</v>
          </cell>
          <cell r="D701" t="str">
            <v>GA00B491</v>
          </cell>
          <cell r="E701" t="str">
            <v>4442340000019 Hdfc Bank Ltd</v>
          </cell>
          <cell r="F701" t="str">
            <v>ABANK</v>
          </cell>
          <cell r="G701">
            <v>0</v>
          </cell>
          <cell r="K701">
            <v>0</v>
          </cell>
        </row>
        <row r="702">
          <cell r="C702">
            <v>23502340</v>
          </cell>
          <cell r="D702" t="str">
            <v>GA00B493</v>
          </cell>
          <cell r="E702" t="str">
            <v>1230340000163 Hdfc Bank Ltd</v>
          </cell>
          <cell r="F702" t="str">
            <v>ABANK</v>
          </cell>
          <cell r="G702">
            <v>0</v>
          </cell>
          <cell r="K702">
            <v>0</v>
          </cell>
        </row>
        <row r="703">
          <cell r="C703">
            <v>23502350</v>
          </cell>
          <cell r="D703" t="str">
            <v>GA00B494</v>
          </cell>
          <cell r="E703" t="str">
            <v>Erode Hdfc Bank.</v>
          </cell>
          <cell r="F703" t="str">
            <v>ABANK</v>
          </cell>
          <cell r="G703">
            <v>0</v>
          </cell>
          <cell r="K703">
            <v>0</v>
          </cell>
        </row>
        <row r="704">
          <cell r="C704">
            <v>23502360</v>
          </cell>
          <cell r="D704" t="str">
            <v>GA00B495</v>
          </cell>
          <cell r="E704" t="str">
            <v>Pondichery Hdfc Bank.</v>
          </cell>
          <cell r="F704" t="str">
            <v>ABANK</v>
          </cell>
          <cell r="G704">
            <v>0</v>
          </cell>
          <cell r="K704">
            <v>0</v>
          </cell>
        </row>
        <row r="705">
          <cell r="C705">
            <v>23502370</v>
          </cell>
          <cell r="D705" t="str">
            <v>GA00B496</v>
          </cell>
          <cell r="E705" t="str">
            <v>1780340000190 Hdfc Bank Ltd</v>
          </cell>
          <cell r="F705" t="str">
            <v>ABANK</v>
          </cell>
          <cell r="G705">
            <v>0</v>
          </cell>
          <cell r="K705">
            <v>0</v>
          </cell>
        </row>
        <row r="706">
          <cell r="C706">
            <v>23502390</v>
          </cell>
          <cell r="D706" t="str">
            <v>GA00B12</v>
          </cell>
          <cell r="E706" t="str">
            <v>1950340000044 Hdfc Bank</v>
          </cell>
          <cell r="F706" t="str">
            <v>ABANK</v>
          </cell>
          <cell r="G706">
            <v>0</v>
          </cell>
          <cell r="K706">
            <v>0</v>
          </cell>
        </row>
        <row r="707">
          <cell r="C707">
            <v>23502450</v>
          </cell>
          <cell r="D707" t="str">
            <v>GA00B354</v>
          </cell>
          <cell r="E707" t="str">
            <v>3572340000016  Hdfc Bank Ltd</v>
          </cell>
          <cell r="F707" t="str">
            <v>ABANK</v>
          </cell>
          <cell r="G707">
            <v>0</v>
          </cell>
          <cell r="K707">
            <v>0</v>
          </cell>
        </row>
        <row r="708">
          <cell r="C708">
            <v>23502470</v>
          </cell>
          <cell r="D708" t="str">
            <v>GA00B356</v>
          </cell>
          <cell r="E708" t="str">
            <v>1700340000035 Hdfc Bank Ltd</v>
          </cell>
          <cell r="F708" t="str">
            <v>ABANK</v>
          </cell>
          <cell r="G708">
            <v>0</v>
          </cell>
          <cell r="K708">
            <v>0</v>
          </cell>
        </row>
        <row r="709">
          <cell r="C709">
            <v>23502530</v>
          </cell>
          <cell r="D709" t="str">
            <v>GA00B364</v>
          </cell>
          <cell r="E709" t="str">
            <v>2812340000015  Hdfc Bank Ltd</v>
          </cell>
          <cell r="F709" t="str">
            <v>ABANK</v>
          </cell>
          <cell r="G709">
            <v>0</v>
          </cell>
          <cell r="K709">
            <v>0</v>
          </cell>
        </row>
        <row r="710">
          <cell r="C710">
            <v>23502540</v>
          </cell>
          <cell r="D710" t="str">
            <v>GA00B365</v>
          </cell>
          <cell r="E710" t="str">
            <v>1752340000039 HDFC BANK LTD</v>
          </cell>
          <cell r="F710" t="str">
            <v>ABANK</v>
          </cell>
          <cell r="G710">
            <v>0</v>
          </cell>
          <cell r="K710">
            <v>0</v>
          </cell>
        </row>
        <row r="711">
          <cell r="C711">
            <v>23502550</v>
          </cell>
          <cell r="D711" t="str">
            <v>GA00B366</v>
          </cell>
          <cell r="E711" t="str">
            <v>Jaipur Triveni Nagar Hdfc Bank Ltd</v>
          </cell>
          <cell r="F711" t="str">
            <v>ABANK</v>
          </cell>
          <cell r="G711">
            <v>0</v>
          </cell>
          <cell r="K711">
            <v>0</v>
          </cell>
        </row>
        <row r="712">
          <cell r="C712">
            <v>23502560</v>
          </cell>
          <cell r="D712" t="str">
            <v>GA00B367</v>
          </cell>
          <cell r="E712" t="str">
            <v xml:space="preserve"> 1430340000010  Hdfc Bank Ltd</v>
          </cell>
          <cell r="F712" t="str">
            <v>ABANK</v>
          </cell>
          <cell r="G712">
            <v>0</v>
          </cell>
          <cell r="K712">
            <v>0</v>
          </cell>
        </row>
        <row r="713">
          <cell r="C713">
            <v>23502570</v>
          </cell>
          <cell r="D713" t="str">
            <v>GA00B155</v>
          </cell>
          <cell r="E713" t="str">
            <v>1822340000067 Hdfc Bank</v>
          </cell>
          <cell r="F713" t="str">
            <v>ABANK</v>
          </cell>
          <cell r="G713">
            <v>0</v>
          </cell>
          <cell r="K713">
            <v>0</v>
          </cell>
        </row>
        <row r="714">
          <cell r="C714">
            <v>23502630</v>
          </cell>
          <cell r="D714" t="str">
            <v>GA00B481</v>
          </cell>
          <cell r="E714" t="str">
            <v>2220340000086 Hdfc Bank Ltd.</v>
          </cell>
          <cell r="F714" t="str">
            <v>ABANK</v>
          </cell>
          <cell r="G714">
            <v>0</v>
          </cell>
          <cell r="K714">
            <v>0</v>
          </cell>
        </row>
        <row r="715">
          <cell r="C715">
            <v>23502680</v>
          </cell>
          <cell r="D715" t="str">
            <v>GA00B336</v>
          </cell>
          <cell r="E715" t="str">
            <v>2050340000120  Hdfc Bank Ltd.</v>
          </cell>
          <cell r="F715" t="str">
            <v>ABANK</v>
          </cell>
          <cell r="G715">
            <v>0</v>
          </cell>
          <cell r="K715">
            <v>0</v>
          </cell>
        </row>
        <row r="716">
          <cell r="C716">
            <v>23502690</v>
          </cell>
          <cell r="D716" t="str">
            <v>GA00B338</v>
          </cell>
          <cell r="E716" t="str">
            <v>1020340000306  Hdfc Bank Ltd.</v>
          </cell>
          <cell r="F716" t="str">
            <v>ABANK</v>
          </cell>
          <cell r="G716">
            <v>0</v>
          </cell>
          <cell r="K716">
            <v>0</v>
          </cell>
        </row>
        <row r="717">
          <cell r="C717">
            <v>23502700</v>
          </cell>
          <cell r="D717" t="str">
            <v>GA00B357</v>
          </cell>
          <cell r="E717" t="str">
            <v>5922340000015 Hdfc Bank Ltd</v>
          </cell>
          <cell r="F717" t="str">
            <v>ABANK</v>
          </cell>
          <cell r="G717">
            <v>0</v>
          </cell>
          <cell r="K717">
            <v>0</v>
          </cell>
        </row>
        <row r="718">
          <cell r="C718">
            <v>23502710</v>
          </cell>
          <cell r="D718" t="str">
            <v>GA00B358</v>
          </cell>
          <cell r="E718" t="str">
            <v>4142340000015 Hdfc Bank Ltd</v>
          </cell>
          <cell r="F718" t="str">
            <v>ABANK</v>
          </cell>
          <cell r="G718">
            <v>0</v>
          </cell>
          <cell r="K718">
            <v>0</v>
          </cell>
        </row>
        <row r="719">
          <cell r="C719">
            <v>23502720</v>
          </cell>
          <cell r="D719" t="str">
            <v>GA00B359</v>
          </cell>
          <cell r="E719" t="str">
            <v>0542340000333 Hdfc Bank Ltd</v>
          </cell>
          <cell r="F719" t="str">
            <v>ABANK</v>
          </cell>
          <cell r="G719">
            <v>0</v>
          </cell>
          <cell r="K719">
            <v>0</v>
          </cell>
        </row>
        <row r="720">
          <cell r="C720">
            <v>23502760</v>
          </cell>
          <cell r="D720" t="str">
            <v>GA00B194</v>
          </cell>
          <cell r="E720" t="str">
            <v>3192340000044 Hdfc Bank</v>
          </cell>
          <cell r="F720" t="str">
            <v>ABANK</v>
          </cell>
          <cell r="G720">
            <v>0</v>
          </cell>
          <cell r="K720">
            <v>0</v>
          </cell>
        </row>
        <row r="721">
          <cell r="C721">
            <v>23502940</v>
          </cell>
          <cell r="D721" t="str">
            <v>GA00B326</v>
          </cell>
          <cell r="E721" t="str">
            <v>4580340000058  Hdfc Bank Ltd</v>
          </cell>
          <cell r="F721" t="str">
            <v>ABANK</v>
          </cell>
          <cell r="G721">
            <v>0</v>
          </cell>
          <cell r="K721">
            <v>0</v>
          </cell>
        </row>
        <row r="722">
          <cell r="C722">
            <v>23502970</v>
          </cell>
          <cell r="D722" t="str">
            <v>GA00B329</v>
          </cell>
          <cell r="E722" t="str">
            <v>4730340000054 Hdfc Bank Ltd.</v>
          </cell>
          <cell r="F722" t="str">
            <v>ABANK</v>
          </cell>
          <cell r="G722">
            <v>0</v>
          </cell>
          <cell r="K722">
            <v>0</v>
          </cell>
        </row>
        <row r="723">
          <cell r="C723">
            <v>23502990</v>
          </cell>
          <cell r="D723" t="str">
            <v>GA00B331</v>
          </cell>
          <cell r="E723" t="str">
            <v>0522340000029  Hdfc Bank Ltd.</v>
          </cell>
          <cell r="F723" t="str">
            <v>ABANK</v>
          </cell>
          <cell r="G723">
            <v>0</v>
          </cell>
          <cell r="K723">
            <v>0</v>
          </cell>
        </row>
        <row r="724">
          <cell r="C724">
            <v>23503010</v>
          </cell>
          <cell r="E724" t="str">
            <v>129010200013989 Uti Bank Ltd.</v>
          </cell>
          <cell r="F724" t="str">
            <v>ABANK</v>
          </cell>
          <cell r="G724">
            <v>0</v>
          </cell>
          <cell r="K724">
            <v>0</v>
          </cell>
        </row>
        <row r="725">
          <cell r="C725">
            <v>23503020</v>
          </cell>
          <cell r="D725" t="str">
            <v>GA00B334</v>
          </cell>
          <cell r="E725" t="str">
            <v>182010200004329 Uti Bank Ltd</v>
          </cell>
          <cell r="F725" t="str">
            <v>ABANK</v>
          </cell>
          <cell r="G725">
            <v>0</v>
          </cell>
          <cell r="K725">
            <v>0</v>
          </cell>
        </row>
        <row r="726">
          <cell r="C726">
            <v>23503030</v>
          </cell>
          <cell r="D726" t="str">
            <v>GA00B244</v>
          </cell>
          <cell r="E726" t="str">
            <v>1870340000145 Hdfc Bank Ltd.</v>
          </cell>
          <cell r="F726" t="str">
            <v>ABANK</v>
          </cell>
          <cell r="G726">
            <v>0</v>
          </cell>
          <cell r="K726">
            <v>0</v>
          </cell>
        </row>
        <row r="727">
          <cell r="C727">
            <v>23503060</v>
          </cell>
          <cell r="D727" t="str">
            <v>GA00B247</v>
          </cell>
          <cell r="E727" t="str">
            <v>1732340000010  Hdfc Bank Ltd</v>
          </cell>
          <cell r="F727" t="str">
            <v>ABANK</v>
          </cell>
          <cell r="G727">
            <v>0</v>
          </cell>
          <cell r="K727">
            <v>0</v>
          </cell>
        </row>
        <row r="728">
          <cell r="C728">
            <v>23503080</v>
          </cell>
          <cell r="D728" t="str">
            <v>GA00B217</v>
          </cell>
          <cell r="E728" t="str">
            <v>ISL Salary A/c no 0030340020802</v>
          </cell>
          <cell r="F728" t="str">
            <v>ABANK</v>
          </cell>
          <cell r="G728">
            <v>0</v>
          </cell>
          <cell r="K728">
            <v>0</v>
          </cell>
        </row>
        <row r="729">
          <cell r="C729">
            <v>23503090</v>
          </cell>
          <cell r="D729" t="str">
            <v>GA00B337</v>
          </cell>
          <cell r="E729" t="str">
            <v>3372340000012  Hdfc Bank Ltd.</v>
          </cell>
          <cell r="F729" t="str">
            <v>ABANK</v>
          </cell>
          <cell r="G729">
            <v>0</v>
          </cell>
          <cell r="K729">
            <v>0</v>
          </cell>
        </row>
        <row r="730">
          <cell r="C730">
            <v>23503100</v>
          </cell>
          <cell r="D730" t="str">
            <v>GA00B523</v>
          </cell>
          <cell r="E730" t="str">
            <v>0152340000110 Hdfc Bank Ltd.</v>
          </cell>
          <cell r="F730" t="str">
            <v>ABANK</v>
          </cell>
          <cell r="G730">
            <v>0</v>
          </cell>
          <cell r="K730">
            <v>0</v>
          </cell>
        </row>
        <row r="731">
          <cell r="C731">
            <v>23503110</v>
          </cell>
          <cell r="D731" t="str">
            <v>GA00B524</v>
          </cell>
          <cell r="E731" t="str">
            <v>3592340000028 Hdfc Bank Ltd.</v>
          </cell>
          <cell r="F731" t="str">
            <v>ABANK</v>
          </cell>
          <cell r="G731">
            <v>0</v>
          </cell>
          <cell r="K731">
            <v>0</v>
          </cell>
        </row>
        <row r="732">
          <cell r="C732">
            <v>23503120</v>
          </cell>
          <cell r="D732" t="str">
            <v>GA00B83</v>
          </cell>
          <cell r="E732" t="str">
            <v>1310340000028 Hdfc Bank</v>
          </cell>
          <cell r="F732" t="str">
            <v>ABANK</v>
          </cell>
          <cell r="G732">
            <v>0</v>
          </cell>
          <cell r="K732">
            <v>0</v>
          </cell>
        </row>
        <row r="733">
          <cell r="C733">
            <v>23503140</v>
          </cell>
          <cell r="D733" t="str">
            <v>GA00B86</v>
          </cell>
          <cell r="E733" t="str">
            <v>2200340000016 Hdfc Bank</v>
          </cell>
          <cell r="F733" t="str">
            <v>ABANK</v>
          </cell>
          <cell r="G733">
            <v>0</v>
          </cell>
          <cell r="K733">
            <v>0</v>
          </cell>
        </row>
        <row r="734">
          <cell r="C734">
            <v>23503200</v>
          </cell>
          <cell r="D734" t="str">
            <v>GA00B319</v>
          </cell>
          <cell r="E734" t="str">
            <v>4730340000047  Hdfc Bank Ltd.</v>
          </cell>
          <cell r="F734" t="str">
            <v>ABANK</v>
          </cell>
          <cell r="G734">
            <v>0</v>
          </cell>
          <cell r="K734">
            <v>0</v>
          </cell>
        </row>
        <row r="735">
          <cell r="C735">
            <v>23503230</v>
          </cell>
          <cell r="D735" t="str">
            <v>GA00B322</v>
          </cell>
          <cell r="E735" t="str">
            <v>2382340000010 Hdfc Bank Ltd.</v>
          </cell>
          <cell r="F735" t="str">
            <v>ABANK</v>
          </cell>
          <cell r="G735">
            <v>0</v>
          </cell>
          <cell r="K735">
            <v>0</v>
          </cell>
        </row>
        <row r="736">
          <cell r="C736">
            <v>23503250</v>
          </cell>
          <cell r="D736" t="str">
            <v>GA00B324</v>
          </cell>
          <cell r="E736" t="str">
            <v>5250340000064  Hdfc Bank Ltd.</v>
          </cell>
          <cell r="F736" t="str">
            <v>ABANK</v>
          </cell>
          <cell r="G736">
            <v>0</v>
          </cell>
          <cell r="K736">
            <v>0</v>
          </cell>
        </row>
        <row r="737">
          <cell r="C737">
            <v>23503260</v>
          </cell>
          <cell r="D737" t="str">
            <v>GA00B325</v>
          </cell>
          <cell r="E737" t="str">
            <v>3260340000069 Hdfc Bank Ltd</v>
          </cell>
          <cell r="F737" t="str">
            <v>ABANK</v>
          </cell>
          <cell r="G737">
            <v>0</v>
          </cell>
          <cell r="K737">
            <v>0</v>
          </cell>
        </row>
        <row r="738">
          <cell r="C738">
            <v>23503270</v>
          </cell>
          <cell r="D738" t="str">
            <v>GA00B368</v>
          </cell>
          <cell r="E738" t="str">
            <v>0720340000027  Hdfc Bank Ltd</v>
          </cell>
          <cell r="F738" t="str">
            <v>ABANK</v>
          </cell>
          <cell r="G738">
            <v>0</v>
          </cell>
          <cell r="K738">
            <v>0</v>
          </cell>
        </row>
        <row r="739">
          <cell r="C739">
            <v>23503280</v>
          </cell>
          <cell r="E739" t="str">
            <v>Chikmagalur Hdfc Bank Ltd</v>
          </cell>
          <cell r="F739" t="str">
            <v>ABANK</v>
          </cell>
          <cell r="G739">
            <v>0</v>
          </cell>
          <cell r="K739">
            <v>0</v>
          </cell>
        </row>
        <row r="740">
          <cell r="C740">
            <v>23503300</v>
          </cell>
          <cell r="D740" t="str">
            <v>GA00B371</v>
          </cell>
          <cell r="E740" t="str">
            <v>Andheri(E) Mahakali Hdfc Bank Ltd</v>
          </cell>
          <cell r="F740" t="str">
            <v>ABANK</v>
          </cell>
          <cell r="G740">
            <v>0</v>
          </cell>
          <cell r="K740">
            <v>0</v>
          </cell>
        </row>
        <row r="741">
          <cell r="C741">
            <v>23503310</v>
          </cell>
          <cell r="D741" t="str">
            <v>GA00B372</v>
          </cell>
          <cell r="E741" t="str">
            <v>3040340000060 Hdfc Bank Ltd</v>
          </cell>
          <cell r="F741" t="str">
            <v>ABANK</v>
          </cell>
          <cell r="G741">
            <v>0</v>
          </cell>
          <cell r="K741">
            <v>0</v>
          </cell>
        </row>
        <row r="742">
          <cell r="C742">
            <v>23503320</v>
          </cell>
          <cell r="D742" t="str">
            <v>GA00B373</v>
          </cell>
          <cell r="E742" t="str">
            <v>0492340000073  Hdfc Bank Ltd</v>
          </cell>
          <cell r="F742" t="str">
            <v>ABANK</v>
          </cell>
          <cell r="G742">
            <v>0</v>
          </cell>
          <cell r="K742">
            <v>0</v>
          </cell>
        </row>
        <row r="743">
          <cell r="C743">
            <v>23503340</v>
          </cell>
          <cell r="D743" t="str">
            <v>GA00B375</v>
          </cell>
          <cell r="E743" t="str">
            <v>4062340000013 Hdfc Bank Ltd</v>
          </cell>
          <cell r="F743" t="str">
            <v>ABANK</v>
          </cell>
          <cell r="G743">
            <v>0</v>
          </cell>
          <cell r="K743">
            <v>0</v>
          </cell>
        </row>
        <row r="744">
          <cell r="C744">
            <v>23503370</v>
          </cell>
          <cell r="D744" t="str">
            <v>GA00B510</v>
          </cell>
          <cell r="E744" t="str">
            <v>Client A/C Hdfc Bank</v>
          </cell>
          <cell r="F744" t="str">
            <v>ABANK</v>
          </cell>
          <cell r="G744">
            <v>0</v>
          </cell>
          <cell r="K744">
            <v>0</v>
          </cell>
        </row>
        <row r="745">
          <cell r="C745">
            <v>23503380</v>
          </cell>
          <cell r="D745" t="str">
            <v>GA00B219</v>
          </cell>
          <cell r="E745" t="str">
            <v>ISL Rent A/c no 0030340020794</v>
          </cell>
          <cell r="F745" t="str">
            <v>ABANK</v>
          </cell>
          <cell r="G745">
            <v>0</v>
          </cell>
          <cell r="K745">
            <v>0</v>
          </cell>
        </row>
        <row r="746">
          <cell r="C746">
            <v>23503390</v>
          </cell>
          <cell r="D746" t="str">
            <v>GA00B220</v>
          </cell>
          <cell r="E746" t="str">
            <v>ISL Telephone A/c no 0030340020733</v>
          </cell>
          <cell r="F746" t="str">
            <v>ABANK</v>
          </cell>
          <cell r="G746">
            <v>0</v>
          </cell>
          <cell r="K746">
            <v>0</v>
          </cell>
        </row>
        <row r="747">
          <cell r="C747">
            <v>23503400</v>
          </cell>
          <cell r="D747" t="str">
            <v>GA00B221</v>
          </cell>
          <cell r="E747" t="str">
            <v>ISL Electricity A/c no 0030340020846</v>
          </cell>
          <cell r="F747" t="str">
            <v>ABANK</v>
          </cell>
          <cell r="G747">
            <v>0</v>
          </cell>
          <cell r="K747">
            <v>0</v>
          </cell>
        </row>
        <row r="748">
          <cell r="C748">
            <v>23503420</v>
          </cell>
          <cell r="D748" t="str">
            <v>GA00B223</v>
          </cell>
          <cell r="E748" t="str">
            <v>ISL Stamp Duty A/c no 0030340020767</v>
          </cell>
          <cell r="F748" t="str">
            <v>ABANK</v>
          </cell>
          <cell r="G748">
            <v>0</v>
          </cell>
          <cell r="K748">
            <v>0</v>
          </cell>
        </row>
        <row r="749">
          <cell r="C749">
            <v>23503430</v>
          </cell>
          <cell r="D749" t="str">
            <v>GA00B224</v>
          </cell>
          <cell r="E749" t="str">
            <v>ISL Transaction Charges A/c no 0030340020723</v>
          </cell>
          <cell r="F749" t="str">
            <v>ABANK</v>
          </cell>
          <cell r="G749">
            <v>0</v>
          </cell>
          <cell r="K749">
            <v>0</v>
          </cell>
        </row>
        <row r="750">
          <cell r="C750">
            <v>23503450</v>
          </cell>
          <cell r="D750" t="str">
            <v>GA00B226</v>
          </cell>
          <cell r="E750" t="str">
            <v>ISL Advertisement A/c no 0030340020716</v>
          </cell>
          <cell r="F750" t="str">
            <v>ABANK</v>
          </cell>
          <cell r="G750">
            <v>0</v>
          </cell>
          <cell r="K750">
            <v>0</v>
          </cell>
        </row>
        <row r="751">
          <cell r="C751">
            <v>23503460</v>
          </cell>
          <cell r="D751" t="str">
            <v>GA00B227</v>
          </cell>
          <cell r="E751" t="str">
            <v>ISL Repair &amp; Maintenance A/c 0030340020836</v>
          </cell>
          <cell r="F751" t="str">
            <v>ABANK</v>
          </cell>
          <cell r="G751">
            <v>0</v>
          </cell>
          <cell r="K751">
            <v>0</v>
          </cell>
        </row>
        <row r="752">
          <cell r="C752">
            <v>23503470</v>
          </cell>
          <cell r="D752" t="str">
            <v>GA00B228</v>
          </cell>
          <cell r="E752" t="str">
            <v>ISL Commisson A/c no 0030340020853</v>
          </cell>
          <cell r="F752" t="str">
            <v>ABANK</v>
          </cell>
          <cell r="G752">
            <v>0</v>
          </cell>
          <cell r="K752">
            <v>0</v>
          </cell>
        </row>
        <row r="753">
          <cell r="C753">
            <v>23503480</v>
          </cell>
          <cell r="D753" t="str">
            <v>GA00B229</v>
          </cell>
          <cell r="E753" t="str">
            <v>ISL Vsat Charges A/c no 0030340020750</v>
          </cell>
          <cell r="F753" t="str">
            <v>ABANK</v>
          </cell>
          <cell r="G753">
            <v>0</v>
          </cell>
          <cell r="K753">
            <v>0</v>
          </cell>
        </row>
        <row r="754">
          <cell r="C754">
            <v>23503490</v>
          </cell>
          <cell r="D754" t="str">
            <v>GA00B230</v>
          </cell>
          <cell r="E754" t="str">
            <v>ISL NSDL Charges A/c no 0030340020829</v>
          </cell>
          <cell r="F754" t="str">
            <v>ABANK</v>
          </cell>
          <cell r="G754">
            <v>0</v>
          </cell>
          <cell r="K754">
            <v>0</v>
          </cell>
        </row>
        <row r="755">
          <cell r="C755">
            <v>23503500</v>
          </cell>
          <cell r="D755" t="str">
            <v>GA00B231</v>
          </cell>
          <cell r="E755" t="str">
            <v>ISL Lease Line Charges A/c no 0030340020819</v>
          </cell>
          <cell r="F755" t="str">
            <v>ABANK</v>
          </cell>
          <cell r="G755">
            <v>0</v>
          </cell>
          <cell r="K755">
            <v>0</v>
          </cell>
        </row>
        <row r="756">
          <cell r="C756">
            <v>23503510</v>
          </cell>
          <cell r="D756" t="str">
            <v>GA00B425</v>
          </cell>
          <cell r="E756" t="str">
            <v>5032340000098 Hdfc Bank Ltd.</v>
          </cell>
          <cell r="F756" t="str">
            <v>ABANK</v>
          </cell>
          <cell r="G756">
            <v>0</v>
          </cell>
          <cell r="K756">
            <v>0</v>
          </cell>
        </row>
        <row r="757">
          <cell r="C757">
            <v>23503520</v>
          </cell>
          <cell r="D757" t="str">
            <v>GA00B426</v>
          </cell>
          <cell r="E757" t="str">
            <v>3192340000061 Hdfc Bank Ltd.</v>
          </cell>
          <cell r="F757" t="str">
            <v>ABANK</v>
          </cell>
          <cell r="G757">
            <v>0</v>
          </cell>
          <cell r="K757">
            <v>0</v>
          </cell>
        </row>
        <row r="758">
          <cell r="C758">
            <v>23503540</v>
          </cell>
          <cell r="D758" t="str">
            <v>GA00B428</v>
          </cell>
          <cell r="E758" t="str">
            <v>023905000960 Icici Bank Ltd</v>
          </cell>
          <cell r="F758" t="str">
            <v>ABANK</v>
          </cell>
          <cell r="G758">
            <v>0</v>
          </cell>
          <cell r="K758">
            <v>0</v>
          </cell>
        </row>
        <row r="759">
          <cell r="C759">
            <v>23503550</v>
          </cell>
          <cell r="D759" t="str">
            <v>GA00B437</v>
          </cell>
          <cell r="E759" t="str">
            <v>5412340000016  Hdfc Bank Ltd.</v>
          </cell>
          <cell r="F759" t="str">
            <v>ABANK</v>
          </cell>
          <cell r="G759">
            <v>0</v>
          </cell>
          <cell r="K759">
            <v>0</v>
          </cell>
        </row>
        <row r="760">
          <cell r="C760">
            <v>23503560</v>
          </cell>
          <cell r="D760" t="str">
            <v>GA00B438</v>
          </cell>
          <cell r="E760" t="str">
            <v>2240340000106 Hdfc Bank Ltd.</v>
          </cell>
          <cell r="F760" t="str">
            <v>ABANK</v>
          </cell>
          <cell r="G760">
            <v>0</v>
          </cell>
          <cell r="K760">
            <v>0</v>
          </cell>
        </row>
        <row r="761">
          <cell r="C761">
            <v>23503570</v>
          </cell>
          <cell r="D761" t="str">
            <v>GA00B439</v>
          </cell>
          <cell r="E761" t="str">
            <v>3302340000012 Hdfc Bank Ltd.</v>
          </cell>
          <cell r="F761" t="str">
            <v>ABANK</v>
          </cell>
          <cell r="G761">
            <v>0</v>
          </cell>
          <cell r="K761">
            <v>0</v>
          </cell>
        </row>
        <row r="762">
          <cell r="C762">
            <v>23503580</v>
          </cell>
          <cell r="D762" t="str">
            <v>GA00B257</v>
          </cell>
          <cell r="E762" t="str">
            <v>2840340000135  Hdfc Bank Ltd.(CLOSED)</v>
          </cell>
          <cell r="F762" t="str">
            <v>ABANK</v>
          </cell>
          <cell r="G762">
            <v>0</v>
          </cell>
          <cell r="K762">
            <v>0</v>
          </cell>
        </row>
        <row r="763">
          <cell r="C763">
            <v>23503590</v>
          </cell>
          <cell r="D763" t="str">
            <v>GA00B301</v>
          </cell>
          <cell r="E763" t="str">
            <v>2210340000164 Hdfc Bank Ltd.</v>
          </cell>
          <cell r="F763" t="str">
            <v>ABANK</v>
          </cell>
          <cell r="G763">
            <v>0</v>
          </cell>
          <cell r="K763">
            <v>0</v>
          </cell>
        </row>
        <row r="764">
          <cell r="C764">
            <v>23503610</v>
          </cell>
          <cell r="D764" t="str">
            <v>GA00B502</v>
          </cell>
          <cell r="E764" t="str">
            <v>3220340000011 Hdfc Bank Ltd.</v>
          </cell>
          <cell r="F764" t="str">
            <v>ABANK</v>
          </cell>
          <cell r="G764">
            <v>0</v>
          </cell>
          <cell r="K764">
            <v>0</v>
          </cell>
        </row>
        <row r="765">
          <cell r="C765">
            <v>23503620</v>
          </cell>
          <cell r="D765" t="str">
            <v>GA00B503</v>
          </cell>
          <cell r="E765" t="str">
            <v>3460340000012 Hdfc Bank Ltd.</v>
          </cell>
          <cell r="F765" t="str">
            <v>ABANK</v>
          </cell>
          <cell r="G765">
            <v>0</v>
          </cell>
          <cell r="K765">
            <v>0</v>
          </cell>
        </row>
        <row r="766">
          <cell r="C766">
            <v>23503630</v>
          </cell>
          <cell r="D766" t="str">
            <v>GA00B504</v>
          </cell>
          <cell r="E766" t="str">
            <v>4090340000071  Hdfc Bank Ltd.</v>
          </cell>
          <cell r="F766" t="str">
            <v>ABANK</v>
          </cell>
          <cell r="G766">
            <v>0</v>
          </cell>
          <cell r="K766">
            <v>0</v>
          </cell>
        </row>
        <row r="767">
          <cell r="C767">
            <v>23503640</v>
          </cell>
          <cell r="D767" t="str">
            <v>GA00B505</v>
          </cell>
          <cell r="E767" t="str">
            <v>0512340000018  Hdfc Bank Ltd.</v>
          </cell>
          <cell r="F767" t="str">
            <v>ABANK</v>
          </cell>
          <cell r="G767">
            <v>0</v>
          </cell>
          <cell r="K767">
            <v>0</v>
          </cell>
        </row>
        <row r="768">
          <cell r="C768">
            <v>23503650</v>
          </cell>
          <cell r="D768" t="str">
            <v>GA00B508</v>
          </cell>
          <cell r="E768" t="str">
            <v>2210340000171 Hdfc  Bank Ltd</v>
          </cell>
          <cell r="F768" t="str">
            <v>ABANK</v>
          </cell>
          <cell r="G768">
            <v>0</v>
          </cell>
          <cell r="K768">
            <v>0</v>
          </cell>
        </row>
        <row r="769">
          <cell r="C769">
            <v>23503660</v>
          </cell>
          <cell r="D769" t="str">
            <v>GA00B514</v>
          </cell>
          <cell r="E769" t="str">
            <v>1810340000077 Hdfc Bank Ltd</v>
          </cell>
          <cell r="F769" t="str">
            <v>ABANK</v>
          </cell>
          <cell r="G769">
            <v>0</v>
          </cell>
          <cell r="K769">
            <v>0</v>
          </cell>
        </row>
        <row r="770">
          <cell r="C770">
            <v>23503670</v>
          </cell>
          <cell r="D770" t="str">
            <v>GA00B515</v>
          </cell>
          <cell r="E770" t="str">
            <v>2760340000010  Hdfc Bank Ltd</v>
          </cell>
          <cell r="F770" t="str">
            <v>ABANK</v>
          </cell>
          <cell r="G770">
            <v>0</v>
          </cell>
          <cell r="K770">
            <v>0</v>
          </cell>
        </row>
        <row r="771">
          <cell r="C771">
            <v>23503700</v>
          </cell>
          <cell r="D771" t="str">
            <v>GA00B151</v>
          </cell>
          <cell r="E771" t="str">
            <v>3750340000012 Hdfc Bank</v>
          </cell>
          <cell r="F771" t="str">
            <v>ABANK</v>
          </cell>
          <cell r="G771">
            <v>0</v>
          </cell>
          <cell r="K771">
            <v>0</v>
          </cell>
        </row>
        <row r="772">
          <cell r="C772">
            <v>23503710</v>
          </cell>
          <cell r="D772" t="str">
            <v>GA00B152</v>
          </cell>
          <cell r="E772" t="str">
            <v>1890340000206 Hdfc Bank</v>
          </cell>
          <cell r="F772" t="str">
            <v>ABANK</v>
          </cell>
          <cell r="G772">
            <v>0</v>
          </cell>
          <cell r="K772">
            <v>0</v>
          </cell>
        </row>
        <row r="773">
          <cell r="C773">
            <v>23503730</v>
          </cell>
          <cell r="D773" t="str">
            <v>GA00B283</v>
          </cell>
          <cell r="E773" t="str">
            <v xml:space="preserve"> 2492340000035 Hdfc Bank Ltd</v>
          </cell>
          <cell r="F773" t="str">
            <v>ABANK</v>
          </cell>
          <cell r="G773">
            <v>0</v>
          </cell>
          <cell r="K773">
            <v>0</v>
          </cell>
        </row>
        <row r="774">
          <cell r="C774">
            <v>23503740</v>
          </cell>
          <cell r="D774" t="str">
            <v>GA00B284</v>
          </cell>
          <cell r="E774" t="str">
            <v>0132340000090  Hdfc Bank Ltd</v>
          </cell>
          <cell r="F774" t="str">
            <v>ABANK</v>
          </cell>
          <cell r="G774">
            <v>0</v>
          </cell>
          <cell r="K774">
            <v>0</v>
          </cell>
        </row>
        <row r="775">
          <cell r="C775">
            <v>23503760</v>
          </cell>
          <cell r="D775" t="str">
            <v>GA00B286</v>
          </cell>
          <cell r="E775" t="str">
            <v>0640340000317 Hdfc Bank Ltd</v>
          </cell>
          <cell r="F775" t="str">
            <v>ABANK</v>
          </cell>
          <cell r="G775">
            <v>0</v>
          </cell>
          <cell r="K775">
            <v>0</v>
          </cell>
        </row>
        <row r="776">
          <cell r="C776">
            <v>23503770</v>
          </cell>
          <cell r="D776" t="str">
            <v>GA00B287</v>
          </cell>
          <cell r="E776" t="str">
            <v>0382340000048 Hdfc Bank Ltd</v>
          </cell>
          <cell r="F776" t="str">
            <v>ABANK</v>
          </cell>
          <cell r="G776">
            <v>0</v>
          </cell>
          <cell r="K776">
            <v>0</v>
          </cell>
        </row>
        <row r="777">
          <cell r="C777">
            <v>23503780</v>
          </cell>
          <cell r="D777" t="str">
            <v>GA00B288</v>
          </cell>
          <cell r="E777" t="str">
            <v xml:space="preserve"> 0570340000096 Hdfc Bank Ltd</v>
          </cell>
          <cell r="F777" t="str">
            <v>ABANK</v>
          </cell>
          <cell r="G777">
            <v>0</v>
          </cell>
          <cell r="K777">
            <v>0</v>
          </cell>
        </row>
        <row r="778">
          <cell r="C778">
            <v>23503830</v>
          </cell>
          <cell r="D778" t="str">
            <v>GA00B266</v>
          </cell>
          <cell r="E778" t="str">
            <v>Yes Bank A/C No 281300000104</v>
          </cell>
          <cell r="F778" t="str">
            <v>ABANK</v>
          </cell>
          <cell r="G778">
            <v>0</v>
          </cell>
          <cell r="K778">
            <v>0</v>
          </cell>
        </row>
        <row r="779">
          <cell r="C779">
            <v>23503840</v>
          </cell>
          <cell r="D779" t="str">
            <v>GA00B306</v>
          </cell>
          <cell r="E779" t="str">
            <v>3020340000051 Hdfc Bank Ltd.</v>
          </cell>
          <cell r="F779" t="str">
            <v>ABANK</v>
          </cell>
          <cell r="G779">
            <v>0</v>
          </cell>
          <cell r="K779">
            <v>0</v>
          </cell>
        </row>
        <row r="780">
          <cell r="C780">
            <v>23503850</v>
          </cell>
          <cell r="D780" t="str">
            <v>GA00B275</v>
          </cell>
          <cell r="E780" t="str">
            <v>1870340000152  Hdfc Bank Ltd</v>
          </cell>
          <cell r="F780" t="str">
            <v>ABANK</v>
          </cell>
          <cell r="G780">
            <v>0</v>
          </cell>
          <cell r="K780">
            <v>0</v>
          </cell>
        </row>
        <row r="781">
          <cell r="C781">
            <v>23503890</v>
          </cell>
          <cell r="D781" t="str">
            <v>GA00B341</v>
          </cell>
          <cell r="E781" t="str">
            <v>5400340000026 Hdfc Bank Ltd.</v>
          </cell>
          <cell r="F781" t="str">
            <v>ABANK</v>
          </cell>
          <cell r="G781">
            <v>0</v>
          </cell>
          <cell r="K781">
            <v>0</v>
          </cell>
        </row>
        <row r="782">
          <cell r="C782">
            <v>23503930</v>
          </cell>
          <cell r="D782" t="str">
            <v>GA00B500</v>
          </cell>
          <cell r="E782" t="str">
            <v>002805002529 Icici Bank Ltd</v>
          </cell>
          <cell r="F782" t="str">
            <v>ABANK</v>
          </cell>
          <cell r="G782">
            <v>0</v>
          </cell>
          <cell r="K782">
            <v>0</v>
          </cell>
        </row>
        <row r="783">
          <cell r="C783">
            <v>23503940</v>
          </cell>
          <cell r="D783" t="str">
            <v>GA00B528</v>
          </cell>
          <cell r="E783" t="str">
            <v>0090340002246 Hdfc Bank Ltd.</v>
          </cell>
          <cell r="F783" t="str">
            <v>ABANK</v>
          </cell>
          <cell r="G783">
            <v>0</v>
          </cell>
          <cell r="K783">
            <v>0</v>
          </cell>
        </row>
        <row r="784">
          <cell r="C784">
            <v>23503950</v>
          </cell>
          <cell r="D784" t="str">
            <v>GA00B478</v>
          </cell>
          <cell r="E784" t="str">
            <v>2122340000034 Hdfc Bank Ltd.</v>
          </cell>
          <cell r="F784" t="str">
            <v>ABANK</v>
          </cell>
          <cell r="G784">
            <v>0</v>
          </cell>
          <cell r="K784">
            <v>0</v>
          </cell>
        </row>
        <row r="785">
          <cell r="C785">
            <v>23503960</v>
          </cell>
          <cell r="D785" t="str">
            <v>GA00B479</v>
          </cell>
          <cell r="E785" t="str">
            <v>Rishikesh Uti Bank Ltd.</v>
          </cell>
          <cell r="F785" t="str">
            <v>ABANK</v>
          </cell>
          <cell r="G785">
            <v>0</v>
          </cell>
          <cell r="K785">
            <v>0</v>
          </cell>
        </row>
        <row r="786">
          <cell r="C786">
            <v>23503970</v>
          </cell>
          <cell r="D786" t="str">
            <v>GA00B480</v>
          </cell>
          <cell r="E786" t="str">
            <v>195010200004701 Uti Bank Ltd</v>
          </cell>
          <cell r="F786" t="str">
            <v>ABANK</v>
          </cell>
          <cell r="G786">
            <v>0</v>
          </cell>
          <cell r="K786">
            <v>0</v>
          </cell>
        </row>
        <row r="787">
          <cell r="C787">
            <v>23504000</v>
          </cell>
          <cell r="D787" t="str">
            <v>GA00B529</v>
          </cell>
          <cell r="E787" t="str">
            <v>039005000832 Icici Bank Ltd</v>
          </cell>
          <cell r="F787" t="str">
            <v>ABANK</v>
          </cell>
          <cell r="G787">
            <v>0</v>
          </cell>
          <cell r="K787">
            <v>0</v>
          </cell>
        </row>
        <row r="788">
          <cell r="C788">
            <v>23504010</v>
          </cell>
          <cell r="D788" t="str">
            <v>GA00B383</v>
          </cell>
          <cell r="E788" t="str">
            <v>0010340005708  Hdfc Bank Ltd</v>
          </cell>
          <cell r="F788" t="str">
            <v>ABANK</v>
          </cell>
          <cell r="G788">
            <v>0</v>
          </cell>
          <cell r="K788">
            <v>0</v>
          </cell>
        </row>
        <row r="789">
          <cell r="C789">
            <v>23504020</v>
          </cell>
          <cell r="D789" t="str">
            <v>GA00B384</v>
          </cell>
          <cell r="E789" t="str">
            <v>0423002100100685 Pnb</v>
          </cell>
          <cell r="F789" t="str">
            <v>ABANK</v>
          </cell>
          <cell r="G789">
            <v>0</v>
          </cell>
          <cell r="K789">
            <v>0</v>
          </cell>
        </row>
        <row r="790">
          <cell r="C790">
            <v>23504030</v>
          </cell>
          <cell r="D790" t="str">
            <v>GA00B385</v>
          </cell>
          <cell r="E790" t="str">
            <v>Rampur P N B Ltd.</v>
          </cell>
          <cell r="F790" t="str">
            <v>ABANK</v>
          </cell>
          <cell r="G790">
            <v>0</v>
          </cell>
          <cell r="K790">
            <v>0</v>
          </cell>
        </row>
        <row r="791">
          <cell r="C791">
            <v>23504040</v>
          </cell>
          <cell r="D791" t="str">
            <v>GA00B386</v>
          </cell>
          <cell r="E791" t="str">
            <v>3260340000076 Hdfc Bank Ltd.</v>
          </cell>
          <cell r="F791" t="str">
            <v>ABANK</v>
          </cell>
          <cell r="G791">
            <v>0</v>
          </cell>
          <cell r="K791">
            <v>0</v>
          </cell>
        </row>
        <row r="792">
          <cell r="C792">
            <v>23504060</v>
          </cell>
          <cell r="D792" t="str">
            <v>GA00B434</v>
          </cell>
          <cell r="E792" t="str">
            <v>1250340000114 Hdfc Bank Ltd.</v>
          </cell>
          <cell r="F792" t="str">
            <v>ABANK</v>
          </cell>
          <cell r="G792">
            <v>0</v>
          </cell>
          <cell r="K792">
            <v>0</v>
          </cell>
        </row>
        <row r="793">
          <cell r="C793">
            <v>23504090</v>
          </cell>
          <cell r="D793" t="str">
            <v>GA00B460</v>
          </cell>
          <cell r="E793" t="str">
            <v>1810340000060 Hdfc Bank Ltd.</v>
          </cell>
          <cell r="F793" t="str">
            <v>ABANK</v>
          </cell>
          <cell r="G793">
            <v>0</v>
          </cell>
          <cell r="K793">
            <v>0</v>
          </cell>
        </row>
        <row r="794">
          <cell r="C794">
            <v>23504130</v>
          </cell>
          <cell r="D794" t="str">
            <v>GA00B464</v>
          </cell>
          <cell r="E794" t="str">
            <v>188010200008068 Uti Bank Ltd.</v>
          </cell>
          <cell r="F794" t="str">
            <v>ABANK</v>
          </cell>
          <cell r="G794">
            <v>0</v>
          </cell>
          <cell r="K794">
            <v>0</v>
          </cell>
        </row>
        <row r="795">
          <cell r="C795">
            <v>23504140</v>
          </cell>
          <cell r="D795" t="str">
            <v>GA00B392</v>
          </cell>
          <cell r="E795" t="str">
            <v>2872340000075 Hdfc Bank Ltd.</v>
          </cell>
          <cell r="F795" t="str">
            <v>ABANK</v>
          </cell>
          <cell r="G795">
            <v>0</v>
          </cell>
          <cell r="K795">
            <v>0</v>
          </cell>
        </row>
        <row r="796">
          <cell r="C796">
            <v>23504180</v>
          </cell>
          <cell r="D796" t="str">
            <v>GA00B444</v>
          </cell>
          <cell r="E796" t="str">
            <v>4352340000020 Hdfc Bank Ltd</v>
          </cell>
          <cell r="F796" t="str">
            <v>ABANK</v>
          </cell>
          <cell r="G796">
            <v>0</v>
          </cell>
          <cell r="K796">
            <v>0</v>
          </cell>
        </row>
        <row r="797">
          <cell r="C797">
            <v>23504190</v>
          </cell>
          <cell r="D797" t="str">
            <v>GA00B445</v>
          </cell>
          <cell r="E797" t="str">
            <v>0070340000826 Hdfc Bank Ltd</v>
          </cell>
          <cell r="F797" t="str">
            <v>ABANK</v>
          </cell>
          <cell r="G797">
            <v>0</v>
          </cell>
          <cell r="K797">
            <v>0</v>
          </cell>
        </row>
        <row r="798">
          <cell r="C798">
            <v>23504200</v>
          </cell>
          <cell r="D798" t="str">
            <v>GA00B446</v>
          </cell>
          <cell r="E798" t="str">
            <v>4272340000025 Hdfc Bank Ltd</v>
          </cell>
          <cell r="F798" t="str">
            <v>ABANK</v>
          </cell>
          <cell r="G798">
            <v>0</v>
          </cell>
          <cell r="K798">
            <v>0</v>
          </cell>
        </row>
        <row r="799">
          <cell r="C799">
            <v>23504220</v>
          </cell>
          <cell r="D799" t="str">
            <v>GA00B448</v>
          </cell>
          <cell r="E799" t="str">
            <v>4490340000018 Hdfc Bank Ltd</v>
          </cell>
          <cell r="F799" t="str">
            <v>ABANK</v>
          </cell>
          <cell r="G799">
            <v>0</v>
          </cell>
          <cell r="K799">
            <v>0</v>
          </cell>
        </row>
        <row r="800">
          <cell r="C800">
            <v>23504240</v>
          </cell>
          <cell r="D800" t="str">
            <v>GA00B450</v>
          </cell>
          <cell r="E800" t="str">
            <v>018605002424 Icici Bank</v>
          </cell>
          <cell r="F800" t="str">
            <v>ABANK</v>
          </cell>
          <cell r="G800">
            <v>0</v>
          </cell>
          <cell r="K800">
            <v>0</v>
          </cell>
        </row>
        <row r="801">
          <cell r="C801">
            <v>23504250</v>
          </cell>
          <cell r="D801" t="str">
            <v>GA00B381</v>
          </cell>
          <cell r="E801" t="str">
            <v>030005002071 Icici Bank Ltd</v>
          </cell>
          <cell r="F801" t="str">
            <v>ABANK</v>
          </cell>
          <cell r="G801">
            <v>0</v>
          </cell>
          <cell r="K801">
            <v>0</v>
          </cell>
        </row>
        <row r="802">
          <cell r="C802">
            <v>23504260</v>
          </cell>
          <cell r="D802" t="str">
            <v>GA00B382</v>
          </cell>
          <cell r="E802" t="str">
            <v>030105000854 Icici Bank Ltd</v>
          </cell>
          <cell r="F802" t="str">
            <v>ABANK</v>
          </cell>
          <cell r="G802">
            <v>0</v>
          </cell>
          <cell r="K802">
            <v>0</v>
          </cell>
        </row>
        <row r="803">
          <cell r="C803">
            <v>23504270</v>
          </cell>
          <cell r="E803" t="str">
            <v>217010200000462 Uti Bank Ltd.</v>
          </cell>
          <cell r="F803" t="str">
            <v>ABANK</v>
          </cell>
          <cell r="G803">
            <v>0</v>
          </cell>
          <cell r="K803">
            <v>0</v>
          </cell>
        </row>
        <row r="804">
          <cell r="C804">
            <v>23504350</v>
          </cell>
          <cell r="D804" t="str">
            <v>GA00B498</v>
          </cell>
          <cell r="E804" t="str">
            <v>1820340000017 Hdfc Bank Ltd</v>
          </cell>
          <cell r="F804" t="str">
            <v>ABANK</v>
          </cell>
          <cell r="G804">
            <v>0</v>
          </cell>
          <cell r="K804">
            <v>0</v>
          </cell>
        </row>
        <row r="805">
          <cell r="C805">
            <v>23504360</v>
          </cell>
          <cell r="D805" t="str">
            <v>GA00B499</v>
          </cell>
          <cell r="E805" t="str">
            <v>2142340000019  Hdfc Bank Ltd.</v>
          </cell>
          <cell r="F805" t="str">
            <v>ABANK</v>
          </cell>
          <cell r="G805">
            <v>0</v>
          </cell>
          <cell r="K805">
            <v>0</v>
          </cell>
        </row>
        <row r="806">
          <cell r="C806">
            <v>23504380</v>
          </cell>
          <cell r="D806" t="str">
            <v>GA00B476</v>
          </cell>
          <cell r="E806" t="str">
            <v>Malerkotla Pnb Bank</v>
          </cell>
          <cell r="F806" t="str">
            <v>ABANK</v>
          </cell>
          <cell r="G806">
            <v>0</v>
          </cell>
          <cell r="K806">
            <v>0</v>
          </cell>
        </row>
        <row r="807">
          <cell r="C807">
            <v>23504390</v>
          </cell>
          <cell r="D807" t="str">
            <v>GA00B407</v>
          </cell>
          <cell r="E807" t="str">
            <v>2620340000026 Hdfc Bank Ltd</v>
          </cell>
          <cell r="F807" t="str">
            <v>ABANK</v>
          </cell>
          <cell r="G807">
            <v>0</v>
          </cell>
          <cell r="K807">
            <v>0</v>
          </cell>
        </row>
        <row r="808">
          <cell r="C808">
            <v>23504400</v>
          </cell>
          <cell r="D808" t="str">
            <v>GA00B511</v>
          </cell>
          <cell r="E808" t="str">
            <v>1430340000020 Hdfc Bank Ltd</v>
          </cell>
          <cell r="F808" t="str">
            <v>ABANK</v>
          </cell>
          <cell r="G808">
            <v>0</v>
          </cell>
          <cell r="K808">
            <v>0</v>
          </cell>
        </row>
        <row r="809">
          <cell r="C809">
            <v>23504420</v>
          </cell>
          <cell r="D809" t="str">
            <v>GA00B530</v>
          </cell>
          <cell r="E809" t="str">
            <v>5400340000036 Hdfc Bank Ltd.</v>
          </cell>
          <cell r="F809" t="str">
            <v>ABANK</v>
          </cell>
          <cell r="G809">
            <v>0</v>
          </cell>
          <cell r="K809">
            <v>0</v>
          </cell>
        </row>
        <row r="810">
          <cell r="C810">
            <v>23504450</v>
          </cell>
          <cell r="D810" t="str">
            <v>GA00B506</v>
          </cell>
          <cell r="E810" t="str">
            <v>023305001663 Icici Bank</v>
          </cell>
          <cell r="F810" t="str">
            <v>ABANK</v>
          </cell>
          <cell r="G810">
            <v>0</v>
          </cell>
          <cell r="K810">
            <v>0</v>
          </cell>
        </row>
        <row r="811">
          <cell r="C811">
            <v>23504460</v>
          </cell>
          <cell r="D811" t="str">
            <v>GA00B408</v>
          </cell>
          <cell r="E811" t="str">
            <v>2360340000122 Hdfc Bank Ltd.</v>
          </cell>
          <cell r="F811" t="str">
            <v>ABANK</v>
          </cell>
          <cell r="G811">
            <v>0</v>
          </cell>
          <cell r="K811">
            <v>0</v>
          </cell>
        </row>
        <row r="812">
          <cell r="C812">
            <v>23504500</v>
          </cell>
          <cell r="D812" t="str">
            <v>GA00B412</v>
          </cell>
          <cell r="E812" t="str">
            <v>0580340000108 Hdfc Bank Ltd.</v>
          </cell>
          <cell r="F812" t="str">
            <v>ABANK</v>
          </cell>
          <cell r="G812">
            <v>0</v>
          </cell>
          <cell r="K812">
            <v>0</v>
          </cell>
        </row>
        <row r="813">
          <cell r="C813">
            <v>23504510</v>
          </cell>
          <cell r="D813" t="str">
            <v>GA00B413</v>
          </cell>
          <cell r="E813" t="str">
            <v>0500340000357 Hdfc Bank Ltd.</v>
          </cell>
          <cell r="F813" t="str">
            <v>ABANK</v>
          </cell>
          <cell r="G813">
            <v>0</v>
          </cell>
          <cell r="K813">
            <v>0</v>
          </cell>
        </row>
        <row r="814">
          <cell r="C814">
            <v>23504520</v>
          </cell>
          <cell r="D814" t="str">
            <v>GA00B414</v>
          </cell>
          <cell r="E814" t="str">
            <v>0500340000367 Hdfc Bank Ltd.</v>
          </cell>
          <cell r="F814" t="str">
            <v>ABANK</v>
          </cell>
          <cell r="G814">
            <v>0</v>
          </cell>
          <cell r="K814">
            <v>0</v>
          </cell>
        </row>
        <row r="815">
          <cell r="C815">
            <v>23504550</v>
          </cell>
          <cell r="D815" t="str">
            <v>GA00B393</v>
          </cell>
          <cell r="E815" t="str">
            <v>0842340000083 Hdfc Bank Ltd.</v>
          </cell>
          <cell r="F815" t="str">
            <v>ABANK</v>
          </cell>
          <cell r="G815">
            <v>0</v>
          </cell>
          <cell r="K815">
            <v>0</v>
          </cell>
        </row>
        <row r="816">
          <cell r="C816">
            <v>23504560</v>
          </cell>
          <cell r="E816" t="str">
            <v xml:space="preserve">  Hdfc Bank Ltd</v>
          </cell>
          <cell r="F816" t="str">
            <v>ABANK</v>
          </cell>
          <cell r="G816">
            <v>0</v>
          </cell>
          <cell r="K816">
            <v>0</v>
          </cell>
        </row>
        <row r="817">
          <cell r="C817">
            <v>23504570</v>
          </cell>
          <cell r="D817" t="str">
            <v>GA00B387</v>
          </cell>
          <cell r="E817" t="str">
            <v>3870340000038 Hdfc Bank Ltd.</v>
          </cell>
          <cell r="F817" t="str">
            <v>ABANK</v>
          </cell>
          <cell r="G817">
            <v>0</v>
          </cell>
          <cell r="K817">
            <v>0</v>
          </cell>
        </row>
        <row r="818">
          <cell r="C818">
            <v>23504580</v>
          </cell>
          <cell r="D818" t="str">
            <v>GA00B388</v>
          </cell>
          <cell r="E818" t="str">
            <v>0200340001072  Hdfc Bank Ltd.</v>
          </cell>
          <cell r="F818" t="str">
            <v>ABANK</v>
          </cell>
          <cell r="G818">
            <v>0</v>
          </cell>
          <cell r="K818">
            <v>0</v>
          </cell>
        </row>
        <row r="819">
          <cell r="C819">
            <v>23504590</v>
          </cell>
          <cell r="D819" t="str">
            <v>GA00B389</v>
          </cell>
          <cell r="E819" t="str">
            <v>1920340000188 Hdfc Bank Ltd.</v>
          </cell>
          <cell r="F819" t="str">
            <v>ABANK</v>
          </cell>
          <cell r="G819">
            <v>0</v>
          </cell>
          <cell r="K819">
            <v>0</v>
          </cell>
        </row>
        <row r="820">
          <cell r="C820">
            <v>23504620</v>
          </cell>
          <cell r="D820" t="str">
            <v>GA00B431</v>
          </cell>
          <cell r="E820" t="str">
            <v>4432340000015 Hdfc Bank Ltd.</v>
          </cell>
          <cell r="F820" t="str">
            <v>ABANK</v>
          </cell>
          <cell r="G820">
            <v>0</v>
          </cell>
          <cell r="K820">
            <v>0</v>
          </cell>
        </row>
        <row r="821">
          <cell r="C821">
            <v>23504640</v>
          </cell>
          <cell r="D821" t="str">
            <v>GA00B433</v>
          </cell>
          <cell r="E821" t="str">
            <v>1592340000073 Hdfc Bank Ltd.</v>
          </cell>
          <cell r="F821" t="str">
            <v>ABANK</v>
          </cell>
          <cell r="G821">
            <v>0</v>
          </cell>
          <cell r="K821">
            <v>0</v>
          </cell>
        </row>
        <row r="822">
          <cell r="C822">
            <v>23504650</v>
          </cell>
          <cell r="D822" t="str">
            <v>GA00B430</v>
          </cell>
          <cell r="E822" t="str">
            <v>1760340000051 Hdfc Bank Ltd.</v>
          </cell>
          <cell r="F822" t="str">
            <v>ABANK</v>
          </cell>
          <cell r="G822">
            <v>0</v>
          </cell>
          <cell r="K822">
            <v>0</v>
          </cell>
        </row>
        <row r="823">
          <cell r="C823">
            <v>23504670</v>
          </cell>
          <cell r="D823" t="str">
            <v>GA00B534</v>
          </cell>
          <cell r="E823" t="str">
            <v>5412340000026 Hdfc Bank Ltd.</v>
          </cell>
          <cell r="F823" t="str">
            <v>ABANK</v>
          </cell>
          <cell r="G823">
            <v>0</v>
          </cell>
          <cell r="K823">
            <v>0</v>
          </cell>
        </row>
        <row r="824">
          <cell r="C824">
            <v>23504680</v>
          </cell>
          <cell r="D824" t="str">
            <v>GA00B465</v>
          </cell>
          <cell r="E824" t="str">
            <v>249010200004534 Uti Bank Ltd.</v>
          </cell>
          <cell r="F824" t="str">
            <v>ABANK</v>
          </cell>
          <cell r="G824">
            <v>0</v>
          </cell>
          <cell r="K824">
            <v>0</v>
          </cell>
        </row>
        <row r="825">
          <cell r="C825">
            <v>23504700</v>
          </cell>
          <cell r="D825" t="str">
            <v>GA00B467</v>
          </cell>
          <cell r="E825" t="str">
            <v>4090340000054 Hdfc  Bank Ltd.</v>
          </cell>
          <cell r="F825" t="str">
            <v>ABANK</v>
          </cell>
          <cell r="G825">
            <v>0</v>
          </cell>
          <cell r="K825">
            <v>0</v>
          </cell>
        </row>
        <row r="826">
          <cell r="C826">
            <v>23504710</v>
          </cell>
          <cell r="D826" t="str">
            <v>GA00B468</v>
          </cell>
          <cell r="E826" t="str">
            <v>2380340000031 Hdfc  Bank Ltd.</v>
          </cell>
          <cell r="F826" t="str">
            <v>ABANK</v>
          </cell>
          <cell r="G826">
            <v>0</v>
          </cell>
          <cell r="K826">
            <v>0</v>
          </cell>
        </row>
        <row r="827">
          <cell r="C827">
            <v>23504720</v>
          </cell>
          <cell r="D827" t="str">
            <v>GA00B469</v>
          </cell>
          <cell r="E827" t="str">
            <v>Karur Uti Bank Ltd.</v>
          </cell>
          <cell r="F827" t="str">
            <v>ABANK</v>
          </cell>
          <cell r="G827">
            <v>0</v>
          </cell>
          <cell r="K827">
            <v>0</v>
          </cell>
        </row>
        <row r="828">
          <cell r="C828">
            <v>23504750</v>
          </cell>
          <cell r="D828" t="str">
            <v>GA00B527</v>
          </cell>
          <cell r="E828" t="str">
            <v>Samana Hdfc Bank Ltd.</v>
          </cell>
          <cell r="F828" t="str">
            <v>ABANK</v>
          </cell>
          <cell r="G828">
            <v>0</v>
          </cell>
          <cell r="K828">
            <v>0</v>
          </cell>
        </row>
        <row r="829">
          <cell r="C829">
            <v>23504760</v>
          </cell>
          <cell r="D829" t="str">
            <v>GA00B474</v>
          </cell>
          <cell r="E829" t="str">
            <v>0152340000092 Hdfc Bank Ltd.</v>
          </cell>
          <cell r="F829" t="str">
            <v>ABANK</v>
          </cell>
          <cell r="G829">
            <v>0</v>
          </cell>
          <cell r="K829">
            <v>0</v>
          </cell>
        </row>
        <row r="830">
          <cell r="C830">
            <v>23504780</v>
          </cell>
          <cell r="D830" t="str">
            <v>GA00B470</v>
          </cell>
          <cell r="E830" t="str">
            <v>0010340005742 Hdfc Bank Ltd.</v>
          </cell>
          <cell r="F830" t="str">
            <v>ABANK</v>
          </cell>
          <cell r="G830">
            <v>0</v>
          </cell>
          <cell r="K830">
            <v>0</v>
          </cell>
        </row>
        <row r="831">
          <cell r="C831">
            <v>23504790</v>
          </cell>
          <cell r="D831" t="str">
            <v>GA00B521</v>
          </cell>
          <cell r="E831" t="str">
            <v>Besant Hdfc Bank Ltd.</v>
          </cell>
          <cell r="F831" t="str">
            <v>ABANK</v>
          </cell>
          <cell r="G831">
            <v>0</v>
          </cell>
          <cell r="K831">
            <v>0</v>
          </cell>
        </row>
        <row r="832">
          <cell r="C832">
            <v>23504810</v>
          </cell>
          <cell r="D832" t="str">
            <v>GA00B471</v>
          </cell>
          <cell r="E832" t="str">
            <v>5422340000157 Hdfc Bank Ltd.</v>
          </cell>
          <cell r="F832" t="str">
            <v>ABANK</v>
          </cell>
          <cell r="G832">
            <v>0</v>
          </cell>
          <cell r="K832">
            <v>0</v>
          </cell>
        </row>
        <row r="833">
          <cell r="C833">
            <v>23504830</v>
          </cell>
          <cell r="D833" t="str">
            <v>GA00B472</v>
          </cell>
          <cell r="E833" t="str">
            <v>4392640000055 Hdfc Bank Ltd.</v>
          </cell>
          <cell r="F833" t="str">
            <v>ABANK</v>
          </cell>
          <cell r="G833">
            <v>0</v>
          </cell>
          <cell r="K833">
            <v>0</v>
          </cell>
        </row>
        <row r="834">
          <cell r="C834">
            <v>23504840</v>
          </cell>
          <cell r="D834" t="str">
            <v>GA00B451</v>
          </cell>
          <cell r="E834" t="str">
            <v>2992340000084 Hdfc Bank Ltd.</v>
          </cell>
          <cell r="F834" t="str">
            <v>ABANK</v>
          </cell>
          <cell r="G834">
            <v>0</v>
          </cell>
          <cell r="K834">
            <v>0</v>
          </cell>
        </row>
        <row r="835">
          <cell r="C835">
            <v>23504850</v>
          </cell>
          <cell r="D835" t="str">
            <v>GA00B452</v>
          </cell>
          <cell r="E835" t="str">
            <v>4612340000034 Hdfc Bank Ltd.</v>
          </cell>
          <cell r="F835" t="str">
            <v>ABANK</v>
          </cell>
          <cell r="G835">
            <v>0</v>
          </cell>
          <cell r="K835">
            <v>0</v>
          </cell>
        </row>
        <row r="836">
          <cell r="C836">
            <v>23504860</v>
          </cell>
          <cell r="D836" t="str">
            <v>GA00B453</v>
          </cell>
          <cell r="E836" t="str">
            <v>2220340000096 Hdfc Bank Ltd.</v>
          </cell>
          <cell r="F836" t="str">
            <v>ABANK</v>
          </cell>
          <cell r="G836">
            <v>0</v>
          </cell>
          <cell r="K836">
            <v>0</v>
          </cell>
        </row>
        <row r="837">
          <cell r="C837">
            <v>23504870</v>
          </cell>
          <cell r="D837" t="str">
            <v>GA00B454</v>
          </cell>
          <cell r="E837" t="str">
            <v>0222340000096 Hdfc Bank Ltd.</v>
          </cell>
          <cell r="F837" t="str">
            <v>ABANK</v>
          </cell>
          <cell r="G837">
            <v>0</v>
          </cell>
          <cell r="K837">
            <v>0</v>
          </cell>
        </row>
        <row r="838">
          <cell r="C838">
            <v>23504890</v>
          </cell>
          <cell r="D838" t="str">
            <v>GA00B456</v>
          </cell>
          <cell r="E838" t="str">
            <v>4062340000020  Hdfc Bank Ltd.</v>
          </cell>
          <cell r="F838" t="str">
            <v>ABANK</v>
          </cell>
          <cell r="G838">
            <v>0</v>
          </cell>
          <cell r="K838">
            <v>0</v>
          </cell>
        </row>
        <row r="839">
          <cell r="C839">
            <v>23504900</v>
          </cell>
          <cell r="D839" t="str">
            <v>GA00B457</v>
          </cell>
          <cell r="E839" t="str">
            <v>0862340000110 Hdfc Bank Ltd.</v>
          </cell>
          <cell r="F839" t="str">
            <v>ABANK</v>
          </cell>
          <cell r="G839">
            <v>0</v>
          </cell>
          <cell r="K839">
            <v>0</v>
          </cell>
        </row>
        <row r="840">
          <cell r="C840">
            <v>23504910</v>
          </cell>
          <cell r="D840" t="str">
            <v>GA00B344</v>
          </cell>
          <cell r="E840" t="str">
            <v>6110340000012 Hdfc Bank Ltd.</v>
          </cell>
          <cell r="F840" t="str">
            <v>ABANK</v>
          </cell>
          <cell r="G840">
            <v>0</v>
          </cell>
          <cell r="K840">
            <v>0</v>
          </cell>
        </row>
        <row r="841">
          <cell r="C841">
            <v>23504920</v>
          </cell>
          <cell r="D841" t="str">
            <v>GA00B345</v>
          </cell>
          <cell r="E841" t="str">
            <v>2272340000056  Hdfc Bank Ltd.</v>
          </cell>
          <cell r="F841" t="str">
            <v>ABANK</v>
          </cell>
          <cell r="G841">
            <v>0</v>
          </cell>
          <cell r="K841">
            <v>0</v>
          </cell>
        </row>
        <row r="842">
          <cell r="C842">
            <v>23504940</v>
          </cell>
          <cell r="D842" t="str">
            <v>GA00B347</v>
          </cell>
          <cell r="E842" t="str">
            <v>0792340000249 Hdfc Bank Ltd.</v>
          </cell>
          <cell r="F842" t="str">
            <v>ABANK</v>
          </cell>
          <cell r="G842">
            <v>0</v>
          </cell>
          <cell r="K842">
            <v>0</v>
          </cell>
        </row>
        <row r="843">
          <cell r="C843">
            <v>23504950</v>
          </cell>
          <cell r="D843" t="str">
            <v>GA00B348</v>
          </cell>
          <cell r="E843" t="str">
            <v>1822340000091  Hdfc Bank Ltd.</v>
          </cell>
          <cell r="F843" t="str">
            <v>ABANK</v>
          </cell>
          <cell r="G843">
            <v>0</v>
          </cell>
          <cell r="K843">
            <v>0</v>
          </cell>
        </row>
        <row r="844">
          <cell r="C844">
            <v>23504960</v>
          </cell>
          <cell r="D844" t="str">
            <v>GA00B519</v>
          </cell>
          <cell r="E844" t="str">
            <v>Gurgaon( Ipo Product) Hdfc Bank</v>
          </cell>
          <cell r="F844" t="str">
            <v>ABANK</v>
          </cell>
          <cell r="G844">
            <v>0</v>
          </cell>
          <cell r="K844">
            <v>0</v>
          </cell>
        </row>
        <row r="845">
          <cell r="C845">
            <v>23504970</v>
          </cell>
          <cell r="D845" t="str">
            <v>GA00B422</v>
          </cell>
          <cell r="E845" t="str">
            <v>0152340000100 Hdfc Bank Ltd.</v>
          </cell>
          <cell r="F845" t="str">
            <v>ABANK</v>
          </cell>
          <cell r="G845">
            <v>0</v>
          </cell>
          <cell r="K845">
            <v>0</v>
          </cell>
        </row>
        <row r="846">
          <cell r="C846">
            <v>23504980</v>
          </cell>
          <cell r="D846" t="str">
            <v>GA00B423</v>
          </cell>
          <cell r="E846" t="str">
            <v>2472340000163 Hdfc Bank Ltd.</v>
          </cell>
          <cell r="F846" t="str">
            <v>ABANK</v>
          </cell>
          <cell r="G846">
            <v>0</v>
          </cell>
          <cell r="K846">
            <v>0</v>
          </cell>
        </row>
        <row r="847">
          <cell r="C847">
            <v>23504990</v>
          </cell>
          <cell r="D847" t="str">
            <v>GA00B424</v>
          </cell>
          <cell r="E847" t="str">
            <v>1510340000152 Hdfc Bank Ltd.</v>
          </cell>
          <cell r="F847" t="str">
            <v>ABANK</v>
          </cell>
          <cell r="G847">
            <v>0</v>
          </cell>
          <cell r="K847">
            <v>0</v>
          </cell>
        </row>
        <row r="848">
          <cell r="C848">
            <v>23505000</v>
          </cell>
          <cell r="E848" t="str">
            <v>017005000646 Icici Bank Ltd</v>
          </cell>
          <cell r="F848" t="str">
            <v>ABANK</v>
          </cell>
          <cell r="G848">
            <v>0</v>
          </cell>
          <cell r="K848">
            <v>0</v>
          </cell>
        </row>
        <row r="849">
          <cell r="C849">
            <v>23505020</v>
          </cell>
          <cell r="D849" t="str">
            <v>GA00B396</v>
          </cell>
          <cell r="E849" t="str">
            <v>2080340000047 Hdfc Bank Ltd.</v>
          </cell>
          <cell r="F849" t="str">
            <v>ABANK</v>
          </cell>
          <cell r="G849">
            <v>0</v>
          </cell>
          <cell r="K849">
            <v>0</v>
          </cell>
        </row>
        <row r="850">
          <cell r="C850">
            <v>23505030</v>
          </cell>
          <cell r="D850" t="str">
            <v>GA00B397</v>
          </cell>
          <cell r="E850" t="str">
            <v>0070340000740 Hdfc Bank Ltd.</v>
          </cell>
          <cell r="F850" t="str">
            <v>ABANK</v>
          </cell>
          <cell r="G850">
            <v>0</v>
          </cell>
          <cell r="K850">
            <v>0</v>
          </cell>
        </row>
        <row r="851">
          <cell r="C851">
            <v>23505040</v>
          </cell>
          <cell r="D851" t="str">
            <v>GA00B398</v>
          </cell>
          <cell r="E851" t="str">
            <v>1802340000021 Hdfc Bank Ltd.</v>
          </cell>
          <cell r="F851" t="str">
            <v>ABANK</v>
          </cell>
          <cell r="G851">
            <v>0</v>
          </cell>
          <cell r="K851">
            <v>0</v>
          </cell>
        </row>
        <row r="852">
          <cell r="C852">
            <v>23505050</v>
          </cell>
          <cell r="D852" t="str">
            <v>GA00B399</v>
          </cell>
          <cell r="E852" t="str">
            <v>0502340000078 Hdfc Bank Ltd.</v>
          </cell>
          <cell r="F852" t="str">
            <v>ABANK</v>
          </cell>
          <cell r="G852">
            <v>0</v>
          </cell>
          <cell r="K852">
            <v>0</v>
          </cell>
        </row>
        <row r="853">
          <cell r="C853">
            <v>23505060</v>
          </cell>
          <cell r="D853" t="str">
            <v>GA00B400</v>
          </cell>
          <cell r="E853" t="str">
            <v>0842340000093 Hdfc Bank Ltd.</v>
          </cell>
          <cell r="F853" t="str">
            <v>ABANK</v>
          </cell>
          <cell r="G853">
            <v>0</v>
          </cell>
          <cell r="K853">
            <v>0</v>
          </cell>
        </row>
        <row r="854">
          <cell r="C854">
            <v>23505070</v>
          </cell>
          <cell r="D854" t="str">
            <v>GA00B485</v>
          </cell>
          <cell r="E854" t="str">
            <v>3212340000026 Hdfc Bank Ltd</v>
          </cell>
          <cell r="F854" t="str">
            <v>ABANK</v>
          </cell>
          <cell r="G854">
            <v>0</v>
          </cell>
          <cell r="K854">
            <v>0</v>
          </cell>
        </row>
        <row r="855">
          <cell r="C855">
            <v>23505080</v>
          </cell>
          <cell r="D855" t="str">
            <v>GA00B520</v>
          </cell>
          <cell r="E855" t="str">
            <v>5412340000033 Hdfc Bank Ltd</v>
          </cell>
          <cell r="F855" t="str">
            <v>ABANK</v>
          </cell>
          <cell r="G855">
            <v>0</v>
          </cell>
          <cell r="K855">
            <v>0</v>
          </cell>
        </row>
        <row r="856">
          <cell r="C856">
            <v>23505090</v>
          </cell>
          <cell r="D856" t="str">
            <v>GA00B378</v>
          </cell>
          <cell r="E856" t="str">
            <v>Bikaner</v>
          </cell>
          <cell r="F856" t="str">
            <v>ABANK</v>
          </cell>
          <cell r="G856">
            <v>0</v>
          </cell>
          <cell r="K856">
            <v>0</v>
          </cell>
        </row>
        <row r="857">
          <cell r="C857">
            <v>23505100</v>
          </cell>
          <cell r="D857" t="str">
            <v>GA00B379</v>
          </cell>
          <cell r="E857" t="str">
            <v>2882340000032 Hdfc Bank Ltd.</v>
          </cell>
          <cell r="F857" t="str">
            <v>ABANK</v>
          </cell>
          <cell r="G857">
            <v>0</v>
          </cell>
          <cell r="K857">
            <v>0</v>
          </cell>
        </row>
        <row r="858">
          <cell r="C858">
            <v>23505110</v>
          </cell>
          <cell r="D858" t="str">
            <v>GA00B380</v>
          </cell>
          <cell r="E858" t="str">
            <v>3020340000068 Hdfc Bank Ltd.</v>
          </cell>
          <cell r="F858" t="str">
            <v>ABANK</v>
          </cell>
          <cell r="G858">
            <v>0</v>
          </cell>
          <cell r="K858">
            <v>0</v>
          </cell>
        </row>
        <row r="859">
          <cell r="C859">
            <v>23505150</v>
          </cell>
          <cell r="D859" t="str">
            <v>GA00B418</v>
          </cell>
          <cell r="E859" t="str">
            <v>1650340000026 Hdfc Bank Ltd.</v>
          </cell>
          <cell r="F859" t="str">
            <v>ABANK</v>
          </cell>
          <cell r="G859">
            <v>0</v>
          </cell>
          <cell r="K859">
            <v>0</v>
          </cell>
        </row>
        <row r="860">
          <cell r="C860">
            <v>23505170</v>
          </cell>
          <cell r="D860" t="str">
            <v>GA00B420</v>
          </cell>
          <cell r="E860" t="str">
            <v>4572340000019 Hdfc Bank Ltd.</v>
          </cell>
          <cell r="F860" t="str">
            <v>ABANK</v>
          </cell>
          <cell r="G860">
            <v>0</v>
          </cell>
          <cell r="K860">
            <v>0</v>
          </cell>
        </row>
        <row r="861">
          <cell r="C861">
            <v>23505200</v>
          </cell>
          <cell r="D861" t="str">
            <v>GA00B518</v>
          </cell>
          <cell r="E861" t="str">
            <v>INDIABULLS SECURITIES LTD 503011015417 ING VYSYA B</v>
          </cell>
          <cell r="F861" t="str">
            <v>ABANK</v>
          </cell>
          <cell r="G861">
            <v>0</v>
          </cell>
          <cell r="K861">
            <v>0</v>
          </cell>
        </row>
        <row r="862">
          <cell r="C862">
            <v>23505410</v>
          </cell>
          <cell r="E862" t="str">
            <v>ICICI BANK-GA00B39</v>
          </cell>
          <cell r="F862" t="str">
            <v>ABANK</v>
          </cell>
          <cell r="G862">
            <v>0</v>
          </cell>
          <cell r="K862">
            <v>0</v>
          </cell>
        </row>
        <row r="863">
          <cell r="C863">
            <v>23505541</v>
          </cell>
          <cell r="D863" t="str">
            <v>GA00B516</v>
          </cell>
          <cell r="E863" t="str">
            <v>Indiabulls Securities Ltd. 0432340000057 HDFC BANK</v>
          </cell>
          <cell r="F863" t="str">
            <v>ABANK</v>
          </cell>
          <cell r="G863">
            <v>0</v>
          </cell>
          <cell r="K863">
            <v>0</v>
          </cell>
        </row>
        <row r="864">
          <cell r="C864">
            <v>23505550</v>
          </cell>
          <cell r="D864" t="str">
            <v>GA00B540</v>
          </cell>
          <cell r="E864" t="str">
            <v>HDFC BANK LIMITED -0680340000087 BHARUCH</v>
          </cell>
          <cell r="F864" t="str">
            <v>ABANK</v>
          </cell>
          <cell r="G864">
            <v>0</v>
          </cell>
          <cell r="K864">
            <v>0</v>
          </cell>
        </row>
        <row r="865">
          <cell r="C865">
            <v>23505580</v>
          </cell>
          <cell r="E865" t="str">
            <v>1270340003918 HDFC BANK LTD</v>
          </cell>
          <cell r="F865" t="str">
            <v>ABANK</v>
          </cell>
          <cell r="G865">
            <v>0</v>
          </cell>
          <cell r="K865">
            <v>0</v>
          </cell>
        </row>
        <row r="866">
          <cell r="C866">
            <v>23505600</v>
          </cell>
          <cell r="E866" t="str">
            <v>0540340003134 HDFC BANK LTD</v>
          </cell>
          <cell r="F866" t="str">
            <v>ABANK</v>
          </cell>
          <cell r="G866">
            <v>0</v>
          </cell>
          <cell r="K866">
            <v>0</v>
          </cell>
        </row>
        <row r="867">
          <cell r="C867">
            <v>23505620</v>
          </cell>
          <cell r="D867" t="str">
            <v>GA00B552</v>
          </cell>
          <cell r="E867" t="str">
            <v>HDFC BANK LTD. 0322340000162</v>
          </cell>
          <cell r="F867" t="str">
            <v>ABANK</v>
          </cell>
          <cell r="G867">
            <v>0</v>
          </cell>
          <cell r="K867">
            <v>0</v>
          </cell>
        </row>
        <row r="868">
          <cell r="C868">
            <v>23505630</v>
          </cell>
          <cell r="D868" t="str">
            <v>GA00B566</v>
          </cell>
          <cell r="E868" t="str">
            <v>2850340000136HDFC BANK LIMITED</v>
          </cell>
          <cell r="F868" t="str">
            <v>ABANK</v>
          </cell>
          <cell r="G868">
            <v>0</v>
          </cell>
          <cell r="K868">
            <v>0</v>
          </cell>
        </row>
        <row r="869">
          <cell r="C869">
            <v>23505640</v>
          </cell>
          <cell r="D869" t="str">
            <v>GA00B539</v>
          </cell>
          <cell r="E869" t="str">
            <v>2272340000063 HDFC BANK LIMITED</v>
          </cell>
          <cell r="F869" t="str">
            <v>ABANK</v>
          </cell>
          <cell r="G869">
            <v>0</v>
          </cell>
          <cell r="K869">
            <v>0</v>
          </cell>
        </row>
        <row r="870">
          <cell r="C870">
            <v>23505650</v>
          </cell>
          <cell r="D870" t="str">
            <v>GA00B536</v>
          </cell>
          <cell r="E870" t="str">
            <v>5402340000155 HDFC BANK LIMITED</v>
          </cell>
          <cell r="F870" t="str">
            <v>ABANK</v>
          </cell>
          <cell r="G870">
            <v>0</v>
          </cell>
          <cell r="K870">
            <v>0</v>
          </cell>
        </row>
        <row r="871">
          <cell r="C871">
            <v>23505680</v>
          </cell>
          <cell r="D871" t="str">
            <v>GA00B570</v>
          </cell>
          <cell r="E871" t="str">
            <v>2692340000039 HDFC BANK LIMITED</v>
          </cell>
          <cell r="F871" t="str">
            <v>ABANK</v>
          </cell>
          <cell r="G871">
            <v>0</v>
          </cell>
          <cell r="K871">
            <v>0</v>
          </cell>
        </row>
        <row r="872">
          <cell r="C872">
            <v>23505700</v>
          </cell>
          <cell r="E872" t="str">
            <v>HDFC BANK LIMITED 2062340000100</v>
          </cell>
          <cell r="F872" t="str">
            <v>ABANK</v>
          </cell>
          <cell r="G872">
            <v>0</v>
          </cell>
          <cell r="K872">
            <v>0</v>
          </cell>
        </row>
        <row r="873">
          <cell r="C873">
            <v>23505720</v>
          </cell>
          <cell r="E873" t="str">
            <v>UTI BANK LIMITED 392010200000806</v>
          </cell>
          <cell r="F873" t="str">
            <v>ABANK</v>
          </cell>
          <cell r="G873">
            <v>0</v>
          </cell>
          <cell r="K873">
            <v>0</v>
          </cell>
        </row>
        <row r="874">
          <cell r="C874">
            <v>23505730</v>
          </cell>
          <cell r="E874" t="str">
            <v>UTI BANK LIMITED 392010200000815</v>
          </cell>
          <cell r="F874" t="str">
            <v>ABANK</v>
          </cell>
          <cell r="G874">
            <v>0</v>
          </cell>
          <cell r="K874">
            <v>0</v>
          </cell>
        </row>
        <row r="875">
          <cell r="C875">
            <v>23505740</v>
          </cell>
          <cell r="E875" t="str">
            <v>HFFC BANK LTD 0680340000070</v>
          </cell>
          <cell r="F875" t="str">
            <v>ABANK</v>
          </cell>
          <cell r="G875">
            <v>0</v>
          </cell>
          <cell r="K875">
            <v>0</v>
          </cell>
        </row>
        <row r="876">
          <cell r="C876">
            <v>23505750</v>
          </cell>
          <cell r="E876" t="str">
            <v>HFFC BANK LTD 3942340000011</v>
          </cell>
          <cell r="F876" t="str">
            <v>ABANK</v>
          </cell>
          <cell r="G876">
            <v>0</v>
          </cell>
          <cell r="K876">
            <v>0</v>
          </cell>
        </row>
        <row r="877">
          <cell r="C877">
            <v>23509230</v>
          </cell>
          <cell r="E877" t="str">
            <v>UTI BANK LIMITED 392010200001267</v>
          </cell>
          <cell r="F877" t="str">
            <v>ABANK</v>
          </cell>
          <cell r="G877">
            <v>0</v>
          </cell>
          <cell r="K877">
            <v>0</v>
          </cell>
        </row>
        <row r="878">
          <cell r="C878">
            <v>23509300</v>
          </cell>
          <cell r="E878" t="str">
            <v>HDFC-3212340000033-ISL - Block</v>
          </cell>
          <cell r="F878" t="str">
            <v>ABANK</v>
          </cell>
          <cell r="G878">
            <v>0</v>
          </cell>
          <cell r="K878">
            <v>0</v>
          </cell>
        </row>
        <row r="879">
          <cell r="C879">
            <v>23509310</v>
          </cell>
          <cell r="E879" t="str">
            <v>0820340000092   HDFC-ISL</v>
          </cell>
          <cell r="F879" t="str">
            <v>ABANK</v>
          </cell>
          <cell r="G879">
            <v>0</v>
          </cell>
          <cell r="K879">
            <v>0</v>
          </cell>
        </row>
        <row r="880">
          <cell r="C880">
            <v>23509320</v>
          </cell>
          <cell r="E880" t="str">
            <v>3862340000016- HDFC-ISL</v>
          </cell>
          <cell r="F880" t="str">
            <v>ABANK</v>
          </cell>
          <cell r="G880">
            <v>0</v>
          </cell>
          <cell r="K880">
            <v>0</v>
          </cell>
        </row>
        <row r="881">
          <cell r="C881">
            <v>23509330</v>
          </cell>
          <cell r="E881" t="str">
            <v>1842340000018-HDFC-ISL</v>
          </cell>
          <cell r="F881" t="str">
            <v>ABANK</v>
          </cell>
          <cell r="G881">
            <v>0</v>
          </cell>
          <cell r="K881">
            <v>0</v>
          </cell>
        </row>
        <row r="882">
          <cell r="C882">
            <v>23509340</v>
          </cell>
          <cell r="E882" t="str">
            <v>1660340000432 HDFC -ISL</v>
          </cell>
          <cell r="F882" t="str">
            <v>ABANK</v>
          </cell>
          <cell r="G882">
            <v>0</v>
          </cell>
          <cell r="K882">
            <v>0</v>
          </cell>
        </row>
        <row r="883">
          <cell r="C883">
            <v>23509790</v>
          </cell>
          <cell r="D883" t="str">
            <v>GA00B541</v>
          </cell>
          <cell r="E883" t="str">
            <v>ISL 7352340000012 HDFC BANK LTD</v>
          </cell>
          <cell r="F883" t="str">
            <v>ABANK</v>
          </cell>
          <cell r="G883">
            <v>0</v>
          </cell>
          <cell r="K883">
            <v>0</v>
          </cell>
        </row>
        <row r="884">
          <cell r="C884">
            <v>23509800</v>
          </cell>
          <cell r="D884" t="str">
            <v>GA00B542</v>
          </cell>
          <cell r="E884" t="str">
            <v>ISL 6370340000118  HDFC BANK LTD</v>
          </cell>
          <cell r="F884" t="str">
            <v>ABANK</v>
          </cell>
          <cell r="G884">
            <v>0</v>
          </cell>
          <cell r="K884">
            <v>0</v>
          </cell>
        </row>
        <row r="885">
          <cell r="C885">
            <v>23509810</v>
          </cell>
          <cell r="D885" t="str">
            <v>GA00B559</v>
          </cell>
          <cell r="E885" t="str">
            <v>ISL-392010200000815 UTI BANK LTD.</v>
          </cell>
          <cell r="F885" t="str">
            <v>ABANK</v>
          </cell>
          <cell r="G885">
            <v>0</v>
          </cell>
          <cell r="K885">
            <v>0</v>
          </cell>
        </row>
        <row r="886">
          <cell r="C886">
            <v>23509820</v>
          </cell>
          <cell r="D886" t="str">
            <v>GA00B554</v>
          </cell>
          <cell r="E886" t="str">
            <v>ISL-2290340000096 HDFC BANK LTD</v>
          </cell>
          <cell r="F886" t="str">
            <v>ABANK</v>
          </cell>
          <cell r="G886">
            <v>0</v>
          </cell>
          <cell r="K886">
            <v>0</v>
          </cell>
        </row>
        <row r="887">
          <cell r="C887">
            <v>23509850</v>
          </cell>
          <cell r="D887" t="str">
            <v>GA00B580</v>
          </cell>
          <cell r="E887" t="str">
            <v>ISL -SANTHOME HDFC BANK LTD.</v>
          </cell>
          <cell r="F887" t="str">
            <v>ABANK</v>
          </cell>
          <cell r="G887">
            <v>0</v>
          </cell>
          <cell r="K887">
            <v>0</v>
          </cell>
        </row>
        <row r="888">
          <cell r="C888">
            <v>23509860</v>
          </cell>
          <cell r="D888" t="str">
            <v>GA00B560</v>
          </cell>
          <cell r="E888" t="str">
            <v>ISL-RAI BAREILLY PUNJAB NATIONAL BANK</v>
          </cell>
          <cell r="F888" t="str">
            <v>ABANK</v>
          </cell>
          <cell r="G888">
            <v>0</v>
          </cell>
          <cell r="K888">
            <v>0</v>
          </cell>
        </row>
        <row r="889">
          <cell r="C889">
            <v>23509880</v>
          </cell>
          <cell r="D889" t="str">
            <v>GA00B538</v>
          </cell>
          <cell r="E889" t="str">
            <v>ISL.0680340000070 HDFC BANK LTD.</v>
          </cell>
          <cell r="F889" t="str">
            <v>ABANK</v>
          </cell>
          <cell r="G889">
            <v>0</v>
          </cell>
          <cell r="K889">
            <v>0</v>
          </cell>
        </row>
        <row r="890">
          <cell r="C890">
            <v>23509890</v>
          </cell>
          <cell r="D890" t="str">
            <v>GA00B568</v>
          </cell>
          <cell r="E890" t="str">
            <v>ISL.1092340000171 HDFC BANK LTD.</v>
          </cell>
          <cell r="F890" t="str">
            <v>ABANK</v>
          </cell>
          <cell r="G890">
            <v>0</v>
          </cell>
          <cell r="K890">
            <v>0</v>
          </cell>
        </row>
        <row r="891">
          <cell r="C891">
            <v>23509900</v>
          </cell>
          <cell r="D891" t="str">
            <v>GA00B562</v>
          </cell>
          <cell r="E891" t="str">
            <v>ISL.2670340000058 HDFC BANK LTD.</v>
          </cell>
          <cell r="F891" t="str">
            <v>ABANK</v>
          </cell>
          <cell r="G891">
            <v>0</v>
          </cell>
          <cell r="K891">
            <v>0</v>
          </cell>
        </row>
        <row r="892">
          <cell r="C892">
            <v>23509930</v>
          </cell>
          <cell r="D892" t="str">
            <v>GA00B555</v>
          </cell>
          <cell r="E892" t="str">
            <v>ISL.3942340000011 HDFC BANK LTD.</v>
          </cell>
          <cell r="F892" t="str">
            <v>ABANK</v>
          </cell>
          <cell r="G892">
            <v>0</v>
          </cell>
          <cell r="K892">
            <v>0</v>
          </cell>
        </row>
        <row r="893">
          <cell r="C893">
            <v>23509950</v>
          </cell>
          <cell r="D893" t="str">
            <v>GA00B573</v>
          </cell>
          <cell r="E893" t="str">
            <v>ISL.ADYAR CHENNAI HDFC BANK LTD 102340000053</v>
          </cell>
          <cell r="F893" t="str">
            <v>ABANK</v>
          </cell>
          <cell r="G893">
            <v>0</v>
          </cell>
          <cell r="K893">
            <v>0</v>
          </cell>
        </row>
        <row r="894">
          <cell r="C894">
            <v>23509970</v>
          </cell>
          <cell r="D894" t="str">
            <v>GA00B575</v>
          </cell>
          <cell r="E894" t="str">
            <v>ISL.ANNA-NAGAR  HDFC BANK LTD.</v>
          </cell>
          <cell r="F894" t="str">
            <v>ABANK</v>
          </cell>
          <cell r="G894">
            <v>0</v>
          </cell>
          <cell r="K894">
            <v>0</v>
          </cell>
        </row>
        <row r="895">
          <cell r="C895">
            <v>23509980</v>
          </cell>
          <cell r="D895" t="str">
            <v>GA00B578</v>
          </cell>
          <cell r="E895" t="str">
            <v>2152340000010 HDFC BANK LTD.</v>
          </cell>
          <cell r="F895" t="str">
            <v>ABANK</v>
          </cell>
          <cell r="G895">
            <v>0</v>
          </cell>
          <cell r="K895">
            <v>0</v>
          </cell>
        </row>
        <row r="896">
          <cell r="C896">
            <v>23510010</v>
          </cell>
          <cell r="D896" t="str">
            <v>GA00B558</v>
          </cell>
          <cell r="E896" t="str">
            <v>ISL.003034026502 HDFC BANK LTD.</v>
          </cell>
          <cell r="F896" t="str">
            <v>ABANK</v>
          </cell>
          <cell r="G896">
            <v>0</v>
          </cell>
          <cell r="K896">
            <v>0</v>
          </cell>
        </row>
        <row r="897">
          <cell r="C897">
            <v>23510020</v>
          </cell>
          <cell r="D897" t="str">
            <v>GA00B579</v>
          </cell>
          <cell r="E897" t="str">
            <v>ISL.INDIRA NAGAR HDFC BANK LTD.</v>
          </cell>
          <cell r="F897" t="str">
            <v>ABANK</v>
          </cell>
          <cell r="G897">
            <v>0</v>
          </cell>
          <cell r="K897">
            <v>0</v>
          </cell>
        </row>
        <row r="898">
          <cell r="C898">
            <v>23510030</v>
          </cell>
          <cell r="D898" t="str">
            <v>GA00B574</v>
          </cell>
          <cell r="E898" t="str">
            <v>ISL.KALYAN  HDFC BANK LTD.</v>
          </cell>
          <cell r="F898" t="str">
            <v>ABANK</v>
          </cell>
          <cell r="G898">
            <v>0</v>
          </cell>
          <cell r="K898">
            <v>0</v>
          </cell>
        </row>
        <row r="899">
          <cell r="C899">
            <v>23510040</v>
          </cell>
          <cell r="D899" t="str">
            <v>GA00B544</v>
          </cell>
          <cell r="E899" t="str">
            <v>ISL.KANNUR UTI BANK LTD-392010200000763</v>
          </cell>
          <cell r="F899" t="str">
            <v>ABANK</v>
          </cell>
          <cell r="G899">
            <v>0</v>
          </cell>
          <cell r="K899">
            <v>0</v>
          </cell>
        </row>
        <row r="900">
          <cell r="C900">
            <v>23510070</v>
          </cell>
          <cell r="D900" t="str">
            <v>GA00B557</v>
          </cell>
          <cell r="E900" t="str">
            <v>ISL.PALI HDFC BANK LTD.</v>
          </cell>
          <cell r="F900" t="str">
            <v>ABANK</v>
          </cell>
          <cell r="G900">
            <v>0</v>
          </cell>
          <cell r="K900">
            <v>0</v>
          </cell>
        </row>
        <row r="901">
          <cell r="C901">
            <v>23510300</v>
          </cell>
          <cell r="D901" t="str">
            <v>GA00B376</v>
          </cell>
          <cell r="E901" t="str">
            <v>ISL-BORIVALLI EAST-GA00B376</v>
          </cell>
          <cell r="F901" t="str">
            <v>ABANK</v>
          </cell>
          <cell r="G901">
            <v>0</v>
          </cell>
          <cell r="K901">
            <v>0</v>
          </cell>
        </row>
        <row r="902">
          <cell r="C902">
            <v>23510680</v>
          </cell>
          <cell r="E902" t="str">
            <v>3002340000072 HDFC BANK LTD BPNGRG</v>
          </cell>
          <cell r="F902" t="str">
            <v>ABANK</v>
          </cell>
          <cell r="G902">
            <v>0</v>
          </cell>
          <cell r="K902">
            <v>0</v>
          </cell>
        </row>
        <row r="903">
          <cell r="C903">
            <v>23510720</v>
          </cell>
          <cell r="E903" t="str">
            <v>HDFC Bank - MG Road Besant Nagar Chennai</v>
          </cell>
          <cell r="F903" t="str">
            <v>ABANK</v>
          </cell>
          <cell r="G903">
            <v>0</v>
          </cell>
          <cell r="K903">
            <v>0</v>
          </cell>
        </row>
        <row r="904">
          <cell r="C904">
            <v>23510740</v>
          </cell>
          <cell r="E904" t="str">
            <v>ICICI BANK A/C- 000705019794</v>
          </cell>
          <cell r="F904" t="str">
            <v>ABANK</v>
          </cell>
          <cell r="G904">
            <v>0</v>
          </cell>
          <cell r="K904">
            <v>0</v>
          </cell>
        </row>
        <row r="905">
          <cell r="C905">
            <v>23510810</v>
          </cell>
          <cell r="E905" t="str">
            <v>HDFC Bank  - New - Mulund West  0152340000127</v>
          </cell>
          <cell r="F905" t="str">
            <v>ABANK</v>
          </cell>
          <cell r="G905">
            <v>0</v>
          </cell>
          <cell r="K905">
            <v>0</v>
          </cell>
        </row>
        <row r="906">
          <cell r="C906">
            <v>23511080</v>
          </cell>
          <cell r="E906" t="str">
            <v>HDFC BANK LTD. 1660340000493</v>
          </cell>
          <cell r="F906" t="str">
            <v>ABANK</v>
          </cell>
          <cell r="G906">
            <v>0</v>
          </cell>
          <cell r="K906">
            <v>0</v>
          </cell>
        </row>
        <row r="907">
          <cell r="C907">
            <v>23511360</v>
          </cell>
          <cell r="E907" t="str">
            <v>HDFC Bank 7860340000012 Nimbaheda</v>
          </cell>
          <cell r="F907" t="str">
            <v>ABANK</v>
          </cell>
          <cell r="G907">
            <v>0</v>
          </cell>
          <cell r="K907">
            <v>0</v>
          </cell>
        </row>
        <row r="908">
          <cell r="C908">
            <v>23512490</v>
          </cell>
          <cell r="E908" t="str">
            <v>UTI BANK (49799)</v>
          </cell>
          <cell r="F908" t="str">
            <v>ABANK</v>
          </cell>
          <cell r="G908">
            <v>0</v>
          </cell>
          <cell r="K908">
            <v>0</v>
          </cell>
        </row>
        <row r="909">
          <cell r="C909">
            <v>24532090</v>
          </cell>
          <cell r="E909" t="str">
            <v>HDFC BANK Sec-31 Gurgaon - 0440340000261</v>
          </cell>
          <cell r="F909" t="str">
            <v>ABANK</v>
          </cell>
          <cell r="G909">
            <v>0</v>
          </cell>
          <cell r="K909">
            <v>0</v>
          </cell>
        </row>
        <row r="910">
          <cell r="C910">
            <v>24532100</v>
          </cell>
          <cell r="E910" t="str">
            <v>HDFC BANK Sec-22 Gurgaon - 0440340000244</v>
          </cell>
          <cell r="F910" t="str">
            <v>ABANK</v>
          </cell>
          <cell r="G910">
            <v>0</v>
          </cell>
          <cell r="K910">
            <v>0</v>
          </cell>
        </row>
        <row r="911">
          <cell r="C911">
            <v>24532120</v>
          </cell>
          <cell r="E911" t="str">
            <v>HDFC BANK Manesar - 5890340000019</v>
          </cell>
          <cell r="F911" t="str">
            <v>ABANK</v>
          </cell>
          <cell r="G911">
            <v>0</v>
          </cell>
          <cell r="K911">
            <v>0</v>
          </cell>
        </row>
        <row r="912">
          <cell r="C912">
            <v>24532150</v>
          </cell>
          <cell r="E912" t="str">
            <v>Pali Thane(w) HDFC Bank ltd</v>
          </cell>
          <cell r="F912" t="str">
            <v>ABANK</v>
          </cell>
          <cell r="G912">
            <v>0</v>
          </cell>
          <cell r="K912">
            <v>0</v>
          </cell>
        </row>
        <row r="913">
          <cell r="C913">
            <v>24532340</v>
          </cell>
          <cell r="E913" t="str">
            <v>2892340000043 HDFC BANK LTD.- ISL,JAIPUR</v>
          </cell>
          <cell r="F913" t="str">
            <v>ABANK</v>
          </cell>
          <cell r="G913">
            <v>0</v>
          </cell>
          <cell r="K913">
            <v>0</v>
          </cell>
        </row>
        <row r="914">
          <cell r="C914">
            <v>23504880</v>
          </cell>
          <cell r="D914" t="str">
            <v>GA00B455</v>
          </cell>
          <cell r="E914" t="str">
            <v>2430340000057 Hdfc Bank Ltd.(CLOSED)</v>
          </cell>
          <cell r="F914" t="str">
            <v>ABANK</v>
          </cell>
          <cell r="G914">
            <v>0</v>
          </cell>
          <cell r="K914">
            <v>0</v>
          </cell>
        </row>
        <row r="915">
          <cell r="C915">
            <v>23502770</v>
          </cell>
          <cell r="D915" t="str">
            <v>GA00B195</v>
          </cell>
          <cell r="E915" t="str">
            <v>0070340000610 Hdfc Bank(CLOSED)</v>
          </cell>
          <cell r="F915" t="str">
            <v>ABANK</v>
          </cell>
          <cell r="G915">
            <v>0</v>
          </cell>
          <cell r="K915">
            <v>0</v>
          </cell>
        </row>
        <row r="916">
          <cell r="C916">
            <v>23501190</v>
          </cell>
          <cell r="D916" t="str">
            <v>GA00B302</v>
          </cell>
          <cell r="E916" t="str">
            <v>4402340000066 Hdfc Bank Ltd. (Closed)</v>
          </cell>
          <cell r="F916" t="str">
            <v>ABANK</v>
          </cell>
          <cell r="G916">
            <v>0</v>
          </cell>
          <cell r="K916">
            <v>0</v>
          </cell>
        </row>
        <row r="917">
          <cell r="C917">
            <v>23504930</v>
          </cell>
          <cell r="D917" t="str">
            <v>GA00B346</v>
          </cell>
          <cell r="E917" t="str">
            <v>0392340000076  Hdfc Bank Ltd. (Closed)</v>
          </cell>
          <cell r="F917" t="str">
            <v>ABANK</v>
          </cell>
          <cell r="G917">
            <v>0</v>
          </cell>
          <cell r="K917">
            <v>0</v>
          </cell>
        </row>
        <row r="918">
          <cell r="C918">
            <v>23510000</v>
          </cell>
          <cell r="D918" t="str">
            <v>GA00B577</v>
          </cell>
          <cell r="E918" t="str">
            <v>ISL.GEORGE TOWN HDFC BANK1660340000432(CLOSED)</v>
          </cell>
          <cell r="F918" t="str">
            <v>ABANK</v>
          </cell>
          <cell r="G918">
            <v>0</v>
          </cell>
          <cell r="K918">
            <v>0</v>
          </cell>
        </row>
        <row r="919">
          <cell r="C919">
            <v>23500530</v>
          </cell>
          <cell r="D919" t="str">
            <v>GA00B134</v>
          </cell>
          <cell r="E919" t="str">
            <v>1182340000091 Hdfc Bank (Closed)</v>
          </cell>
          <cell r="F919" t="str">
            <v>ABANK</v>
          </cell>
          <cell r="G919">
            <v>0</v>
          </cell>
          <cell r="K919">
            <v>0</v>
          </cell>
        </row>
        <row r="920">
          <cell r="C920">
            <v>23501050</v>
          </cell>
          <cell r="D920" t="str">
            <v>GA00B270</v>
          </cell>
          <cell r="E920" t="str">
            <v>2782340000018 Hdfc Bank (Closed)</v>
          </cell>
          <cell r="F920" t="str">
            <v>ABANK</v>
          </cell>
          <cell r="G920">
            <v>0</v>
          </cell>
          <cell r="K920">
            <v>0</v>
          </cell>
        </row>
        <row r="921">
          <cell r="C921">
            <v>23510640</v>
          </cell>
          <cell r="E921" t="str">
            <v>HDFC BANK -CIVILLINE KANPUR1270340003969(CLOSED)</v>
          </cell>
          <cell r="F921" t="str">
            <v>ABANK</v>
          </cell>
          <cell r="G921">
            <v>0</v>
          </cell>
          <cell r="K921">
            <v>0</v>
          </cell>
        </row>
        <row r="922">
          <cell r="C922">
            <v>23501430</v>
          </cell>
          <cell r="D922" t="str">
            <v>GA00B189</v>
          </cell>
          <cell r="E922" t="str">
            <v>0670340000536 Hdfc Bank(CLOSED)</v>
          </cell>
          <cell r="F922" t="str">
            <v>ABANK</v>
          </cell>
          <cell r="G922">
            <v>0</v>
          </cell>
          <cell r="K922">
            <v>0</v>
          </cell>
        </row>
        <row r="923">
          <cell r="C923">
            <v>24532110</v>
          </cell>
          <cell r="E923" t="str">
            <v>HDFC BANK Galleria - 0440340000251(CLOSED)</v>
          </cell>
          <cell r="F923" t="str">
            <v>ABANK</v>
          </cell>
          <cell r="G923">
            <v>0</v>
          </cell>
          <cell r="K923">
            <v>0</v>
          </cell>
        </row>
        <row r="924">
          <cell r="C924">
            <v>23503600</v>
          </cell>
          <cell r="D924" t="str">
            <v>GA00B300</v>
          </cell>
          <cell r="E924" t="str">
            <v>2190340000011  Hdfc Bank Ltd(CLOSED)</v>
          </cell>
          <cell r="F924" t="str">
            <v>ABANK</v>
          </cell>
          <cell r="G924">
            <v>0</v>
          </cell>
          <cell r="K924">
            <v>0</v>
          </cell>
        </row>
        <row r="925">
          <cell r="C925">
            <v>23501880</v>
          </cell>
          <cell r="D925" t="str">
            <v>GA00B277</v>
          </cell>
          <cell r="E925" t="str">
            <v xml:space="preserve"> 0210340003206  Hdfc Bank Ltd</v>
          </cell>
          <cell r="F925" t="str">
            <v>ABANK</v>
          </cell>
          <cell r="G925">
            <v>0</v>
          </cell>
          <cell r="K925">
            <v>0</v>
          </cell>
        </row>
        <row r="926">
          <cell r="C926">
            <v>23504470</v>
          </cell>
          <cell r="D926" t="str">
            <v>GA00B409</v>
          </cell>
          <cell r="E926" t="str">
            <v>1592340000066 Hdfc Bank Ltd. (Closed)</v>
          </cell>
          <cell r="F926" t="str">
            <v>ABANK</v>
          </cell>
          <cell r="G926">
            <v>0</v>
          </cell>
          <cell r="K926">
            <v>0</v>
          </cell>
        </row>
        <row r="927">
          <cell r="C927">
            <v>23502430</v>
          </cell>
          <cell r="D927" t="str">
            <v>GA00B352</v>
          </cell>
          <cell r="E927" t="str">
            <v>2892340000026 Hdfc Bank Lid (Closed)</v>
          </cell>
          <cell r="F927" t="str">
            <v>ABANK</v>
          </cell>
          <cell r="G927">
            <v>0</v>
          </cell>
          <cell r="K927">
            <v>0</v>
          </cell>
        </row>
        <row r="928">
          <cell r="C928">
            <v>23502510</v>
          </cell>
          <cell r="D928" t="str">
            <v>GA00B362</v>
          </cell>
          <cell r="E928" t="str">
            <v xml:space="preserve"> 0412340000021 Hdfc Ank Ltd (Closed)</v>
          </cell>
          <cell r="F928" t="str">
            <v>ABANK</v>
          </cell>
          <cell r="G928">
            <v>0</v>
          </cell>
          <cell r="K928">
            <v>0</v>
          </cell>
        </row>
        <row r="929">
          <cell r="C929">
            <v>23500590</v>
          </cell>
          <cell r="D929" t="str">
            <v>GA00B248</v>
          </cell>
          <cell r="E929" t="str">
            <v>0522340000019  Hdfc Bank Ltd (Closed)</v>
          </cell>
          <cell r="F929" t="str">
            <v>ABANK</v>
          </cell>
          <cell r="G929">
            <v>0</v>
          </cell>
          <cell r="K929">
            <v>0</v>
          </cell>
        </row>
        <row r="930">
          <cell r="C930">
            <v>23503050</v>
          </cell>
          <cell r="D930" t="str">
            <v>GA00B246</v>
          </cell>
          <cell r="E930" t="str">
            <v>4000340000018  Hdfc Bank Ltd(CLOSED)</v>
          </cell>
          <cell r="F930" t="str">
            <v>ABANK</v>
          </cell>
          <cell r="G930">
            <v>0</v>
          </cell>
          <cell r="K930">
            <v>0</v>
          </cell>
        </row>
        <row r="931">
          <cell r="C931">
            <v>23520520</v>
          </cell>
          <cell r="E931" t="str">
            <v>2850340000146 -HDFC ISL(CLOCKED)</v>
          </cell>
          <cell r="F931" t="str">
            <v>ABANK</v>
          </cell>
          <cell r="G931">
            <v>0</v>
          </cell>
          <cell r="K931">
            <v>0</v>
          </cell>
        </row>
        <row r="932">
          <cell r="C932">
            <v>23502230</v>
          </cell>
          <cell r="D932" t="str">
            <v>GA00B435</v>
          </cell>
          <cell r="E932" t="str">
            <v>4860340000013 Hdfc Bank Ltd.(CLOSED)</v>
          </cell>
          <cell r="F932" t="str">
            <v>ABANK</v>
          </cell>
          <cell r="G932">
            <v>0</v>
          </cell>
          <cell r="K932">
            <v>0</v>
          </cell>
        </row>
        <row r="933">
          <cell r="C933">
            <v>23502120</v>
          </cell>
          <cell r="D933" t="str">
            <v>GA00B517</v>
          </cell>
          <cell r="E933" t="str">
            <v>0540340003014 Hdfc Bank Ltd.(CLOSED)</v>
          </cell>
          <cell r="F933" t="str">
            <v>ABANK</v>
          </cell>
          <cell r="G933">
            <v>0</v>
          </cell>
          <cell r="K933">
            <v>0</v>
          </cell>
        </row>
        <row r="934">
          <cell r="C934">
            <v>23503900</v>
          </cell>
          <cell r="D934" t="str">
            <v>GA00B342</v>
          </cell>
          <cell r="E934" t="str">
            <v>1910340000067 Hdfc Bank Ltd.(CLOCKED)</v>
          </cell>
          <cell r="F934" t="str">
            <v>ABANK</v>
          </cell>
          <cell r="G934">
            <v>0</v>
          </cell>
          <cell r="K934">
            <v>0</v>
          </cell>
        </row>
        <row r="935">
          <cell r="C935">
            <v>23503820</v>
          </cell>
          <cell r="D935" t="str">
            <v>GA00B239</v>
          </cell>
          <cell r="E935" t="str">
            <v>2840340000118 Hdfc Bank Ltd(CLOSED)</v>
          </cell>
          <cell r="F935" t="str">
            <v>ABANK</v>
          </cell>
          <cell r="G935">
            <v>0</v>
          </cell>
          <cell r="K935">
            <v>0</v>
          </cell>
        </row>
        <row r="936">
          <cell r="C936">
            <v>23502250</v>
          </cell>
          <cell r="D936" t="str">
            <v>GA00B482</v>
          </cell>
          <cell r="E936" t="str">
            <v>0930340000066 Hdfc Bank(CLOSED)</v>
          </cell>
          <cell r="F936" t="str">
            <v>ABANK</v>
          </cell>
          <cell r="G936">
            <v>0</v>
          </cell>
          <cell r="K936">
            <v>0</v>
          </cell>
        </row>
        <row r="937">
          <cell r="C937">
            <v>23501010</v>
          </cell>
          <cell r="D937" t="str">
            <v>GA00B169</v>
          </cell>
          <cell r="E937" t="str">
            <v>2530340000010 Hdfc Bank(CLOCKED)</v>
          </cell>
          <cell r="F937" t="str">
            <v>ABANK</v>
          </cell>
          <cell r="G937">
            <v>0</v>
          </cell>
          <cell r="K937">
            <v>0</v>
          </cell>
        </row>
        <row r="938">
          <cell r="C938">
            <v>23504630</v>
          </cell>
          <cell r="D938" t="str">
            <v>GA00B432</v>
          </cell>
          <cell r="E938" t="str">
            <v>0472340000209  Hdfc Bank Ltd. (Closed)</v>
          </cell>
          <cell r="F938" t="str">
            <v>ABANK</v>
          </cell>
          <cell r="G938">
            <v>0</v>
          </cell>
          <cell r="K938">
            <v>0</v>
          </cell>
        </row>
        <row r="939">
          <cell r="C939">
            <v>23505180</v>
          </cell>
          <cell r="D939" t="str">
            <v>GA00B421</v>
          </cell>
          <cell r="E939" t="str">
            <v>1292340000210 Hdfc Bank Ltd. (Closed)</v>
          </cell>
          <cell r="F939" t="str">
            <v>ABANK</v>
          </cell>
          <cell r="G939">
            <v>0</v>
          </cell>
          <cell r="K939">
            <v>0</v>
          </cell>
        </row>
        <row r="940">
          <cell r="C940">
            <v>23504770</v>
          </cell>
          <cell r="D940" t="str">
            <v>GA00B475</v>
          </cell>
          <cell r="E940" t="str">
            <v>4112340000039 Hdfc Bank Ltd.</v>
          </cell>
          <cell r="F940" t="str">
            <v>ABANK</v>
          </cell>
          <cell r="G940">
            <v>0</v>
          </cell>
          <cell r="K940">
            <v>0</v>
          </cell>
        </row>
        <row r="941">
          <cell r="C941">
            <v>23501800</v>
          </cell>
          <cell r="D941" t="str">
            <v>GA00B176</v>
          </cell>
          <cell r="E941" t="str">
            <v>0210340002379 Hdfc Bank (Closed)</v>
          </cell>
          <cell r="F941" t="str">
            <v>ABANK</v>
          </cell>
          <cell r="G941">
            <v>0</v>
          </cell>
          <cell r="K941">
            <v>0</v>
          </cell>
        </row>
        <row r="942">
          <cell r="C942">
            <v>23501280</v>
          </cell>
          <cell r="D942" t="str">
            <v>GA00B181</v>
          </cell>
          <cell r="E942" t="str">
            <v>0402340000044 Hdfc Bank ( CLOSED)</v>
          </cell>
          <cell r="F942" t="str">
            <v>ABANK</v>
          </cell>
          <cell r="G942">
            <v>0</v>
          </cell>
          <cell r="K942">
            <v>0</v>
          </cell>
        </row>
        <row r="943">
          <cell r="C943">
            <v>23501090</v>
          </cell>
          <cell r="D943" t="str">
            <v>GA00B294</v>
          </cell>
          <cell r="E943" t="str">
            <v>2872340000068 Hdfc Bank Ltd.(Closed)</v>
          </cell>
          <cell r="F943" t="str">
            <v>ABANK</v>
          </cell>
          <cell r="G943">
            <v>0</v>
          </cell>
          <cell r="K943">
            <v>0</v>
          </cell>
        </row>
        <row r="944">
          <cell r="C944">
            <v>23503360</v>
          </cell>
          <cell r="D944" t="str">
            <v>GA00B509</v>
          </cell>
          <cell r="E944" t="str">
            <v>Client A/C-  Idbi Bank</v>
          </cell>
          <cell r="F944" t="str">
            <v>ABANK</v>
          </cell>
          <cell r="G944">
            <v>0</v>
          </cell>
          <cell r="K944">
            <v>0</v>
          </cell>
        </row>
        <row r="945">
          <cell r="C945">
            <v>23509830</v>
          </cell>
          <cell r="D945" t="str">
            <v>GA00B556</v>
          </cell>
          <cell r="E945" t="str">
            <v>ISL -VILE PARLE HDFC BANK LTD.(CLOSED)</v>
          </cell>
          <cell r="F945" t="str">
            <v>ABANK</v>
          </cell>
          <cell r="G945">
            <v>0</v>
          </cell>
          <cell r="K945">
            <v>0</v>
          </cell>
        </row>
        <row r="946">
          <cell r="C946">
            <v>23510060</v>
          </cell>
          <cell r="D946" t="str">
            <v>GA00B576</v>
          </cell>
          <cell r="E946" t="str">
            <v>ISL.NUMGAMBAKKAM  HDFC BANK LTD.</v>
          </cell>
          <cell r="F946" t="str">
            <v>ABANK</v>
          </cell>
          <cell r="G946">
            <v>0</v>
          </cell>
          <cell r="K946">
            <v>0</v>
          </cell>
        </row>
        <row r="947">
          <cell r="C947">
            <v>23511200</v>
          </cell>
          <cell r="E947" t="str">
            <v>Axis bank - 392010200001861</v>
          </cell>
          <cell r="F947" t="str">
            <v>ABANK</v>
          </cell>
          <cell r="G947">
            <v>0</v>
          </cell>
          <cell r="K947">
            <v>0</v>
          </cell>
        </row>
        <row r="948">
          <cell r="C948">
            <v>24532080</v>
          </cell>
          <cell r="E948" t="str">
            <v>HDFC BANK DLF Phase-I Gurgaon</v>
          </cell>
          <cell r="F948" t="str">
            <v>ABANK</v>
          </cell>
          <cell r="G948">
            <v>0</v>
          </cell>
          <cell r="K948">
            <v>0</v>
          </cell>
        </row>
        <row r="949">
          <cell r="C949">
            <v>23504660</v>
          </cell>
          <cell r="D949" t="str">
            <v>GA00B533</v>
          </cell>
          <cell r="E949" t="str">
            <v>Rajkot Hdfc Bank Ltd.(CLOSED)</v>
          </cell>
          <cell r="F949" t="str">
            <v>ABANK</v>
          </cell>
          <cell r="G949">
            <v>0</v>
          </cell>
          <cell r="K949">
            <v>0</v>
          </cell>
        </row>
        <row r="950">
          <cell r="C950">
            <v>23501990</v>
          </cell>
          <cell r="D950" t="str">
            <v>GA00B315</v>
          </cell>
          <cell r="E950" t="str">
            <v>3982340000015  Hdfc Bank Ltd.( Closed)</v>
          </cell>
          <cell r="F950" t="str">
            <v>ABANK</v>
          </cell>
          <cell r="G950">
            <v>0</v>
          </cell>
          <cell r="K950">
            <v>0</v>
          </cell>
        </row>
        <row r="951">
          <cell r="C951">
            <v>23505010</v>
          </cell>
          <cell r="D951" t="str">
            <v>GA00B395</v>
          </cell>
          <cell r="E951" t="str">
            <v>Indiabulls Securities Ltd. A/c No. 05452340000013</v>
          </cell>
          <cell r="F951" t="str">
            <v>ABANK</v>
          </cell>
          <cell r="G951">
            <v>48473.43</v>
          </cell>
          <cell r="K951">
            <v>48473.43</v>
          </cell>
        </row>
        <row r="952">
          <cell r="C952">
            <v>23505160</v>
          </cell>
          <cell r="D952" t="str">
            <v>GA00B419</v>
          </cell>
          <cell r="E952" t="str">
            <v>2732340000064 Hdfc Bank Ltd.</v>
          </cell>
          <cell r="F952" t="str">
            <v>ABANK</v>
          </cell>
          <cell r="G952">
            <v>608.07000000000005</v>
          </cell>
          <cell r="K952">
            <v>608.07000000000005</v>
          </cell>
        </row>
        <row r="953">
          <cell r="C953">
            <v>23509350</v>
          </cell>
          <cell r="E953" t="str">
            <v>0172340000026 HDFC -ISL Blocked</v>
          </cell>
          <cell r="F953" t="str">
            <v>ABANK</v>
          </cell>
          <cell r="G953">
            <v>0</v>
          </cell>
          <cell r="K953">
            <v>0</v>
          </cell>
        </row>
        <row r="954">
          <cell r="C954">
            <v>23509998</v>
          </cell>
          <cell r="E954" t="str">
            <v>HDFC Bank Ltd. GRGS14 Online 0440340000285</v>
          </cell>
          <cell r="F954" t="str">
            <v>ABANK</v>
          </cell>
          <cell r="G954">
            <v>34721.599999999999</v>
          </cell>
          <cell r="K954">
            <v>34721.599999999999</v>
          </cell>
        </row>
        <row r="955">
          <cell r="C955">
            <v>23500560</v>
          </cell>
          <cell r="D955" t="str">
            <v>GA00B185</v>
          </cell>
          <cell r="E955" t="str">
            <v>0030340018472-HDFC ISL</v>
          </cell>
          <cell r="F955" t="str">
            <v>ABANK</v>
          </cell>
          <cell r="G955">
            <v>-4474173.18</v>
          </cell>
          <cell r="K955">
            <v>-4474173.18</v>
          </cell>
        </row>
        <row r="956">
          <cell r="C956">
            <v>23502780</v>
          </cell>
          <cell r="D956" t="str">
            <v>GA00B3</v>
          </cell>
          <cell r="E956" t="str">
            <v>Hdfc Bank  A/C 0030340000640 (Old No. 08)</v>
          </cell>
          <cell r="F956" t="str">
            <v>ABANK</v>
          </cell>
          <cell r="G956">
            <v>-88158647.019999996</v>
          </cell>
          <cell r="K956">
            <v>-88158647.019999996</v>
          </cell>
        </row>
        <row r="957">
          <cell r="C957">
            <v>23512491</v>
          </cell>
          <cell r="E957" t="str">
            <v>ISL A/c No. 00070340001542 HDFC Bank Ltd.</v>
          </cell>
          <cell r="F957" t="str">
            <v>ABANK</v>
          </cell>
          <cell r="G957">
            <v>4970</v>
          </cell>
          <cell r="K957">
            <v>4970</v>
          </cell>
        </row>
        <row r="958">
          <cell r="C958">
            <v>23520036</v>
          </cell>
          <cell r="E958" t="str">
            <v>ISL A/c No. 00080340032912 HDFC Bank Ltd.</v>
          </cell>
          <cell r="F958" t="str">
            <v>ABANK</v>
          </cell>
          <cell r="G958">
            <v>24624</v>
          </cell>
          <cell r="K958">
            <v>24624</v>
          </cell>
        </row>
        <row r="959">
          <cell r="C959">
            <v>23500680</v>
          </cell>
          <cell r="E959" t="str">
            <v>0670340000484 Hdfc Bank</v>
          </cell>
          <cell r="F959" t="str">
            <v>ABANK</v>
          </cell>
          <cell r="G959">
            <v>0</v>
          </cell>
          <cell r="K959">
            <v>0</v>
          </cell>
        </row>
        <row r="960">
          <cell r="C960">
            <v>23500850</v>
          </cell>
          <cell r="D960" t="str">
            <v>GA00B263</v>
          </cell>
          <cell r="E960" t="str">
            <v>2062340000085  Hdfc Bank Ltd</v>
          </cell>
          <cell r="F960" t="str">
            <v>ABANK</v>
          </cell>
          <cell r="G960">
            <v>0</v>
          </cell>
          <cell r="K960">
            <v>0</v>
          </cell>
        </row>
        <row r="961">
          <cell r="C961">
            <v>23502730</v>
          </cell>
          <cell r="D961" t="str">
            <v>GA00B360</v>
          </cell>
          <cell r="E961" t="str">
            <v>5512340000013 Hdfc Bank Ltd</v>
          </cell>
          <cell r="F961" t="str">
            <v>ABANK</v>
          </cell>
          <cell r="G961">
            <v>25750.32</v>
          </cell>
          <cell r="K961">
            <v>25750.32</v>
          </cell>
        </row>
        <row r="962">
          <cell r="C962">
            <v>23504690</v>
          </cell>
          <cell r="E962" t="str">
            <v>276010200006514 Uti Bank Ltd.</v>
          </cell>
          <cell r="F962" t="str">
            <v>ABANK</v>
          </cell>
          <cell r="G962">
            <v>0</v>
          </cell>
          <cell r="K962">
            <v>0</v>
          </cell>
        </row>
        <row r="963">
          <cell r="C963">
            <v>23509920</v>
          </cell>
          <cell r="D963" t="str">
            <v>GA00B553</v>
          </cell>
          <cell r="E963" t="str">
            <v>ISL.392010200000806 UTI BANK LTD.</v>
          </cell>
          <cell r="F963" t="str">
            <v>ABANK</v>
          </cell>
          <cell r="G963">
            <v>0</v>
          </cell>
          <cell r="K963">
            <v>0</v>
          </cell>
        </row>
        <row r="964">
          <cell r="C964">
            <v>23504320</v>
          </cell>
          <cell r="D964" t="str">
            <v>GA00B512</v>
          </cell>
          <cell r="E964" t="str">
            <v>0081002100015824 Pnb</v>
          </cell>
          <cell r="F964" t="str">
            <v>ABANK</v>
          </cell>
          <cell r="G964">
            <v>0</v>
          </cell>
          <cell r="K964">
            <v>0</v>
          </cell>
        </row>
        <row r="965">
          <cell r="C965">
            <v>23502590</v>
          </cell>
          <cell r="D965" t="str">
            <v>GA00B188</v>
          </cell>
          <cell r="E965" t="str">
            <v>1202340000382 Hdfc Bank</v>
          </cell>
          <cell r="F965" t="str">
            <v>ABANK</v>
          </cell>
          <cell r="G965">
            <v>22558.95</v>
          </cell>
          <cell r="K965">
            <v>22558.95</v>
          </cell>
        </row>
        <row r="966">
          <cell r="C966">
            <v>23504080</v>
          </cell>
          <cell r="D966" t="str">
            <v>GA00B459</v>
          </cell>
          <cell r="E966" t="str">
            <v>5462340000014 Hdfc Bank Ltd.</v>
          </cell>
          <cell r="F966" t="str">
            <v>ABANK</v>
          </cell>
          <cell r="G966">
            <v>108194.25</v>
          </cell>
          <cell r="K966">
            <v>108194.25</v>
          </cell>
        </row>
        <row r="967">
          <cell r="C967">
            <v>24532050</v>
          </cell>
          <cell r="E967" t="str">
            <v>CITI BANK A/C NO 325250046.</v>
          </cell>
          <cell r="F967" t="str">
            <v>ABANK</v>
          </cell>
          <cell r="G967">
            <v>36398.06</v>
          </cell>
          <cell r="K967">
            <v>36398.06</v>
          </cell>
        </row>
        <row r="968">
          <cell r="C968">
            <v>23500470</v>
          </cell>
          <cell r="D968" t="str">
            <v xml:space="preserve">GA00B39 </v>
          </cell>
          <cell r="E968" t="str">
            <v>ISL -ICICI-HO -000705001615</v>
          </cell>
          <cell r="F968" t="str">
            <v>ABANK</v>
          </cell>
          <cell r="G968">
            <v>481347.22</v>
          </cell>
          <cell r="K968">
            <v>481347.22</v>
          </cell>
        </row>
        <row r="969">
          <cell r="C969">
            <v>23502930</v>
          </cell>
          <cell r="D969" t="str">
            <v>GA00B75</v>
          </cell>
          <cell r="E969" t="str">
            <v>Hdfc (Wdm00030340000667)</v>
          </cell>
          <cell r="F969" t="str">
            <v>ABANK</v>
          </cell>
          <cell r="G969">
            <v>-193971467.63999999</v>
          </cell>
          <cell r="K969">
            <v>-193971467.63999999</v>
          </cell>
        </row>
        <row r="970">
          <cell r="C970">
            <v>23520073</v>
          </cell>
          <cell r="E970" t="str">
            <v>HDFC Bank Ltd. A/C (Ranchi ON)-ISL</v>
          </cell>
          <cell r="F970" t="str">
            <v>ABANK</v>
          </cell>
          <cell r="G970">
            <v>69974.899999999994</v>
          </cell>
          <cell r="K970">
            <v>69974.899999999994</v>
          </cell>
        </row>
        <row r="971">
          <cell r="C971">
            <v>23515070</v>
          </cell>
          <cell r="E971" t="str">
            <v>ISL-HDFC Bank Ltd. A/C (DEL-GTB ON)</v>
          </cell>
          <cell r="F971" t="str">
            <v>ABANK</v>
          </cell>
          <cell r="G971">
            <v>10000</v>
          </cell>
          <cell r="K971">
            <v>10000</v>
          </cell>
        </row>
        <row r="972">
          <cell r="C972">
            <v>23515080</v>
          </cell>
          <cell r="E972" t="str">
            <v>ISL-HDFC Bank Ltd. A/C (DEL-KBPR OFF)</v>
          </cell>
          <cell r="F972" t="str">
            <v>ABANK</v>
          </cell>
          <cell r="G972">
            <v>10000</v>
          </cell>
          <cell r="K972">
            <v>10000</v>
          </cell>
        </row>
        <row r="974">
          <cell r="C974">
            <v>23505430</v>
          </cell>
          <cell r="D974" t="str">
            <v>GA00B82</v>
          </cell>
          <cell r="E974" t="str">
            <v>Hdfc Bank Ltd.</v>
          </cell>
          <cell r="F974" t="str">
            <v>ABANKC</v>
          </cell>
          <cell r="G974">
            <v>-22562274.800000001</v>
          </cell>
          <cell r="K974">
            <v>-22562274.800000001</v>
          </cell>
        </row>
        <row r="975">
          <cell r="C975">
            <v>23500190</v>
          </cell>
          <cell r="D975" t="str">
            <v>GA00B5</v>
          </cell>
          <cell r="E975" t="str">
            <v>Icici Bank  &lt;Delhi&gt; 05/22 705000229</v>
          </cell>
          <cell r="F975" t="str">
            <v>ABANKC</v>
          </cell>
          <cell r="G975">
            <v>-20921881.809999999</v>
          </cell>
          <cell r="K975">
            <v>-20921881.809999999</v>
          </cell>
        </row>
        <row r="976">
          <cell r="C976">
            <v>23505320</v>
          </cell>
          <cell r="D976" t="str">
            <v>GA00B740</v>
          </cell>
          <cell r="E976" t="str">
            <v>Hdfc Bank - 0030340020740</v>
          </cell>
          <cell r="F976" t="str">
            <v>ABANKC</v>
          </cell>
          <cell r="G976">
            <v>-21267172.57</v>
          </cell>
          <cell r="K976">
            <v>-21267172.57</v>
          </cell>
        </row>
        <row r="977">
          <cell r="C977">
            <v>23505420</v>
          </cell>
          <cell r="D977" t="str">
            <v>GA00B7</v>
          </cell>
          <cell r="E977" t="str">
            <v>0032340000015 HDFC ISL CLIENT A/C</v>
          </cell>
          <cell r="F977" t="str">
            <v>ABANKC</v>
          </cell>
          <cell r="G977">
            <v>21182232.09</v>
          </cell>
          <cell r="K977">
            <v>21182232.09</v>
          </cell>
        </row>
        <row r="978">
          <cell r="C978">
            <v>23505290</v>
          </cell>
          <cell r="D978" t="str">
            <v>GA00B80</v>
          </cell>
          <cell r="E978" t="str">
            <v>Icici Bank Delhi 705001648</v>
          </cell>
          <cell r="F978" t="str">
            <v>ABANKC</v>
          </cell>
          <cell r="G978">
            <v>0</v>
          </cell>
          <cell r="K978">
            <v>0</v>
          </cell>
        </row>
        <row r="979">
          <cell r="C979">
            <v>23505220</v>
          </cell>
          <cell r="D979" t="str">
            <v>GA00B14</v>
          </cell>
          <cell r="E979" t="str">
            <v>Uti Bank (Mumbai) 28010200002781</v>
          </cell>
          <cell r="F979" t="str">
            <v>ABANKC</v>
          </cell>
          <cell r="G979">
            <v>0</v>
          </cell>
          <cell r="K979">
            <v>0</v>
          </cell>
        </row>
        <row r="980">
          <cell r="C980">
            <v>23505450</v>
          </cell>
          <cell r="D980" t="str">
            <v>GA00B03</v>
          </cell>
          <cell r="E980" t="str">
            <v>Citi Bank 325250003</v>
          </cell>
          <cell r="F980" t="str">
            <v>ABANKC</v>
          </cell>
          <cell r="G980">
            <v>-2863477.28</v>
          </cell>
          <cell r="K980">
            <v>-2863477.28</v>
          </cell>
        </row>
        <row r="981">
          <cell r="C981">
            <v>23501570</v>
          </cell>
          <cell r="D981" t="str">
            <v>GA0B5</v>
          </cell>
          <cell r="E981" t="str">
            <v>Hdfc Bank Ltd. - 0030340015511</v>
          </cell>
          <cell r="F981" t="str">
            <v>ABANKC</v>
          </cell>
          <cell r="G981">
            <v>-12771739.18</v>
          </cell>
          <cell r="K981">
            <v>-12771739.18</v>
          </cell>
        </row>
        <row r="982">
          <cell r="C982">
            <v>23511050</v>
          </cell>
          <cell r="D982" t="str">
            <v>GA00B598</v>
          </cell>
          <cell r="E982" t="str">
            <v>UTI Bank Gurgaon 392010200001687</v>
          </cell>
          <cell r="F982" t="str">
            <v>ABANKC</v>
          </cell>
          <cell r="G982">
            <v>1338563.05</v>
          </cell>
          <cell r="K982">
            <v>1338563.05</v>
          </cell>
        </row>
        <row r="983">
          <cell r="C983">
            <v>23505370</v>
          </cell>
          <cell r="D983" t="str">
            <v>GL1019</v>
          </cell>
          <cell r="E983" t="str">
            <v>0030130000080-HDFC ACCOUNT ISL</v>
          </cell>
          <cell r="F983" t="str">
            <v>ABANKC</v>
          </cell>
          <cell r="G983">
            <v>-26919703.949999999</v>
          </cell>
          <cell r="K983">
            <v>-26919703.949999999</v>
          </cell>
        </row>
        <row r="984">
          <cell r="C984">
            <v>23505270</v>
          </cell>
          <cell r="D984" t="str">
            <v>GA00B77</v>
          </cell>
          <cell r="E984" t="str">
            <v>Indusland Bank 5109794060</v>
          </cell>
          <cell r="F984" t="str">
            <v>ABANKC</v>
          </cell>
          <cell r="G984">
            <v>1803038.04</v>
          </cell>
          <cell r="K984">
            <v>1803038.04</v>
          </cell>
        </row>
        <row r="985">
          <cell r="C985">
            <v>23505210</v>
          </cell>
          <cell r="D985" t="str">
            <v>GA00B11</v>
          </cell>
          <cell r="E985" t="str">
            <v>Uti Bank (Delhi) 7010200009867</v>
          </cell>
          <cell r="F985" t="str">
            <v>ABANKC</v>
          </cell>
          <cell r="G985">
            <v>9907103.6199999992</v>
          </cell>
          <cell r="K985">
            <v>9907103.6199999992</v>
          </cell>
        </row>
        <row r="986">
          <cell r="C986">
            <v>23505190</v>
          </cell>
          <cell r="D986" t="str">
            <v>GA00B28</v>
          </cell>
          <cell r="E986" t="str">
            <v>Citi Bank (Delhi) 421751226</v>
          </cell>
          <cell r="F986" t="str">
            <v>ABANKC</v>
          </cell>
          <cell r="G986">
            <v>310031.49</v>
          </cell>
          <cell r="K986">
            <v>310031.49</v>
          </cell>
        </row>
        <row r="987">
          <cell r="C987">
            <v>23505300</v>
          </cell>
          <cell r="D987" t="str">
            <v>GA00B191</v>
          </cell>
          <cell r="E987" t="str">
            <v>Union Bank Of India - Client A/C 101917312</v>
          </cell>
          <cell r="F987" t="str">
            <v>ABANKC</v>
          </cell>
          <cell r="G987">
            <v>2243071.86</v>
          </cell>
          <cell r="K987">
            <v>2243071.86</v>
          </cell>
        </row>
        <row r="988">
          <cell r="C988">
            <v>23505440</v>
          </cell>
          <cell r="D988" t="str">
            <v>GA00B153</v>
          </cell>
          <cell r="E988" t="str">
            <v>Bank Of Rajasthan (113762)</v>
          </cell>
          <cell r="F988" t="str">
            <v>ABANKC</v>
          </cell>
          <cell r="G988">
            <v>1962235.86</v>
          </cell>
          <cell r="K988">
            <v>1962235.86</v>
          </cell>
        </row>
        <row r="989">
          <cell r="C989">
            <v>23505360</v>
          </cell>
          <cell r="D989" t="str">
            <v>GA00B250</v>
          </cell>
          <cell r="E989" t="str">
            <v>Pnb A/C No.   1988002100183894</v>
          </cell>
          <cell r="F989" t="str">
            <v>ABANKC</v>
          </cell>
          <cell r="G989">
            <v>350917.7</v>
          </cell>
          <cell r="K989">
            <v>350917.7</v>
          </cell>
        </row>
        <row r="990">
          <cell r="C990">
            <v>23505380</v>
          </cell>
          <cell r="D990" t="str">
            <v>GA00B10</v>
          </cell>
          <cell r="E990" t="str">
            <v>Standard Charter (Vasant) 523-0-513377-9</v>
          </cell>
          <cell r="F990" t="str">
            <v>ABANKC</v>
          </cell>
          <cell r="G990">
            <v>161520.79999999999</v>
          </cell>
          <cell r="K990">
            <v>161520.79999999999</v>
          </cell>
        </row>
        <row r="991">
          <cell r="C991">
            <v>23505260</v>
          </cell>
          <cell r="D991" t="str">
            <v>GA00B73</v>
          </cell>
          <cell r="E991" t="str">
            <v>Idbi 102000015075</v>
          </cell>
          <cell r="F991" t="str">
            <v>ABANKC</v>
          </cell>
          <cell r="G991">
            <v>1692568.71</v>
          </cell>
          <cell r="K991">
            <v>1692568.71</v>
          </cell>
        </row>
        <row r="992">
          <cell r="C992">
            <v>23505240</v>
          </cell>
          <cell r="D992" t="str">
            <v>GA00B71</v>
          </cell>
          <cell r="E992" t="str">
            <v>Abn Amro Bank- A/C 6518796</v>
          </cell>
          <cell r="F992" t="str">
            <v>ABANKC</v>
          </cell>
          <cell r="G992">
            <v>21342.49</v>
          </cell>
          <cell r="K992">
            <v>21342.49</v>
          </cell>
        </row>
        <row r="993">
          <cell r="C993">
            <v>23500270</v>
          </cell>
          <cell r="D993" t="str">
            <v>GA00B131</v>
          </cell>
          <cell r="E993" t="str">
            <v>Ing Vysya Bank 503011007955</v>
          </cell>
          <cell r="F993" t="str">
            <v>ABANKC</v>
          </cell>
          <cell r="G993">
            <v>1643596.52</v>
          </cell>
          <cell r="K993">
            <v>1643596.52</v>
          </cell>
        </row>
        <row r="994">
          <cell r="C994">
            <v>23505280</v>
          </cell>
          <cell r="D994" t="str">
            <v>GA00B146</v>
          </cell>
          <cell r="E994" t="str">
            <v>Karur Vysya Bank 410112700000020</v>
          </cell>
          <cell r="F994" t="str">
            <v>ABANKC</v>
          </cell>
          <cell r="G994">
            <v>1983882.65</v>
          </cell>
          <cell r="K994">
            <v>1983882.65</v>
          </cell>
        </row>
        <row r="995">
          <cell r="C995">
            <v>23505350</v>
          </cell>
          <cell r="D995" t="str">
            <v>GA00B183</v>
          </cell>
          <cell r="E995" t="str">
            <v>Syndicate Bank 90363050000067</v>
          </cell>
          <cell r="F995" t="str">
            <v>ABANKC</v>
          </cell>
          <cell r="G995">
            <v>1249998.72</v>
          </cell>
          <cell r="K995">
            <v>1249998.72</v>
          </cell>
        </row>
        <row r="996">
          <cell r="C996">
            <v>23505230</v>
          </cell>
          <cell r="D996" t="str">
            <v>GA00B109</v>
          </cell>
          <cell r="E996" t="str">
            <v>Hsbc 51895951001</v>
          </cell>
          <cell r="F996" t="str">
            <v>ABANKC</v>
          </cell>
          <cell r="G996">
            <v>1593534.42</v>
          </cell>
          <cell r="K996">
            <v>1593534.42</v>
          </cell>
        </row>
        <row r="997">
          <cell r="C997">
            <v>23505310</v>
          </cell>
          <cell r="D997" t="str">
            <v>GA00B67</v>
          </cell>
          <cell r="E997" t="str">
            <v>Bank Of Punjab Ltd 112099017 Blocked</v>
          </cell>
          <cell r="F997" t="str">
            <v>ABANKC</v>
          </cell>
          <cell r="G997">
            <v>0</v>
          </cell>
          <cell r="K997">
            <v>0</v>
          </cell>
        </row>
        <row r="998">
          <cell r="C998">
            <v>23511750</v>
          </cell>
          <cell r="D998" t="str">
            <v>GA00B603</v>
          </cell>
          <cell r="E998" t="str">
            <v>AXIS Bank 007010200049799</v>
          </cell>
          <cell r="F998" t="str">
            <v>ABANKC</v>
          </cell>
          <cell r="G998">
            <v>46149759.780000001</v>
          </cell>
          <cell r="K998">
            <v>46149759.780000001</v>
          </cell>
        </row>
        <row r="999">
          <cell r="C999">
            <v>23520890</v>
          </cell>
          <cell r="E999" t="str">
            <v>HDFC BANK '0030340025525</v>
          </cell>
          <cell r="F999" t="str">
            <v>ABANKC</v>
          </cell>
          <cell r="G999">
            <v>21710.34</v>
          </cell>
          <cell r="K999">
            <v>21710.34</v>
          </cell>
        </row>
        <row r="1000">
          <cell r="C1000">
            <v>23505250</v>
          </cell>
          <cell r="D1000" t="str">
            <v>GA00B84</v>
          </cell>
          <cell r="E1000" t="str">
            <v>Canara Bank (2309, Shimoga Branch Only)</v>
          </cell>
          <cell r="F1000" t="str">
            <v>ABANKC</v>
          </cell>
          <cell r="G1000">
            <v>648609.22</v>
          </cell>
          <cell r="K1000">
            <v>648609.22</v>
          </cell>
        </row>
        <row r="1001">
          <cell r="C1001">
            <v>23510510</v>
          </cell>
          <cell r="D1001" t="str">
            <v>GA00B507</v>
          </cell>
          <cell r="E1001" t="str">
            <v>ISL BANK OF INDIA(600320110000136)</v>
          </cell>
          <cell r="F1001" t="str">
            <v>ABANKC</v>
          </cell>
          <cell r="G1001">
            <v>276190</v>
          </cell>
          <cell r="K1001">
            <v>276190</v>
          </cell>
        </row>
        <row r="1002">
          <cell r="C1002">
            <v>23505330</v>
          </cell>
          <cell r="D1002" t="str">
            <v>GA00B164</v>
          </cell>
          <cell r="E1002" t="str">
            <v>Andhra Bank - 93286</v>
          </cell>
          <cell r="F1002" t="str">
            <v>ABANKC</v>
          </cell>
          <cell r="G1002">
            <v>579861.32999999996</v>
          </cell>
          <cell r="K1002">
            <v>579861.32999999996</v>
          </cell>
        </row>
        <row r="1003">
          <cell r="C1003">
            <v>23505460</v>
          </cell>
          <cell r="D1003" t="str">
            <v>GA00B265</v>
          </cell>
          <cell r="E1003" t="str">
            <v>Cenutrion Bank Of Punjab A/C No 0011422384061</v>
          </cell>
          <cell r="F1003" t="str">
            <v>ABANKC</v>
          </cell>
          <cell r="G1003">
            <v>78642.95</v>
          </cell>
          <cell r="K1003">
            <v>78642.95</v>
          </cell>
        </row>
        <row r="1004">
          <cell r="C1004">
            <v>23520860</v>
          </cell>
          <cell r="D1004" t="str">
            <v>GA00B606</v>
          </cell>
          <cell r="E1004" t="str">
            <v>00030340033633 (Client a\c)  HDFC BANK A/C</v>
          </cell>
          <cell r="F1004" t="str">
            <v>ABANKC</v>
          </cell>
          <cell r="G1004">
            <v>10000</v>
          </cell>
          <cell r="K1004">
            <v>10000</v>
          </cell>
        </row>
        <row r="1005">
          <cell r="C1005">
            <v>23501420</v>
          </cell>
          <cell r="D1005" t="str">
            <v>GA00B64</v>
          </cell>
          <cell r="E1005" t="str">
            <v>1010340000329 Hdfc Bank</v>
          </cell>
          <cell r="F1005" t="str">
            <v>ABANKC</v>
          </cell>
          <cell r="G1005">
            <v>43293.59</v>
          </cell>
          <cell r="K1005">
            <v>43293.59</v>
          </cell>
        </row>
        <row r="1006">
          <cell r="C1006">
            <v>23500630</v>
          </cell>
          <cell r="D1006" t="str">
            <v>GA00B101</v>
          </cell>
          <cell r="E1006" t="str">
            <v>Punjab National Bank (5148)</v>
          </cell>
          <cell r="F1006" t="str">
            <v>ABANKC</v>
          </cell>
          <cell r="G1006">
            <v>0</v>
          </cell>
          <cell r="K1006">
            <v>0</v>
          </cell>
        </row>
        <row r="1007">
          <cell r="C1007">
            <v>23505340</v>
          </cell>
          <cell r="D1007" t="str">
            <v>GYESB</v>
          </cell>
          <cell r="E1007" t="str">
            <v>Yes Bank 000281300000076</v>
          </cell>
          <cell r="F1007" t="str">
            <v>ABANKC</v>
          </cell>
          <cell r="G1007">
            <v>0</v>
          </cell>
          <cell r="K1007">
            <v>0</v>
          </cell>
        </row>
        <row r="1008">
          <cell r="C1008">
            <v>23505130</v>
          </cell>
          <cell r="D1008" t="str">
            <v>GA00B492</v>
          </cell>
          <cell r="E1008" t="str">
            <v>Union Bank Of India ( 1804 Jalana Branch)Closed</v>
          </cell>
          <cell r="F1008" t="str">
            <v>ABANKC</v>
          </cell>
          <cell r="G1008">
            <v>0</v>
          </cell>
          <cell r="K1008">
            <v>0</v>
          </cell>
        </row>
        <row r="1009">
          <cell r="C1009">
            <v>23505390</v>
          </cell>
          <cell r="D1009" t="str">
            <v>GA0OD</v>
          </cell>
          <cell r="E1009" t="str">
            <v>Citi Bank 67352227 (Closed)</v>
          </cell>
          <cell r="F1009" t="str">
            <v>ABANKC</v>
          </cell>
          <cell r="G1009">
            <v>0</v>
          </cell>
          <cell r="K1009">
            <v>0</v>
          </cell>
        </row>
        <row r="1010">
          <cell r="C1010">
            <v>23504800</v>
          </cell>
          <cell r="D1010" t="str">
            <v>GA00B545</v>
          </cell>
          <cell r="E1010" t="str">
            <v>BOI(FATEH PUR BRANCH ONLY)696520100000223(CLOSED)</v>
          </cell>
          <cell r="F1010" t="str">
            <v>ABANKC</v>
          </cell>
          <cell r="G1010">
            <v>0</v>
          </cell>
          <cell r="K1010">
            <v>0</v>
          </cell>
        </row>
        <row r="1011">
          <cell r="C1011">
            <v>23520910</v>
          </cell>
          <cell r="E1011" t="str">
            <v>IDBI BANK 038102000010779</v>
          </cell>
          <cell r="F1011" t="str">
            <v>ABANKC</v>
          </cell>
          <cell r="G1011">
            <v>9998</v>
          </cell>
          <cell r="K1011">
            <v>9998</v>
          </cell>
        </row>
        <row r="1012">
          <cell r="C1012">
            <v>23520880</v>
          </cell>
          <cell r="E1012" t="str">
            <v>HDFC BANK 5982340005073</v>
          </cell>
          <cell r="F1012" t="str">
            <v>ABANKC</v>
          </cell>
          <cell r="G1012">
            <v>10000</v>
          </cell>
          <cell r="K1012">
            <v>10000</v>
          </cell>
        </row>
        <row r="1013">
          <cell r="C1013">
            <v>23520900</v>
          </cell>
          <cell r="E1013" t="str">
            <v>ICICI BANK  000705017636</v>
          </cell>
          <cell r="F1013" t="str">
            <v>ABANKC</v>
          </cell>
          <cell r="G1013">
            <v>0</v>
          </cell>
          <cell r="K1013">
            <v>0</v>
          </cell>
        </row>
        <row r="1014">
          <cell r="C1014">
            <v>23505400</v>
          </cell>
          <cell r="D1014" t="str">
            <v>GA0B3</v>
          </cell>
          <cell r="E1014" t="str">
            <v>Hdfc (Delhi)- 00030340000657</v>
          </cell>
          <cell r="F1014" t="str">
            <v>ABANKC</v>
          </cell>
          <cell r="G1014">
            <v>12791739.199999999</v>
          </cell>
          <cell r="K1014">
            <v>12791739.199999999</v>
          </cell>
        </row>
        <row r="1015">
          <cell r="C1015">
            <v>23505470</v>
          </cell>
          <cell r="D1015" t="str">
            <v>GA00B4</v>
          </cell>
          <cell r="E1015" t="str">
            <v>0990650000155  Hdfc  Bank</v>
          </cell>
          <cell r="F1015" t="str">
            <v>ABANKED</v>
          </cell>
          <cell r="G1015">
            <v>4824990</v>
          </cell>
          <cell r="K1015">
            <v>4824990</v>
          </cell>
        </row>
        <row r="1016">
          <cell r="C1016">
            <v>23520850</v>
          </cell>
          <cell r="E1016" t="str">
            <v>00990630003199 (Settlement a\c ) HDFC BANK A\C</v>
          </cell>
          <cell r="F1016" t="str">
            <v>ABANKS</v>
          </cell>
          <cell r="G1016">
            <v>1201947.5</v>
          </cell>
          <cell r="K1016">
            <v>1201947.5</v>
          </cell>
        </row>
        <row r="1017">
          <cell r="C1017">
            <v>23505490</v>
          </cell>
          <cell r="D1017" t="str">
            <v>GA00B125</v>
          </cell>
          <cell r="E1017" t="str">
            <v>Icici Bank - Bse Clearing Account 000405019074</v>
          </cell>
          <cell r="F1017" t="str">
            <v>ABANKS</v>
          </cell>
          <cell r="G1017">
            <v>1687002</v>
          </cell>
          <cell r="K1017">
            <v>1687002</v>
          </cell>
        </row>
        <row r="1018">
          <cell r="C1018">
            <v>23505500</v>
          </cell>
          <cell r="D1018" t="str">
            <v>GA00B1</v>
          </cell>
          <cell r="E1018" t="str">
            <v>Hdfc Bank (246 Clearing A/C 02) 990610000246</v>
          </cell>
          <cell r="F1018" t="str">
            <v>ABANKS</v>
          </cell>
          <cell r="G1018">
            <v>48871330.810000002</v>
          </cell>
          <cell r="K1018">
            <v>48871330.810000002</v>
          </cell>
        </row>
        <row r="1019">
          <cell r="C1019">
            <v>23505480</v>
          </cell>
          <cell r="D1019" t="str">
            <v>GA00B81</v>
          </cell>
          <cell r="E1019" t="str">
            <v>Hdfc F&amp;O Clearing (0990630001246)</v>
          </cell>
          <cell r="F1019" t="str">
            <v>ABANKS</v>
          </cell>
          <cell r="G1019">
            <v>21502447.600000001</v>
          </cell>
          <cell r="K1019">
            <v>21502447.600000001</v>
          </cell>
        </row>
        <row r="1020">
          <cell r="C1020">
            <v>23515020</v>
          </cell>
          <cell r="E1020" t="str">
            <v>ISL-HDFC Bank Ltd. A/C (Jalgaon ON)</v>
          </cell>
          <cell r="F1020" t="str">
            <v>ABANKC</v>
          </cell>
          <cell r="G1020">
            <v>10000</v>
          </cell>
          <cell r="K1020">
            <v>10000</v>
          </cell>
        </row>
        <row r="1022">
          <cell r="E1022" t="str">
            <v>CURRENT ASSETS- FDR</v>
          </cell>
        </row>
        <row r="1023">
          <cell r="C1023">
            <v>23510570</v>
          </cell>
          <cell r="D1023" t="str">
            <v>GFDR</v>
          </cell>
          <cell r="E1023" t="str">
            <v>FDR GENERAL</v>
          </cell>
          <cell r="F1023" t="str">
            <v>AFDR</v>
          </cell>
          <cell r="G1023">
            <v>4753620941.75</v>
          </cell>
          <cell r="K1023">
            <v>4753620941.75</v>
          </cell>
        </row>
        <row r="1024">
          <cell r="C1024">
            <v>23510550</v>
          </cell>
          <cell r="D1024" t="str">
            <v>GA00BG</v>
          </cell>
          <cell r="E1024" t="str">
            <v>FDR FOR BANK GUARANTEE</v>
          </cell>
          <cell r="F1024" t="str">
            <v>AFDR</v>
          </cell>
          <cell r="G1024">
            <v>0</v>
          </cell>
          <cell r="K1024">
            <v>0</v>
          </cell>
        </row>
        <row r="1025">
          <cell r="C1025">
            <v>23512660</v>
          </cell>
          <cell r="E1025" t="str">
            <v xml:space="preserve"> FDR for NSCCL F &amp; O SEG.</v>
          </cell>
          <cell r="F1025" t="str">
            <v>AFDR</v>
          </cell>
          <cell r="G1025">
            <v>0</v>
          </cell>
          <cell r="K1025">
            <v>0</v>
          </cell>
        </row>
        <row r="1026">
          <cell r="C1026">
            <v>23511760</v>
          </cell>
          <cell r="E1026" t="str">
            <v>Fixed Deposit Against OD</v>
          </cell>
          <cell r="F1026" t="str">
            <v>AFDR</v>
          </cell>
          <cell r="G1026">
            <v>0</v>
          </cell>
          <cell r="K1026">
            <v>0</v>
          </cell>
        </row>
        <row r="1027">
          <cell r="C1027">
            <v>23510560</v>
          </cell>
          <cell r="D1027" t="str">
            <v>GA00NSC</v>
          </cell>
          <cell r="E1027" t="str">
            <v>FDR FOR NSCCL  ARBITRAGE</v>
          </cell>
          <cell r="F1027" t="str">
            <v>AFDR</v>
          </cell>
          <cell r="G1027">
            <v>0</v>
          </cell>
          <cell r="K1027">
            <v>0</v>
          </cell>
        </row>
        <row r="1028">
          <cell r="C1028">
            <v>24510005</v>
          </cell>
          <cell r="E1028" t="str">
            <v>FDR NSCCL Currency Derivative</v>
          </cell>
          <cell r="F1028" t="str">
            <v>AFDR</v>
          </cell>
          <cell r="G1028">
            <v>0</v>
          </cell>
          <cell r="K1028">
            <v>0</v>
          </cell>
        </row>
        <row r="1030">
          <cell r="E1030" t="str">
            <v>CURRENT ASSETS- INTT. ACCRUED BUT NOT DUE</v>
          </cell>
        </row>
        <row r="1031">
          <cell r="C1031">
            <v>90000265</v>
          </cell>
          <cell r="D1031" t="str">
            <v>GINRE</v>
          </cell>
          <cell r="E1031" t="str">
            <v>INTEREST RECEIVABLE ON FDR</v>
          </cell>
          <cell r="F1031" t="str">
            <v>AINTA</v>
          </cell>
          <cell r="G1031">
            <v>55993436.57</v>
          </cell>
          <cell r="K1031">
            <v>55993436.57</v>
          </cell>
        </row>
        <row r="1033">
          <cell r="E1033" t="str">
            <v>LOANS &amp; ADVANCES - ARCK</v>
          </cell>
        </row>
        <row r="1034">
          <cell r="C1034">
            <v>24710123</v>
          </cell>
          <cell r="D1034" t="str">
            <v>GE0024A</v>
          </cell>
          <cell r="E1034" t="str">
            <v>Advance For Expense</v>
          </cell>
          <cell r="F1034" t="str">
            <v>ADVAN</v>
          </cell>
          <cell r="G1034">
            <v>119755</v>
          </cell>
          <cell r="K1034">
            <v>119755</v>
          </cell>
        </row>
        <row r="1035">
          <cell r="C1035">
            <v>24710900</v>
          </cell>
          <cell r="E1035" t="str">
            <v>Advance for New Company Incorporated</v>
          </cell>
          <cell r="F1035" t="str">
            <v>ADVAN</v>
          </cell>
          <cell r="G1035">
            <v>0</v>
          </cell>
          <cell r="K1035">
            <v>0</v>
          </cell>
        </row>
        <row r="1036">
          <cell r="C1036">
            <v>24710114</v>
          </cell>
          <cell r="E1036" t="str">
            <v>SALARY ADVANCE</v>
          </cell>
          <cell r="F1036" t="str">
            <v>ADVAN</v>
          </cell>
          <cell r="G1036">
            <v>234475.87</v>
          </cell>
          <cell r="K1036">
            <v>234475.87</v>
          </cell>
        </row>
        <row r="1037">
          <cell r="C1037">
            <v>24710071</v>
          </cell>
          <cell r="D1037" t="str">
            <v>GA0024</v>
          </cell>
          <cell r="E1037" t="str">
            <v>Staff Advance</v>
          </cell>
          <cell r="F1037" t="str">
            <v>ADVAN</v>
          </cell>
          <cell r="G1037">
            <v>0</v>
          </cell>
          <cell r="K1037">
            <v>0</v>
          </cell>
        </row>
        <row r="1038">
          <cell r="C1038">
            <v>24710721</v>
          </cell>
          <cell r="D1038" t="str">
            <v>GL14</v>
          </cell>
          <cell r="E1038" t="str">
            <v>AMT RECOVERABLE FROM AMITESHWAR CHOUDHARY</v>
          </cell>
          <cell r="F1038" t="str">
            <v>ADVAN</v>
          </cell>
          <cell r="G1038">
            <v>85000</v>
          </cell>
          <cell r="K1038">
            <v>85000</v>
          </cell>
        </row>
        <row r="1040">
          <cell r="C1040">
            <v>24700043</v>
          </cell>
          <cell r="E1040" t="str">
            <v>Vendors Balances - Advance Against Salary</v>
          </cell>
          <cell r="F1040" t="str">
            <v>ADVAN</v>
          </cell>
          <cell r="G1040">
            <v>418986</v>
          </cell>
          <cell r="K1040">
            <v>418986</v>
          </cell>
        </row>
        <row r="1041">
          <cell r="C1041">
            <v>24700046</v>
          </cell>
          <cell r="E1041" t="str">
            <v>Vendors Balances - Others Advances to Employees</v>
          </cell>
          <cell r="F1041" t="str">
            <v>ADVAN</v>
          </cell>
          <cell r="G1041">
            <v>49024</v>
          </cell>
          <cell r="K1041">
            <v>49024</v>
          </cell>
        </row>
        <row r="1042">
          <cell r="C1042">
            <v>24700037</v>
          </cell>
          <cell r="E1042" t="str">
            <v>Vendors Balances-Against Advance for Interior</v>
          </cell>
          <cell r="F1042" t="str">
            <v>ADVAN</v>
          </cell>
          <cell r="G1042">
            <v>969592</v>
          </cell>
          <cell r="K1042">
            <v>969592</v>
          </cell>
        </row>
        <row r="1043">
          <cell r="C1043">
            <v>24700041</v>
          </cell>
          <cell r="E1043" t="str">
            <v>Vendors Balances-Other Vendor Advances</v>
          </cell>
          <cell r="F1043" t="str">
            <v>ADVAN</v>
          </cell>
          <cell r="G1043">
            <v>26769992.100000001</v>
          </cell>
          <cell r="K1043">
            <v>26769992.100000001</v>
          </cell>
        </row>
        <row r="1044">
          <cell r="C1044">
            <v>24710070</v>
          </cell>
          <cell r="D1044" t="str">
            <v>GPRIC</v>
          </cell>
          <cell r="E1044" t="str">
            <v>Vendors -Provision for Incentives</v>
          </cell>
          <cell r="F1044" t="str">
            <v>ADVAN</v>
          </cell>
          <cell r="G1044">
            <v>0</v>
          </cell>
          <cell r="K1044">
            <v>0</v>
          </cell>
        </row>
        <row r="1046">
          <cell r="C1046">
            <v>24710130</v>
          </cell>
          <cell r="D1046" t="str">
            <v>GADPR</v>
          </cell>
          <cell r="E1046" t="str">
            <v>D.P INCOME RECEIVABLE</v>
          </cell>
          <cell r="F1046" t="str">
            <v>ADVAN</v>
          </cell>
          <cell r="G1046">
            <v>0</v>
          </cell>
          <cell r="K1046">
            <v>0</v>
          </cell>
        </row>
        <row r="1047">
          <cell r="C1047">
            <v>24700011</v>
          </cell>
          <cell r="D1047" t="str">
            <v>GSNSE</v>
          </cell>
          <cell r="E1047" t="str">
            <v>TDS - NSE GSNSE</v>
          </cell>
          <cell r="F1047" t="str">
            <v>ADVAN</v>
          </cell>
          <cell r="G1047">
            <v>1445894</v>
          </cell>
          <cell r="K1047">
            <v>1445894</v>
          </cell>
        </row>
        <row r="1048">
          <cell r="C1048">
            <v>24700010</v>
          </cell>
          <cell r="D1048" t="str">
            <v>GSBSE</v>
          </cell>
          <cell r="E1048" t="str">
            <v>TDS BSE -GBSE</v>
          </cell>
          <cell r="F1048" t="str">
            <v>ADVAN</v>
          </cell>
          <cell r="G1048">
            <v>148290</v>
          </cell>
          <cell r="K1048">
            <v>148290</v>
          </cell>
        </row>
        <row r="1050">
          <cell r="C1050">
            <v>24710724</v>
          </cell>
          <cell r="D1050" t="str">
            <v>GLMRGN</v>
          </cell>
          <cell r="E1050" t="str">
            <v>ERROR ACCOUNT</v>
          </cell>
          <cell r="F1050" t="str">
            <v>ADVAN</v>
          </cell>
          <cell r="G1050">
            <v>0</v>
          </cell>
          <cell r="K1050">
            <v>0</v>
          </cell>
        </row>
        <row r="1052">
          <cell r="C1052">
            <v>24710815</v>
          </cell>
          <cell r="E1052" t="str">
            <v>Excise Duty 16.48% and 12.5% CST on 116.48% (NonM)</v>
          </cell>
          <cell r="F1052" t="str">
            <v>ADVAN</v>
          </cell>
          <cell r="G1052">
            <v>0</v>
          </cell>
          <cell r="K1052">
            <v>0</v>
          </cell>
        </row>
        <row r="1053">
          <cell r="C1053">
            <v>24710790</v>
          </cell>
          <cell r="E1053" t="str">
            <v>Higher &amp; Secondory Education Cess BED 1%</v>
          </cell>
          <cell r="F1053" t="str">
            <v>ADVAN</v>
          </cell>
          <cell r="G1053">
            <v>61150.79</v>
          </cell>
          <cell r="K1053">
            <v>61150.79</v>
          </cell>
        </row>
        <row r="1054">
          <cell r="C1054">
            <v>24710073</v>
          </cell>
          <cell r="E1054" t="str">
            <v>Input  Service Tax Clearing Modvatable 4.12%</v>
          </cell>
          <cell r="F1054" t="str">
            <v>ADVAN</v>
          </cell>
          <cell r="G1054">
            <v>0</v>
          </cell>
          <cell r="K1054">
            <v>0</v>
          </cell>
        </row>
        <row r="1055">
          <cell r="C1055">
            <v>24710061</v>
          </cell>
          <cell r="E1055" t="str">
            <v>Input Service Tax Clearing</v>
          </cell>
          <cell r="F1055" t="str">
            <v>ADVAN</v>
          </cell>
          <cell r="G1055">
            <v>0</v>
          </cell>
          <cell r="K1055">
            <v>0</v>
          </cell>
        </row>
        <row r="1056">
          <cell r="C1056">
            <v>24710791</v>
          </cell>
          <cell r="E1056" t="str">
            <v>Input Service Tax Clearing 12.36% and 4% VAT(NonM)</v>
          </cell>
          <cell r="F1056" t="str">
            <v>ADVAN</v>
          </cell>
          <cell r="G1056">
            <v>0</v>
          </cell>
          <cell r="K1056">
            <v>0</v>
          </cell>
        </row>
        <row r="1057">
          <cell r="C1057">
            <v>24710087</v>
          </cell>
          <cell r="E1057" t="str">
            <v>Input Service Tax Clearing 3.06%</v>
          </cell>
          <cell r="F1057" t="str">
            <v>ADVAN</v>
          </cell>
          <cell r="G1057">
            <v>0</v>
          </cell>
          <cell r="K1057">
            <v>0</v>
          </cell>
        </row>
        <row r="1058">
          <cell r="C1058">
            <v>24710936</v>
          </cell>
          <cell r="E1058" t="str">
            <v>Input Service Tax Clearing 3.09%</v>
          </cell>
          <cell r="F1058" t="str">
            <v>ADVAN</v>
          </cell>
          <cell r="G1058">
            <v>0</v>
          </cell>
          <cell r="K1058">
            <v>0</v>
          </cell>
        </row>
        <row r="1059">
          <cell r="C1059">
            <v>24710063</v>
          </cell>
          <cell r="E1059" t="str">
            <v>Input Service Tax Clearing 4.08%</v>
          </cell>
          <cell r="F1059" t="str">
            <v>ADVAN</v>
          </cell>
          <cell r="G1059">
            <v>0</v>
          </cell>
          <cell r="K1059">
            <v>0</v>
          </cell>
        </row>
        <row r="1060">
          <cell r="C1060">
            <v>24710816</v>
          </cell>
          <cell r="E1060" t="str">
            <v>Input Service Tax Clg 12.36% and 3% CST(Non M)</v>
          </cell>
          <cell r="F1060" t="str">
            <v>ADVAN</v>
          </cell>
          <cell r="G1060">
            <v>0</v>
          </cell>
          <cell r="K1060">
            <v>0</v>
          </cell>
        </row>
        <row r="1061">
          <cell r="C1061">
            <v>24710783</v>
          </cell>
          <cell r="E1061" t="str">
            <v>Input ST12.36% Of 33 % of Invoice Value</v>
          </cell>
          <cell r="F1061" t="str">
            <v>ADVAN</v>
          </cell>
          <cell r="G1061">
            <v>0</v>
          </cell>
          <cell r="K1061">
            <v>0</v>
          </cell>
        </row>
        <row r="1062">
          <cell r="C1062">
            <v>24710784</v>
          </cell>
          <cell r="E1062" t="str">
            <v>Input ST12.36% Of 80 % of Invoice Value</v>
          </cell>
          <cell r="F1062" t="str">
            <v>ADVAN</v>
          </cell>
          <cell r="G1062">
            <v>0</v>
          </cell>
          <cell r="K1062">
            <v>0</v>
          </cell>
        </row>
        <row r="1063">
          <cell r="C1063">
            <v>24710793</v>
          </cell>
          <cell r="E1063" t="str">
            <v>Input STax Cl 12.36% and 4% VAT on 112.36 (NonM)</v>
          </cell>
          <cell r="F1063" t="str">
            <v>ADVAN</v>
          </cell>
          <cell r="G1063">
            <v>0</v>
          </cell>
          <cell r="K1063">
            <v>0</v>
          </cell>
        </row>
        <row r="1064">
          <cell r="C1064">
            <v>24710827</v>
          </cell>
          <cell r="E1064" t="str">
            <v>Modvatable Input Service Tax Clearing 10.30%</v>
          </cell>
          <cell r="F1064" t="str">
            <v>ADVAN</v>
          </cell>
          <cell r="G1064">
            <v>6679153.9199999999</v>
          </cell>
          <cell r="K1064">
            <v>6679153.9199999999</v>
          </cell>
        </row>
        <row r="1065">
          <cell r="C1065">
            <v>24710072</v>
          </cell>
          <cell r="E1065" t="str">
            <v>Modvatable Input Service Tax Clearing 12.36%</v>
          </cell>
          <cell r="F1065" t="str">
            <v>ADVAN</v>
          </cell>
          <cell r="G1065">
            <v>6924.5</v>
          </cell>
          <cell r="K1065">
            <v>6924.5</v>
          </cell>
        </row>
        <row r="1066">
          <cell r="C1066">
            <v>24710078</v>
          </cell>
          <cell r="E1066" t="str">
            <v>Service Tax Refund Claim 12.36%</v>
          </cell>
          <cell r="F1066" t="str">
            <v>ADVAN</v>
          </cell>
          <cell r="G1066">
            <v>0</v>
          </cell>
          <cell r="K1066">
            <v>0</v>
          </cell>
        </row>
        <row r="1067">
          <cell r="C1067">
            <v>24710108</v>
          </cell>
          <cell r="E1067" t="str">
            <v>Service Tax Refund Claim Manual</v>
          </cell>
          <cell r="F1067" t="str">
            <v>ADVAN</v>
          </cell>
          <cell r="G1067">
            <v>191746.07</v>
          </cell>
          <cell r="K1067">
            <v>191746.07</v>
          </cell>
        </row>
        <row r="1068">
          <cell r="C1068">
            <v>24710945</v>
          </cell>
          <cell r="E1068" t="str">
            <v>Service  Tax Reversal account.</v>
          </cell>
          <cell r="F1068" t="str">
            <v>ADVAN</v>
          </cell>
          <cell r="G1068">
            <v>0</v>
          </cell>
          <cell r="K1068">
            <v>0</v>
          </cell>
        </row>
        <row r="1069">
          <cell r="C1069">
            <v>24710129</v>
          </cell>
          <cell r="D1069" t="str">
            <v>GCESS</v>
          </cell>
          <cell r="E1069" t="str">
            <v>EDUCATION CESS</v>
          </cell>
          <cell r="F1069" t="str">
            <v>ADVAN</v>
          </cell>
          <cell r="G1069">
            <v>0</v>
          </cell>
          <cell r="K1069">
            <v>0</v>
          </cell>
        </row>
        <row r="1070">
          <cell r="C1070">
            <v>24710789</v>
          </cell>
          <cell r="E1070" t="str">
            <v>Education Cess BED 2%</v>
          </cell>
          <cell r="F1070" t="str">
            <v>ADVAN</v>
          </cell>
          <cell r="G1070">
            <v>122300.94</v>
          </cell>
          <cell r="K1070">
            <v>122300.94</v>
          </cell>
        </row>
        <row r="1071">
          <cell r="C1071">
            <v>24710156</v>
          </cell>
          <cell r="D1071" t="str">
            <v>GCESR</v>
          </cell>
          <cell r="E1071" t="str">
            <v>EDUCATION CESS RECEIVABLE</v>
          </cell>
          <cell r="F1071" t="str">
            <v>ADVAN</v>
          </cell>
          <cell r="G1071">
            <v>0</v>
          </cell>
          <cell r="K1071">
            <v>0</v>
          </cell>
        </row>
        <row r="1072">
          <cell r="C1072">
            <v>24710785</v>
          </cell>
          <cell r="E1072" t="str">
            <v>BED Modvatable 14%</v>
          </cell>
          <cell r="F1072" t="str">
            <v>ADVAN</v>
          </cell>
          <cell r="G1072">
            <v>0</v>
          </cell>
          <cell r="K1072">
            <v>0</v>
          </cell>
        </row>
        <row r="1073">
          <cell r="C1073">
            <v>24700069</v>
          </cell>
          <cell r="D1073" t="str">
            <v>GCENV</v>
          </cell>
          <cell r="E1073" t="str">
            <v>CENVAT REFUND CLAIM</v>
          </cell>
          <cell r="F1073" t="str">
            <v>ADVAN</v>
          </cell>
          <cell r="G1073">
            <v>104373.36</v>
          </cell>
          <cell r="K1073">
            <v>104373.36</v>
          </cell>
        </row>
        <row r="1074">
          <cell r="C1074">
            <v>24710131</v>
          </cell>
          <cell r="D1074" t="str">
            <v>GCENVR</v>
          </cell>
          <cell r="E1074" t="str">
            <v>CENVAT REFUND RECEIVABLE</v>
          </cell>
          <cell r="F1074" t="str">
            <v>ADVAN</v>
          </cell>
          <cell r="G1074">
            <v>0</v>
          </cell>
          <cell r="K1074">
            <v>0</v>
          </cell>
        </row>
        <row r="1076">
          <cell r="C1076">
            <v>24710726</v>
          </cell>
          <cell r="D1076" t="str">
            <v>GLMRGN</v>
          </cell>
          <cell r="E1076" t="str">
            <v>MAHESH  SEHGAL MARGIN</v>
          </cell>
          <cell r="F1076" t="str">
            <v>lscred</v>
          </cell>
          <cell r="G1076">
            <v>-5000</v>
          </cell>
          <cell r="K1076">
            <v>-5000</v>
          </cell>
        </row>
        <row r="1077">
          <cell r="C1077">
            <v>24710734</v>
          </cell>
          <cell r="D1077" t="str">
            <v>GLMRGN</v>
          </cell>
          <cell r="E1077" t="str">
            <v>PRO ACCOUNT</v>
          </cell>
          <cell r="F1077" t="str">
            <v>ADVAN</v>
          </cell>
          <cell r="G1077">
            <v>0</v>
          </cell>
          <cell r="K1077">
            <v>0</v>
          </cell>
        </row>
        <row r="1078">
          <cell r="C1078">
            <v>24710733</v>
          </cell>
          <cell r="D1078" t="str">
            <v>GLMRGN</v>
          </cell>
          <cell r="E1078" t="str">
            <v>N C JAIN MARGIN</v>
          </cell>
          <cell r="F1078" t="str">
            <v>ADVAN</v>
          </cell>
          <cell r="G1078">
            <v>500000</v>
          </cell>
          <cell r="K1078">
            <v>500000</v>
          </cell>
        </row>
        <row r="1079">
          <cell r="C1079">
            <v>24710735</v>
          </cell>
          <cell r="D1079" t="str">
            <v>GLMRGN</v>
          </cell>
          <cell r="E1079" t="str">
            <v>S P JAIN MARGIN</v>
          </cell>
          <cell r="F1079" t="str">
            <v>ADVAN</v>
          </cell>
          <cell r="G1079">
            <v>100000</v>
          </cell>
          <cell r="K1079">
            <v>100000</v>
          </cell>
        </row>
        <row r="1080">
          <cell r="C1080">
            <v>24710725</v>
          </cell>
          <cell r="D1080" t="str">
            <v>GLMRGN</v>
          </cell>
          <cell r="E1080" t="str">
            <v>KAVITA ROHATGI MARGIN</v>
          </cell>
          <cell r="F1080" t="str">
            <v>ADVAN</v>
          </cell>
          <cell r="G1080">
            <v>0</v>
          </cell>
          <cell r="K1080">
            <v>0</v>
          </cell>
        </row>
        <row r="1081">
          <cell r="C1081">
            <v>24710731</v>
          </cell>
          <cell r="D1081" t="str">
            <v>GLMRGN</v>
          </cell>
          <cell r="E1081" t="str">
            <v>MARGINS</v>
          </cell>
          <cell r="F1081" t="str">
            <v>ADVAN</v>
          </cell>
          <cell r="G1081">
            <v>0</v>
          </cell>
          <cell r="K1081">
            <v>0</v>
          </cell>
        </row>
        <row r="1082">
          <cell r="C1082">
            <v>24710935</v>
          </cell>
          <cell r="E1082" t="str">
            <v>MARGINS - N</v>
          </cell>
          <cell r="F1082" t="str">
            <v>ADVAN</v>
          </cell>
          <cell r="G1082">
            <v>4.0599999999999996</v>
          </cell>
          <cell r="K1082">
            <v>4.0599999999999996</v>
          </cell>
        </row>
        <row r="1084">
          <cell r="C1084">
            <v>24710060</v>
          </cell>
          <cell r="E1084" t="str">
            <v>Loan and Advances- Vendors ICD Given</v>
          </cell>
          <cell r="F1084" t="str">
            <v>ADVAN</v>
          </cell>
          <cell r="G1084">
            <v>0</v>
          </cell>
          <cell r="K1084">
            <v>0</v>
          </cell>
        </row>
        <row r="1085">
          <cell r="C1085">
            <v>24710109</v>
          </cell>
          <cell r="D1085" t="str">
            <v>GAIRC</v>
          </cell>
          <cell r="E1085" t="str">
            <v>Insurance Recoverable</v>
          </cell>
          <cell r="F1085" t="str">
            <v>ADVAN</v>
          </cell>
          <cell r="G1085">
            <v>0</v>
          </cell>
          <cell r="K1085">
            <v>0</v>
          </cell>
        </row>
        <row r="1087">
          <cell r="C1087">
            <v>24710110</v>
          </cell>
          <cell r="D1087" t="str">
            <v>GA0037</v>
          </cell>
          <cell r="E1087" t="str">
            <v>Prepaid Expenses</v>
          </cell>
          <cell r="F1087" t="str">
            <v>ADVAN</v>
          </cell>
          <cell r="G1087">
            <v>55326703.270000003</v>
          </cell>
          <cell r="K1087">
            <v>55326703.270000003</v>
          </cell>
        </row>
        <row r="1089">
          <cell r="C1089">
            <v>14890383</v>
          </cell>
          <cell r="D1089" t="str">
            <v>GL00116</v>
          </cell>
          <cell r="E1089" t="str">
            <v>PROV FOR DOUBTFUL ADVANCE</v>
          </cell>
          <cell r="F1089" t="str">
            <v>LOLIAB</v>
          </cell>
          <cell r="G1089">
            <v>-6507669.5</v>
          </cell>
          <cell r="K1089">
            <v>-6507669.5</v>
          </cell>
        </row>
        <row r="1091">
          <cell r="C1091">
            <v>24710126</v>
          </cell>
          <cell r="D1091" t="str">
            <v>GL05</v>
          </cell>
          <cell r="E1091" t="str">
            <v>AMITABH MISHRA LOAN A/C</v>
          </cell>
          <cell r="F1091" t="str">
            <v>ADVAN</v>
          </cell>
          <cell r="G1091">
            <v>100000</v>
          </cell>
          <cell r="K1091">
            <v>100000</v>
          </cell>
        </row>
        <row r="1092">
          <cell r="C1092">
            <v>24710722</v>
          </cell>
          <cell r="D1092" t="str">
            <v>GA0240</v>
          </cell>
          <cell r="E1092" t="str">
            <v>BIBHAS CHHAYA LOAN A/C</v>
          </cell>
          <cell r="F1092" t="str">
            <v>ADVAN</v>
          </cell>
          <cell r="G1092">
            <v>454750</v>
          </cell>
          <cell r="K1092">
            <v>454750</v>
          </cell>
        </row>
        <row r="1094">
          <cell r="C1094">
            <v>90000309</v>
          </cell>
          <cell r="E1094" t="str">
            <v>Sundry Debtrors -Customers (Others)</v>
          </cell>
          <cell r="F1094" t="str">
            <v>ADVAN</v>
          </cell>
          <cell r="G1094">
            <v>0</v>
          </cell>
          <cell r="K1094">
            <v>0</v>
          </cell>
        </row>
        <row r="1096">
          <cell r="E1096" t="str">
            <v>LOANS &amp; ADVANCES - SECURITY DEPOSIT - RENT</v>
          </cell>
        </row>
        <row r="1097">
          <cell r="C1097">
            <v>24710111</v>
          </cell>
          <cell r="E1097" t="str">
            <v>Security Deposit Rent</v>
          </cell>
          <cell r="F1097" t="str">
            <v>ASECUR</v>
          </cell>
          <cell r="G1097">
            <v>355614</v>
          </cell>
          <cell r="K1097">
            <v>355614</v>
          </cell>
        </row>
        <row r="1098">
          <cell r="C1098">
            <v>24710970</v>
          </cell>
          <cell r="E1098" t="str">
            <v>SECURITY DEPOSIT AVINASHI ROAD COIMBATORE</v>
          </cell>
          <cell r="F1098" t="str">
            <v>ASECUR</v>
          </cell>
          <cell r="G1098">
            <v>450000</v>
          </cell>
          <cell r="K1098">
            <v>450000</v>
          </cell>
        </row>
        <row r="1099">
          <cell r="C1099">
            <v>24710182</v>
          </cell>
          <cell r="D1099" t="str">
            <v>GASECJ</v>
          </cell>
          <cell r="E1099" t="str">
            <v>SECURITY DEPOSIT GAURAV TOWER MAINT. SOCIETY</v>
          </cell>
          <cell r="F1099" t="str">
            <v>ASECUR</v>
          </cell>
          <cell r="G1099">
            <v>33874.5</v>
          </cell>
          <cell r="K1099">
            <v>33874.5</v>
          </cell>
        </row>
        <row r="1100">
          <cell r="C1100">
            <v>24710196</v>
          </cell>
          <cell r="D1100" t="str">
            <v>GACALTG</v>
          </cell>
          <cell r="E1100" t="str">
            <v>SECURITY DEPOSIT-CALCUTTA TOLLYGANJ</v>
          </cell>
          <cell r="F1100" t="str">
            <v>ASECUR</v>
          </cell>
          <cell r="G1100">
            <v>6000</v>
          </cell>
          <cell r="K1100">
            <v>6000</v>
          </cell>
        </row>
        <row r="1101">
          <cell r="C1101">
            <v>24710807</v>
          </cell>
          <cell r="E1101" t="str">
            <v>Security Deposit of Amiteshwar Choudhary</v>
          </cell>
          <cell r="F1101" t="str">
            <v>ASECUR</v>
          </cell>
          <cell r="G1101">
            <v>0</v>
          </cell>
          <cell r="K1101">
            <v>0</v>
          </cell>
        </row>
        <row r="1102">
          <cell r="C1102">
            <v>24710650</v>
          </cell>
          <cell r="D1102" t="str">
            <v>GSECH</v>
          </cell>
          <cell r="E1102" t="str">
            <v>SECURITY FOR HAMILTON HOUSE - DELHI</v>
          </cell>
          <cell r="F1102" t="str">
            <v>ASECUR</v>
          </cell>
          <cell r="G1102">
            <v>4320000</v>
          </cell>
          <cell r="K1102">
            <v>4320000</v>
          </cell>
        </row>
        <row r="1103">
          <cell r="C1103">
            <v>24710410</v>
          </cell>
          <cell r="D1103" t="str">
            <v>GSEGARI</v>
          </cell>
          <cell r="E1103" t="str">
            <v>SECURITY DEPOSIT OF GARIAHAT KOLKATA</v>
          </cell>
          <cell r="F1103" t="str">
            <v>ASECUR</v>
          </cell>
          <cell r="G1103">
            <v>2214712</v>
          </cell>
          <cell r="K1103">
            <v>2214712</v>
          </cell>
        </row>
        <row r="1104">
          <cell r="C1104">
            <v>24710314</v>
          </cell>
          <cell r="D1104" t="str">
            <v>GAKOLK</v>
          </cell>
          <cell r="E1104" t="str">
            <v>SECURITY DEPOSIT KOLKATA</v>
          </cell>
          <cell r="F1104" t="str">
            <v>ASECUR</v>
          </cell>
          <cell r="G1104">
            <v>1915200</v>
          </cell>
          <cell r="K1104">
            <v>1915200</v>
          </cell>
        </row>
        <row r="1105">
          <cell r="C1105">
            <v>24710703</v>
          </cell>
          <cell r="D1105" t="str">
            <v>GSEBA</v>
          </cell>
          <cell r="E1105" t="str">
            <v>SERITY DEPOSIT FOR BANGALORE PREMISES (NEW)</v>
          </cell>
          <cell r="F1105" t="str">
            <v>ASECUR</v>
          </cell>
          <cell r="G1105">
            <v>1629120</v>
          </cell>
          <cell r="K1105">
            <v>1629120</v>
          </cell>
        </row>
        <row r="1106">
          <cell r="C1106">
            <v>24710240</v>
          </cell>
          <cell r="D1106" t="str">
            <v>GSEDA</v>
          </cell>
          <cell r="E1106" t="str">
            <v>SECURITY DEPOSIT DALHOUSIE</v>
          </cell>
          <cell r="F1106" t="str">
            <v>ASECUR</v>
          </cell>
          <cell r="G1106">
            <v>1620000</v>
          </cell>
          <cell r="K1106">
            <v>1620000</v>
          </cell>
        </row>
        <row r="1107">
          <cell r="C1107">
            <v>24710239</v>
          </cell>
          <cell r="D1107" t="str">
            <v>GACMB</v>
          </cell>
          <cell r="E1107" t="str">
            <v>SECURITY DEPOSIT COIMBATORE</v>
          </cell>
          <cell r="F1107" t="str">
            <v>ASECUR</v>
          </cell>
          <cell r="G1107">
            <v>1349698.19</v>
          </cell>
          <cell r="K1107">
            <v>1349698.19</v>
          </cell>
        </row>
        <row r="1108">
          <cell r="C1108">
            <v>24710497</v>
          </cell>
          <cell r="D1108" t="str">
            <v>GSENOI</v>
          </cell>
          <cell r="E1108" t="str">
            <v>SECURITY DEPOSIT OF NOIDA SECTOR 18</v>
          </cell>
          <cell r="F1108" t="str">
            <v>ASECUR</v>
          </cell>
          <cell r="G1108">
            <v>860080</v>
          </cell>
          <cell r="K1108">
            <v>860080</v>
          </cell>
        </row>
        <row r="1109">
          <cell r="C1109">
            <v>24710561</v>
          </cell>
          <cell r="D1109" t="str">
            <v>GSETHK</v>
          </cell>
          <cell r="E1109" t="str">
            <v>SECURITY DEPOSIT OF THAKUR VILLAGE KANDIVALI BRANC</v>
          </cell>
          <cell r="F1109" t="str">
            <v>ASECUR</v>
          </cell>
          <cell r="G1109">
            <v>1500000</v>
          </cell>
          <cell r="K1109">
            <v>1500000</v>
          </cell>
        </row>
        <row r="1110">
          <cell r="C1110">
            <v>24710260</v>
          </cell>
          <cell r="D1110" t="str">
            <v>GA0346</v>
          </cell>
          <cell r="E1110" t="str">
            <v>SECURITY DEPOSIT FOR F-60</v>
          </cell>
          <cell r="F1110" t="str">
            <v>ASECUR</v>
          </cell>
          <cell r="G1110">
            <v>1200000</v>
          </cell>
          <cell r="K1110">
            <v>1200000</v>
          </cell>
        </row>
        <row r="1111">
          <cell r="C1111">
            <v>24710391</v>
          </cell>
          <cell r="D1111" t="str">
            <v>GSEDADA</v>
          </cell>
          <cell r="E1111" t="str">
            <v>SECURITY DEPOSIT OF DADAR (E) MUMBAI</v>
          </cell>
          <cell r="F1111" t="str">
            <v>ASECUR</v>
          </cell>
          <cell r="G1111">
            <v>1200000</v>
          </cell>
          <cell r="K1111">
            <v>1200000</v>
          </cell>
        </row>
        <row r="1112">
          <cell r="C1112">
            <v>24710535</v>
          </cell>
          <cell r="D1112" t="str">
            <v>GSESAL1</v>
          </cell>
          <cell r="E1112" t="str">
            <v>SECURITY DEPOSIT OF SALT LAKE SEC-1 KOLKATTA</v>
          </cell>
          <cell r="F1112" t="str">
            <v>ASECUR</v>
          </cell>
          <cell r="G1112">
            <v>1200000</v>
          </cell>
          <cell r="K1112">
            <v>1200000</v>
          </cell>
        </row>
        <row r="1113">
          <cell r="C1113">
            <v>24710666</v>
          </cell>
          <cell r="D1113" t="str">
            <v>GSECMB</v>
          </cell>
          <cell r="E1113" t="str">
            <v>SECURITY FOR M BLOCK</v>
          </cell>
          <cell r="F1113" t="str">
            <v>ASECUR</v>
          </cell>
          <cell r="G1113">
            <v>1200000</v>
          </cell>
          <cell r="K1113">
            <v>1200000</v>
          </cell>
        </row>
        <row r="1114">
          <cell r="C1114">
            <v>24710261</v>
          </cell>
          <cell r="D1114" t="str">
            <v>GSEGHAT</v>
          </cell>
          <cell r="E1114" t="str">
            <v>SECURITY DEPOSIT FOR GHATKOPAR BRANCH</v>
          </cell>
          <cell r="F1114" t="str">
            <v>ASECUR</v>
          </cell>
          <cell r="G1114">
            <v>1170000</v>
          </cell>
          <cell r="K1114">
            <v>1170000</v>
          </cell>
        </row>
        <row r="1115">
          <cell r="C1115">
            <v>24710236</v>
          </cell>
          <cell r="D1115" t="str">
            <v>GSECHEN</v>
          </cell>
          <cell r="E1115" t="str">
            <v>SECURITY DEPOSIT CHENNAI - MYLAPORE</v>
          </cell>
          <cell r="F1115" t="str">
            <v>ASECUR</v>
          </cell>
          <cell r="G1115">
            <v>791901</v>
          </cell>
          <cell r="K1115">
            <v>791901</v>
          </cell>
        </row>
        <row r="1116">
          <cell r="C1116">
            <v>24710581</v>
          </cell>
          <cell r="D1116" t="str">
            <v>GSEVIP</v>
          </cell>
          <cell r="E1116" t="str">
            <v>SECURITY DEPOSIT OF VIP PARK  NARAYANTALA(W) KOL</v>
          </cell>
          <cell r="F1116" t="str">
            <v>ASECUR</v>
          </cell>
          <cell r="G1116">
            <v>1052700</v>
          </cell>
          <cell r="K1116">
            <v>1052700</v>
          </cell>
        </row>
        <row r="1117">
          <cell r="C1117">
            <v>24710411</v>
          </cell>
          <cell r="D1117" t="str">
            <v>GSEGEO</v>
          </cell>
          <cell r="E1117" t="str">
            <v>SECURITY DEPOSIT OF GEORGE TOWN NSC ROAD CHENNAI</v>
          </cell>
          <cell r="F1117" t="str">
            <v>ASECUR</v>
          </cell>
          <cell r="G1117">
            <v>781419.67</v>
          </cell>
          <cell r="K1117">
            <v>781419.67</v>
          </cell>
        </row>
        <row r="1118">
          <cell r="C1118">
            <v>24710606</v>
          </cell>
          <cell r="D1118" t="str">
            <v>GSE13</v>
          </cell>
          <cell r="E1118" t="str">
            <v>SECURITY DEPOSIT SOUTH  EXT. PART II</v>
          </cell>
          <cell r="F1118" t="str">
            <v>ASECUR</v>
          </cell>
          <cell r="G1118">
            <v>1000000</v>
          </cell>
          <cell r="K1118">
            <v>1000000</v>
          </cell>
        </row>
        <row r="1119">
          <cell r="C1119">
            <v>24710621</v>
          </cell>
          <cell r="D1119" t="str">
            <v>GSDLD43</v>
          </cell>
          <cell r="E1119" t="str">
            <v>SECURITY DEPOSIT VASHI (MUMBAI)</v>
          </cell>
          <cell r="F1119" t="str">
            <v>ASECUR</v>
          </cell>
          <cell r="G1119">
            <v>0</v>
          </cell>
          <cell r="K1119">
            <v>0</v>
          </cell>
        </row>
        <row r="1120">
          <cell r="C1120">
            <v>24710302</v>
          </cell>
          <cell r="D1120" t="str">
            <v>GSEGRG-14</v>
          </cell>
          <cell r="E1120" t="str">
            <v>SECURITY DEPOSIT GURGAON SECTOR -14</v>
          </cell>
          <cell r="F1120" t="str">
            <v>ASECUR</v>
          </cell>
          <cell r="G1120">
            <v>930000</v>
          </cell>
          <cell r="K1120">
            <v>930000</v>
          </cell>
        </row>
        <row r="1121">
          <cell r="C1121">
            <v>24710245</v>
          </cell>
          <cell r="D1121" t="str">
            <v>GSEFBD</v>
          </cell>
          <cell r="E1121" t="str">
            <v>SECURITY DEPOSIT FARIDABAD</v>
          </cell>
          <cell r="F1121" t="str">
            <v>ASECUR</v>
          </cell>
          <cell r="G1121">
            <v>900000</v>
          </cell>
          <cell r="K1121">
            <v>900000</v>
          </cell>
        </row>
        <row r="1122">
          <cell r="C1122">
            <v>24710664</v>
          </cell>
          <cell r="D1122" t="str">
            <v>GSELH</v>
          </cell>
          <cell r="E1122" t="str">
            <v>SECURITY FOR LOKHANDWALA</v>
          </cell>
          <cell r="F1122" t="str">
            <v>ASECUR</v>
          </cell>
          <cell r="G1122">
            <v>749653.4</v>
          </cell>
          <cell r="K1122">
            <v>749653.4</v>
          </cell>
        </row>
        <row r="1123">
          <cell r="C1123">
            <v>24710402</v>
          </cell>
          <cell r="D1123" t="str">
            <v>GSEKAIL</v>
          </cell>
          <cell r="E1123" t="str">
            <v>SECURITY DEPOSIT OF EAST OF KAILASH NEW DELHI</v>
          </cell>
          <cell r="F1123" t="str">
            <v>ASECUR</v>
          </cell>
          <cell r="G1123">
            <v>401370.68</v>
          </cell>
          <cell r="K1123">
            <v>401370.68</v>
          </cell>
        </row>
        <row r="1124">
          <cell r="C1124">
            <v>24710548</v>
          </cell>
          <cell r="D1124" t="str">
            <v>GSESHP</v>
          </cell>
          <cell r="E1124" t="str">
            <v>SECURITY DEPOSIT OF SHIVAJI NAGAR PUNE BRANCH</v>
          </cell>
          <cell r="F1124" t="str">
            <v>ASECUR</v>
          </cell>
          <cell r="G1124">
            <v>780010</v>
          </cell>
          <cell r="K1124">
            <v>780010</v>
          </cell>
        </row>
        <row r="1125">
          <cell r="C1125">
            <v>24710383</v>
          </cell>
          <cell r="D1125" t="str">
            <v>GSEPUG</v>
          </cell>
          <cell r="E1125" t="str">
            <v>SECURITY DEPOSIT OF CENTRAL MARKET PUNJABI BAGH</v>
          </cell>
          <cell r="F1125" t="str">
            <v>ASECUR</v>
          </cell>
          <cell r="G1125">
            <v>750000</v>
          </cell>
          <cell r="K1125">
            <v>750000</v>
          </cell>
        </row>
        <row r="1126">
          <cell r="C1126">
            <v>24710692</v>
          </cell>
          <cell r="D1126" t="str">
            <v>GA00222</v>
          </cell>
          <cell r="E1126" t="str">
            <v>SECURITY RENT OF CHENNAI</v>
          </cell>
          <cell r="F1126" t="str">
            <v>ASECUR</v>
          </cell>
          <cell r="G1126">
            <v>750000</v>
          </cell>
          <cell r="K1126">
            <v>750000</v>
          </cell>
        </row>
        <row r="1127">
          <cell r="C1127">
            <v>24710697</v>
          </cell>
          <cell r="D1127" t="str">
            <v>GSE06</v>
          </cell>
          <cell r="E1127" t="str">
            <v>SECUTIRY DEPOSIT JAMSHEDPUR</v>
          </cell>
          <cell r="F1127" t="str">
            <v>ASECUR</v>
          </cell>
          <cell r="G1127">
            <v>529565.14</v>
          </cell>
          <cell r="K1127">
            <v>529565.14</v>
          </cell>
        </row>
        <row r="1128">
          <cell r="C1128">
            <v>24710924</v>
          </cell>
          <cell r="E1128" t="str">
            <v>SECURITY DEPOSIT E-29,CP</v>
          </cell>
          <cell r="F1128" t="str">
            <v>ASECUR</v>
          </cell>
          <cell r="G1128">
            <v>720000</v>
          </cell>
          <cell r="K1128">
            <v>720000</v>
          </cell>
        </row>
        <row r="1129">
          <cell r="C1129">
            <v>24710317</v>
          </cell>
          <cell r="D1129" t="str">
            <v>GSELA</v>
          </cell>
          <cell r="E1129" t="str">
            <v>SECURITY DEPOSIT LAXMINAGAR (DELHI)</v>
          </cell>
          <cell r="F1129" t="str">
            <v>ASECUR</v>
          </cell>
          <cell r="G1129">
            <v>715170</v>
          </cell>
          <cell r="K1129">
            <v>715170</v>
          </cell>
        </row>
        <row r="1130">
          <cell r="C1130">
            <v>24710458</v>
          </cell>
          <cell r="D1130" t="str">
            <v>GSEKON</v>
          </cell>
          <cell r="E1130" t="str">
            <v>SECURITY DEPOSIT OF KONDWA BRANCH</v>
          </cell>
          <cell r="F1130" t="str">
            <v>ASECUR</v>
          </cell>
          <cell r="G1130">
            <v>700000</v>
          </cell>
          <cell r="K1130">
            <v>700000</v>
          </cell>
        </row>
        <row r="1131">
          <cell r="C1131">
            <v>24710233</v>
          </cell>
          <cell r="D1131" t="str">
            <v>GSECHA</v>
          </cell>
          <cell r="E1131" t="str">
            <v>SECURITY DEPOSIT CHANDNI CHOWK (DELHI)</v>
          </cell>
          <cell r="F1131" t="str">
            <v>ASECUR</v>
          </cell>
          <cell r="G1131">
            <v>670000</v>
          </cell>
          <cell r="K1131">
            <v>670000</v>
          </cell>
        </row>
        <row r="1132">
          <cell r="C1132">
            <v>24710235</v>
          </cell>
          <cell r="D1132" t="str">
            <v>GSECHT</v>
          </cell>
          <cell r="E1132" t="str">
            <v>SECURITY DEPOSIT CHENNAI (T NAGAR)</v>
          </cell>
          <cell r="F1132" t="str">
            <v>ASECUR</v>
          </cell>
          <cell r="G1132">
            <v>587832</v>
          </cell>
          <cell r="K1132">
            <v>587832</v>
          </cell>
        </row>
        <row r="1133">
          <cell r="C1133">
            <v>24710297</v>
          </cell>
          <cell r="D1133" t="str">
            <v>GSEGK</v>
          </cell>
          <cell r="E1133" t="str">
            <v>SECURITY DEPOSIT GREATER KAILASH</v>
          </cell>
          <cell r="F1133" t="str">
            <v>ASECUR</v>
          </cell>
          <cell r="G1133">
            <v>636000</v>
          </cell>
          <cell r="K1133">
            <v>636000</v>
          </cell>
        </row>
        <row r="1134">
          <cell r="C1134">
            <v>24710315</v>
          </cell>
          <cell r="D1134" t="str">
            <v>GSE04</v>
          </cell>
          <cell r="E1134" t="str">
            <v>SECURITY DEPOSIT KORAMANGLA BANGLORE</v>
          </cell>
          <cell r="F1134" t="str">
            <v>ASECUR</v>
          </cell>
          <cell r="G1134">
            <v>630000</v>
          </cell>
          <cell r="K1134">
            <v>630000</v>
          </cell>
        </row>
        <row r="1135">
          <cell r="C1135">
            <v>24710332</v>
          </cell>
          <cell r="D1135" t="str">
            <v>GSECNA</v>
          </cell>
          <cell r="E1135" t="str">
            <v>SECURITY DEPOSIT NASIK</v>
          </cell>
          <cell r="F1135" t="str">
            <v>ASECUR</v>
          </cell>
          <cell r="G1135">
            <v>627135.9</v>
          </cell>
          <cell r="K1135">
            <v>627135.9</v>
          </cell>
        </row>
        <row r="1136">
          <cell r="C1136">
            <v>24710545</v>
          </cell>
          <cell r="D1136" t="str">
            <v>GSEDSB</v>
          </cell>
          <cell r="E1136" t="str">
            <v>SECURITY DEPOSIT OF SHALIMAR BAGH DELHI</v>
          </cell>
          <cell r="F1136" t="str">
            <v>ASECUR</v>
          </cell>
          <cell r="G1136">
            <v>624000</v>
          </cell>
          <cell r="K1136">
            <v>624000</v>
          </cell>
        </row>
        <row r="1137">
          <cell r="C1137">
            <v>24710612</v>
          </cell>
          <cell r="D1137" t="str">
            <v>GSE12</v>
          </cell>
          <cell r="E1137" t="str">
            <v>SECURITY DEPOSIT TOLLYGUNJ (KOLKATA)</v>
          </cell>
          <cell r="F1137" t="str">
            <v>ASECUR</v>
          </cell>
          <cell r="G1137">
            <v>609000</v>
          </cell>
          <cell r="K1137">
            <v>609000</v>
          </cell>
        </row>
        <row r="1138">
          <cell r="C1138">
            <v>24710373</v>
          </cell>
          <cell r="D1138" t="str">
            <v>GSEBHP</v>
          </cell>
          <cell r="E1138" t="str">
            <v>SECURITY DEPOSIT OF BHANDARKAR ROAD PUNE BRANCH</v>
          </cell>
          <cell r="F1138" t="str">
            <v>ASECUR</v>
          </cell>
          <cell r="G1138">
            <v>600000</v>
          </cell>
          <cell r="K1138">
            <v>600000</v>
          </cell>
        </row>
        <row r="1139">
          <cell r="C1139">
            <v>24710431</v>
          </cell>
          <cell r="D1139" t="str">
            <v>GSEHAUZ</v>
          </cell>
          <cell r="E1139" t="str">
            <v>SECURITY DEPOSIT OF HAUZ KHAS E-31 BRANCH</v>
          </cell>
          <cell r="F1139" t="str">
            <v>ASECUR</v>
          </cell>
          <cell r="G1139">
            <v>600000</v>
          </cell>
          <cell r="K1139">
            <v>600000</v>
          </cell>
        </row>
        <row r="1140">
          <cell r="C1140">
            <v>24710479</v>
          </cell>
          <cell r="D1140" t="str">
            <v>GSEMAYA</v>
          </cell>
          <cell r="E1140" t="str">
            <v>SECURITY DEPOSIT OF MAYAPURI NEW DELHI</v>
          </cell>
          <cell r="F1140" t="str">
            <v>ASECUR</v>
          </cell>
          <cell r="G1140">
            <v>325248</v>
          </cell>
          <cell r="K1140">
            <v>325248</v>
          </cell>
        </row>
        <row r="1141">
          <cell r="C1141">
            <v>24710525</v>
          </cell>
          <cell r="D1141" t="str">
            <v>GSERH3</v>
          </cell>
          <cell r="E1141" t="str">
            <v>SECURITY DEPOSIT OF ROHINI MANGLAM PLACE SEC- 3</v>
          </cell>
          <cell r="F1141" t="str">
            <v>ASECUR</v>
          </cell>
          <cell r="G1141">
            <v>342000</v>
          </cell>
          <cell r="K1141">
            <v>342000</v>
          </cell>
        </row>
        <row r="1142">
          <cell r="C1142">
            <v>24710691</v>
          </cell>
          <cell r="D1142" t="str">
            <v>GSECMUM</v>
          </cell>
          <cell r="E1142" t="str">
            <v>SECURITY RENT MUMBAI</v>
          </cell>
          <cell r="F1142" t="str">
            <v>ASECUR</v>
          </cell>
          <cell r="G1142">
            <v>570000</v>
          </cell>
          <cell r="K1142">
            <v>570000</v>
          </cell>
        </row>
        <row r="1143">
          <cell r="C1143">
            <v>24710272</v>
          </cell>
          <cell r="D1143" t="str">
            <v>GSEMAD</v>
          </cell>
          <cell r="E1143" t="str">
            <v>SECURITY DEPOSIT FOR MAHIM OFFLINE</v>
          </cell>
          <cell r="F1143" t="str">
            <v>ASECUR</v>
          </cell>
          <cell r="G1143">
            <v>414129</v>
          </cell>
          <cell r="K1143">
            <v>414129</v>
          </cell>
        </row>
        <row r="1144">
          <cell r="C1144">
            <v>24710218</v>
          </cell>
          <cell r="D1144" t="str">
            <v>GSEALI</v>
          </cell>
          <cell r="E1144" t="str">
            <v>SECURITY DEPOSIT ALIPORE (KOLKOTA)</v>
          </cell>
          <cell r="F1144" t="str">
            <v>ASECUR</v>
          </cell>
          <cell r="G1144">
            <v>332600.52</v>
          </cell>
          <cell r="K1144">
            <v>332600.52</v>
          </cell>
        </row>
        <row r="1145">
          <cell r="C1145">
            <v>24710632</v>
          </cell>
          <cell r="D1145" t="str">
            <v>GSBAR</v>
          </cell>
          <cell r="E1145" t="str">
            <v>SECURITY DEPOSITS BARODA</v>
          </cell>
          <cell r="F1145" t="str">
            <v>ASECUR</v>
          </cell>
          <cell r="G1145">
            <v>45000</v>
          </cell>
          <cell r="K1145">
            <v>45000</v>
          </cell>
        </row>
        <row r="1146">
          <cell r="C1146">
            <v>24710319</v>
          </cell>
          <cell r="D1146" t="str">
            <v>GSELUD</v>
          </cell>
          <cell r="E1146" t="str">
            <v>SECURITY DEPOSIT LUDHIANA</v>
          </cell>
          <cell r="F1146" t="str">
            <v>ASECUR</v>
          </cell>
          <cell r="G1146">
            <v>451157</v>
          </cell>
          <cell r="K1146">
            <v>451157</v>
          </cell>
        </row>
        <row r="1147">
          <cell r="C1147">
            <v>24710340</v>
          </cell>
          <cell r="D1147" t="str">
            <v>GSEALKD</v>
          </cell>
          <cell r="E1147" t="str">
            <v>SECURITY DEPOSIT OF ALAKNANDA NEW DELHI</v>
          </cell>
          <cell r="F1147" t="str">
            <v>ASECUR</v>
          </cell>
          <cell r="G1147">
            <v>510000</v>
          </cell>
          <cell r="K1147">
            <v>510000</v>
          </cell>
        </row>
        <row r="1148">
          <cell r="C1148">
            <v>24710250</v>
          </cell>
          <cell r="D1148" t="str">
            <v>GSEBAG</v>
          </cell>
          <cell r="E1148" t="str">
            <v>SECURITY DEPOSIT FOR BANDRA ONLINE</v>
          </cell>
          <cell r="F1148" t="str">
            <v>ASECUR</v>
          </cell>
          <cell r="G1148">
            <v>500000</v>
          </cell>
          <cell r="K1148">
            <v>500000</v>
          </cell>
        </row>
        <row r="1149">
          <cell r="C1149">
            <v>24710310</v>
          </cell>
          <cell r="D1149" t="str">
            <v>GSE21</v>
          </cell>
          <cell r="E1149" t="str">
            <v>SECURITY DEPOSIT KANDIVALI WEST</v>
          </cell>
          <cell r="F1149" t="str">
            <v>ASECUR</v>
          </cell>
          <cell r="G1149">
            <v>500000</v>
          </cell>
          <cell r="K1149">
            <v>500000</v>
          </cell>
        </row>
        <row r="1150">
          <cell r="C1150">
            <v>24710329</v>
          </cell>
          <cell r="D1150" t="str">
            <v>GSENAG</v>
          </cell>
          <cell r="E1150" t="str">
            <v>SECURITY DEPOSIT NAGPUR</v>
          </cell>
          <cell r="F1150" t="str">
            <v>ASECUR</v>
          </cell>
          <cell r="G1150">
            <v>500000</v>
          </cell>
          <cell r="K1150">
            <v>500000</v>
          </cell>
        </row>
        <row r="1151">
          <cell r="C1151">
            <v>24710656</v>
          </cell>
          <cell r="D1151" t="str">
            <v>GSEJA</v>
          </cell>
          <cell r="E1151" t="str">
            <v>SECURITY FOR JAYANAGAR(BANGALORE) REMISES</v>
          </cell>
          <cell r="F1151" t="str">
            <v>ASECUR</v>
          </cell>
          <cell r="G1151">
            <v>500000</v>
          </cell>
          <cell r="K1151">
            <v>500000</v>
          </cell>
        </row>
        <row r="1152">
          <cell r="C1152">
            <v>24710516</v>
          </cell>
          <cell r="D1152" t="str">
            <v>GSEPVR</v>
          </cell>
          <cell r="E1152" t="str">
            <v>SECURITY DEPOSIT OF PVR SAKET NEW DELHI</v>
          </cell>
          <cell r="F1152" t="str">
            <v>ASECUR</v>
          </cell>
          <cell r="G1152">
            <v>496536</v>
          </cell>
          <cell r="K1152">
            <v>496536</v>
          </cell>
        </row>
        <row r="1153">
          <cell r="C1153">
            <v>24710607</v>
          </cell>
          <cell r="D1153" t="str">
            <v>GSESU</v>
          </cell>
          <cell r="E1153" t="str">
            <v>SECURITY DEPOSIT SURAT</v>
          </cell>
          <cell r="F1153" t="str">
            <v>ASECUR</v>
          </cell>
          <cell r="G1153">
            <v>470700</v>
          </cell>
          <cell r="K1153">
            <v>470700</v>
          </cell>
        </row>
        <row r="1154">
          <cell r="C1154">
            <v>24710287</v>
          </cell>
          <cell r="D1154" t="str">
            <v>GSESAT</v>
          </cell>
          <cell r="E1154" t="str">
            <v>SECURITY DEPOSIT FOR SATARA POWAI NAKA BRANCH</v>
          </cell>
          <cell r="F1154" t="str">
            <v>ASECUR</v>
          </cell>
          <cell r="G1154">
            <v>380247</v>
          </cell>
          <cell r="K1154">
            <v>380247</v>
          </cell>
        </row>
        <row r="1155">
          <cell r="C1155">
            <v>24710589</v>
          </cell>
          <cell r="D1155" t="str">
            <v>GSEPAN</v>
          </cell>
          <cell r="E1155" t="str">
            <v>SECURITY DEPOSIT PANJIM</v>
          </cell>
          <cell r="F1155" t="str">
            <v>ASECUR</v>
          </cell>
          <cell r="G1155">
            <v>450000</v>
          </cell>
          <cell r="K1155">
            <v>450000</v>
          </cell>
        </row>
        <row r="1156">
          <cell r="C1156">
            <v>24710425</v>
          </cell>
          <cell r="D1156" t="str">
            <v>GSEHABS</v>
          </cell>
          <cell r="E1156" t="str">
            <v>SECURITY DEPOSIT OF HABSIGUDA HYDERABAD ONLINE</v>
          </cell>
          <cell r="F1156" t="str">
            <v>ASECUR</v>
          </cell>
          <cell r="G1156">
            <v>448800</v>
          </cell>
          <cell r="K1156">
            <v>448800</v>
          </cell>
        </row>
        <row r="1157">
          <cell r="C1157">
            <v>24710647</v>
          </cell>
          <cell r="D1157" t="str">
            <v>GSEGH</v>
          </cell>
          <cell r="E1157" t="str">
            <v>SECURITY FOR GHATKOPAR PREMISES</v>
          </cell>
          <cell r="F1157" t="str">
            <v>ASECUR</v>
          </cell>
          <cell r="G1157">
            <v>425000</v>
          </cell>
          <cell r="K1157">
            <v>425000</v>
          </cell>
        </row>
        <row r="1158">
          <cell r="C1158">
            <v>24710280</v>
          </cell>
          <cell r="D1158" t="str">
            <v>GSEPIM</v>
          </cell>
          <cell r="E1158" t="str">
            <v>SECURITY DEPOSIT FOR PIMPRI BRANCH</v>
          </cell>
          <cell r="F1158" t="str">
            <v>ASECUR</v>
          </cell>
          <cell r="G1158">
            <v>420000</v>
          </cell>
          <cell r="K1158">
            <v>420000</v>
          </cell>
        </row>
        <row r="1159">
          <cell r="C1159">
            <v>24710399</v>
          </cell>
          <cell r="D1159" t="str">
            <v>GSEDIL</v>
          </cell>
          <cell r="E1159" t="str">
            <v>SECURITY DEPOSIT OF DILSHUK NAGAR HYDERABAD</v>
          </cell>
          <cell r="F1159" t="str">
            <v>ASECUR</v>
          </cell>
          <cell r="G1159">
            <v>420000</v>
          </cell>
          <cell r="K1159">
            <v>420000</v>
          </cell>
        </row>
        <row r="1160">
          <cell r="C1160">
            <v>24710668</v>
          </cell>
          <cell r="D1160" t="str">
            <v>GSEMN</v>
          </cell>
          <cell r="E1160" t="str">
            <v>SECURITY FOR MANINAGAR BARANCH</v>
          </cell>
          <cell r="F1160" t="str">
            <v>ASECUR</v>
          </cell>
          <cell r="G1160">
            <v>418800</v>
          </cell>
          <cell r="K1160">
            <v>418800</v>
          </cell>
        </row>
        <row r="1161">
          <cell r="C1161">
            <v>24710523</v>
          </cell>
          <cell r="D1161" t="str">
            <v>GSESRT</v>
          </cell>
          <cell r="E1161" t="str">
            <v>SECURITY DEPOSIT OF RING ROAD SURAT BRANCH</v>
          </cell>
          <cell r="F1161" t="str">
            <v>ASECUR</v>
          </cell>
          <cell r="G1161">
            <v>0</v>
          </cell>
          <cell r="K1161">
            <v>0</v>
          </cell>
        </row>
        <row r="1162">
          <cell r="C1162">
            <v>24710592</v>
          </cell>
          <cell r="D1162" t="str">
            <v>GSEPUNE</v>
          </cell>
          <cell r="E1162" t="str">
            <v>SECURITY DEPOSIT PUNE (SATARA ROAD)</v>
          </cell>
          <cell r="F1162" t="str">
            <v>ASECUR</v>
          </cell>
          <cell r="G1162">
            <v>402000</v>
          </cell>
          <cell r="K1162">
            <v>402000</v>
          </cell>
        </row>
        <row r="1163">
          <cell r="C1163">
            <v>24710489</v>
          </cell>
          <cell r="D1163" t="str">
            <v>GSEVPE</v>
          </cell>
          <cell r="E1163" t="str">
            <v>SECURITY DEPOSIT OF MUMBAI VILE PARLE (E) ONLINE</v>
          </cell>
          <cell r="F1163" t="str">
            <v>ASECUR</v>
          </cell>
          <cell r="G1163">
            <v>230900</v>
          </cell>
          <cell r="K1163">
            <v>230900</v>
          </cell>
        </row>
        <row r="1164">
          <cell r="C1164">
            <v>24710672</v>
          </cell>
          <cell r="D1164" t="str">
            <v>GSEBR</v>
          </cell>
          <cell r="E1164" t="str">
            <v>SECURITY FOR MUMBAI BORIWALI</v>
          </cell>
          <cell r="F1164" t="str">
            <v>ASECUR</v>
          </cell>
          <cell r="G1164">
            <v>400000</v>
          </cell>
          <cell r="K1164">
            <v>400000</v>
          </cell>
        </row>
        <row r="1165">
          <cell r="C1165">
            <v>24710517</v>
          </cell>
          <cell r="D1165" t="str">
            <v>GSECMBR</v>
          </cell>
          <cell r="E1165" t="str">
            <v>SECURITY DEPOSIT OF R. S. PURAM COIMBATORE</v>
          </cell>
          <cell r="F1165" t="str">
            <v>ASECUR</v>
          </cell>
          <cell r="G1165">
            <v>0</v>
          </cell>
          <cell r="K1165">
            <v>0</v>
          </cell>
        </row>
        <row r="1166">
          <cell r="C1166">
            <v>24710442</v>
          </cell>
          <cell r="D1166" t="str">
            <v>GSEJALGN</v>
          </cell>
          <cell r="E1166" t="str">
            <v>SECURITY DEPOSIT OF JALGAON DHAKE TOWERS BRANCH</v>
          </cell>
          <cell r="F1166" t="str">
            <v>ASECUR</v>
          </cell>
          <cell r="G1166">
            <v>360000</v>
          </cell>
          <cell r="K1166">
            <v>360000</v>
          </cell>
        </row>
        <row r="1167">
          <cell r="C1167">
            <v>24710693</v>
          </cell>
          <cell r="D1167" t="str">
            <v>GA00122</v>
          </cell>
          <cell r="E1167" t="str">
            <v>SECURITY RENT OF PUNE</v>
          </cell>
          <cell r="F1167" t="str">
            <v>ASECUR</v>
          </cell>
          <cell r="G1167">
            <v>348000</v>
          </cell>
          <cell r="K1167">
            <v>348000</v>
          </cell>
        </row>
        <row r="1168">
          <cell r="C1168">
            <v>24710540</v>
          </cell>
          <cell r="D1168" t="str">
            <v>GSESAN</v>
          </cell>
          <cell r="E1168" t="str">
            <v>SECURITY DEPOSIT OF SANTHOME (CHENNAI)</v>
          </cell>
          <cell r="F1168" t="str">
            <v>ASECUR</v>
          </cell>
          <cell r="G1168">
            <v>0</v>
          </cell>
          <cell r="K1168">
            <v>0</v>
          </cell>
        </row>
        <row r="1169">
          <cell r="C1169">
            <v>24710401</v>
          </cell>
          <cell r="D1169" t="str">
            <v>GSEDWA6</v>
          </cell>
          <cell r="E1169" t="str">
            <v>SECURITY DEPOSIT OF DWARKA SECTOR -6 CENTRAL MARKE</v>
          </cell>
          <cell r="F1169" t="str">
            <v>ASECUR</v>
          </cell>
          <cell r="G1169">
            <v>330000</v>
          </cell>
          <cell r="K1169">
            <v>330000</v>
          </cell>
        </row>
        <row r="1170">
          <cell r="C1170">
            <v>24710434</v>
          </cell>
          <cell r="D1170" t="str">
            <v>GSEHTEC</v>
          </cell>
          <cell r="E1170" t="str">
            <v>SECURITY DEPOSIT OF HITECH CITY HYDERABAD</v>
          </cell>
          <cell r="F1170" t="str">
            <v>ASECUR</v>
          </cell>
          <cell r="G1170">
            <v>330000</v>
          </cell>
          <cell r="K1170">
            <v>330000</v>
          </cell>
        </row>
        <row r="1171">
          <cell r="C1171">
            <v>24710640</v>
          </cell>
          <cell r="D1171" t="str">
            <v>GSECCH</v>
          </cell>
          <cell r="E1171" t="str">
            <v>SECURITY FOR CHANDIGARH OFFICE (NEW)</v>
          </cell>
          <cell r="F1171" t="str">
            <v>ASECUR</v>
          </cell>
          <cell r="G1171">
            <v>330000</v>
          </cell>
          <cell r="K1171">
            <v>330000</v>
          </cell>
        </row>
        <row r="1172">
          <cell r="C1172">
            <v>24710638</v>
          </cell>
          <cell r="D1172" t="str">
            <v>GSECM</v>
          </cell>
          <cell r="E1172" t="str">
            <v>SECURITY FOR ANDHERI OFFICE PREMISES</v>
          </cell>
          <cell r="F1172" t="str">
            <v>ASECUR</v>
          </cell>
          <cell r="G1172">
            <v>0</v>
          </cell>
          <cell r="K1172">
            <v>0</v>
          </cell>
        </row>
        <row r="1173">
          <cell r="C1173">
            <v>24710687</v>
          </cell>
          <cell r="D1173" t="str">
            <v>GACAL</v>
          </cell>
          <cell r="E1173" t="str">
            <v>SECURITY RENT CALCUTTA</v>
          </cell>
          <cell r="F1173" t="str">
            <v>ASECUR</v>
          </cell>
          <cell r="G1173">
            <v>324720</v>
          </cell>
          <cell r="K1173">
            <v>324720</v>
          </cell>
        </row>
        <row r="1174">
          <cell r="C1174">
            <v>24710350</v>
          </cell>
          <cell r="D1174" t="str">
            <v>GSEAMR</v>
          </cell>
          <cell r="E1174" t="str">
            <v>SECURITY DEPOSIT OF AMRAWATI GULSHAN PLAZA BRANCH</v>
          </cell>
          <cell r="F1174" t="str">
            <v>ASECUR</v>
          </cell>
          <cell r="G1174">
            <v>268789.90000000002</v>
          </cell>
          <cell r="K1174">
            <v>268789.90000000002</v>
          </cell>
        </row>
        <row r="1175">
          <cell r="C1175">
            <v>24710277</v>
          </cell>
          <cell r="D1175" t="str">
            <v>GSENAK</v>
          </cell>
          <cell r="E1175" t="str">
            <v>SECURITY DEPOSIT FOR NASHIK ONLINE BRANCH</v>
          </cell>
          <cell r="F1175" t="str">
            <v>ASECUR</v>
          </cell>
          <cell r="G1175">
            <v>306240</v>
          </cell>
          <cell r="K1175">
            <v>306240</v>
          </cell>
        </row>
        <row r="1176">
          <cell r="C1176">
            <v>24710699</v>
          </cell>
          <cell r="D1176" t="str">
            <v>GSEAHM</v>
          </cell>
          <cell r="E1176" t="str">
            <v>SECUTIRY DEPOSITED AHMEDABAD (OFFLINE)</v>
          </cell>
          <cell r="F1176" t="str">
            <v>ASECUR</v>
          </cell>
          <cell r="G1176">
            <v>0</v>
          </cell>
          <cell r="K1176">
            <v>0</v>
          </cell>
        </row>
        <row r="1177">
          <cell r="C1177">
            <v>24710256</v>
          </cell>
          <cell r="D1177" t="str">
            <v>GSEDAH</v>
          </cell>
          <cell r="E1177" t="str">
            <v>SECURITY DEPOSIT FOR DAHISAR BRANCH</v>
          </cell>
          <cell r="F1177" t="str">
            <v>ASECUR</v>
          </cell>
          <cell r="G1177">
            <v>300000</v>
          </cell>
          <cell r="K1177">
            <v>300000</v>
          </cell>
        </row>
        <row r="1178">
          <cell r="C1178">
            <v>24710295</v>
          </cell>
          <cell r="D1178" t="str">
            <v>GA0522</v>
          </cell>
          <cell r="E1178" t="str">
            <v>SECURITY DEPOSIT FORT</v>
          </cell>
          <cell r="F1178" t="str">
            <v>ASECUR</v>
          </cell>
          <cell r="G1178">
            <v>300000</v>
          </cell>
          <cell r="K1178">
            <v>300000</v>
          </cell>
        </row>
        <row r="1179">
          <cell r="C1179">
            <v>24710403</v>
          </cell>
          <cell r="D1179" t="str">
            <v>GSEERNA</v>
          </cell>
          <cell r="E1179" t="str">
            <v>SECURITY DEPOSIT OF ERNAKULAM  KOCHI (KERALA) OF</v>
          </cell>
          <cell r="F1179" t="str">
            <v>ASECUR</v>
          </cell>
          <cell r="G1179">
            <v>261816.71</v>
          </cell>
          <cell r="K1179">
            <v>261816.71</v>
          </cell>
        </row>
        <row r="1180">
          <cell r="C1180">
            <v>24710573</v>
          </cell>
          <cell r="D1180" t="str">
            <v>GSEVASA</v>
          </cell>
          <cell r="E1180" t="str">
            <v>SECURITY DEPOSIT OF VASANT KUNJ NEW DELHI ONLINE</v>
          </cell>
          <cell r="F1180" t="str">
            <v>ASECUR</v>
          </cell>
          <cell r="G1180">
            <v>0</v>
          </cell>
          <cell r="K1180">
            <v>0</v>
          </cell>
        </row>
        <row r="1181">
          <cell r="C1181">
            <v>24710604</v>
          </cell>
          <cell r="D1181" t="str">
            <v>GSESE</v>
          </cell>
          <cell r="E1181" t="str">
            <v>SECURITY DEPOSIT SECUNDRABAD</v>
          </cell>
          <cell r="F1181" t="str">
            <v>ASECUR</v>
          </cell>
          <cell r="G1181">
            <v>278280</v>
          </cell>
          <cell r="K1181">
            <v>278280</v>
          </cell>
        </row>
        <row r="1182">
          <cell r="C1182">
            <v>24710676</v>
          </cell>
          <cell r="D1182" t="str">
            <v>GSECP</v>
          </cell>
          <cell r="E1182" t="str">
            <v>SECURITY FOR PITAMPURA PREMISES</v>
          </cell>
          <cell r="F1182" t="str">
            <v>ASECUR</v>
          </cell>
          <cell r="G1182">
            <v>265965</v>
          </cell>
          <cell r="K1182">
            <v>265965</v>
          </cell>
        </row>
        <row r="1183">
          <cell r="C1183">
            <v>24710215</v>
          </cell>
          <cell r="D1183" t="str">
            <v>GSCAH</v>
          </cell>
          <cell r="E1183" t="str">
            <v>SECURITY DEPOSIT - AHMEDABAD</v>
          </cell>
          <cell r="F1183" t="str">
            <v>ASECUR</v>
          </cell>
          <cell r="G1183">
            <v>261167</v>
          </cell>
          <cell r="K1183">
            <v>261167</v>
          </cell>
        </row>
        <row r="1184">
          <cell r="C1184">
            <v>24710353</v>
          </cell>
          <cell r="D1184" t="str">
            <v>GSEDAN</v>
          </cell>
          <cell r="E1184" t="str">
            <v>SECURITY DEPOSIT OF ANAND VIHAR  DELHI BRANCH</v>
          </cell>
          <cell r="F1184" t="str">
            <v>ASECUR</v>
          </cell>
          <cell r="G1184">
            <v>260000</v>
          </cell>
          <cell r="K1184">
            <v>260000</v>
          </cell>
        </row>
        <row r="1185">
          <cell r="C1185">
            <v>24710680</v>
          </cell>
          <cell r="D1185" t="str">
            <v>GA0425</v>
          </cell>
          <cell r="E1185" t="str">
            <v>SECURITY FOR SHANTI NIKET</v>
          </cell>
          <cell r="F1185" t="str">
            <v>ASECUR</v>
          </cell>
          <cell r="G1185">
            <v>255000</v>
          </cell>
          <cell r="K1185">
            <v>255000</v>
          </cell>
        </row>
        <row r="1186">
          <cell r="C1186">
            <v>24710351</v>
          </cell>
          <cell r="D1186" t="str">
            <v>GSEAMRIT</v>
          </cell>
          <cell r="E1186" t="str">
            <v>SECURITY DEPOSIT OF AMRITSAR OFFLINE BRANCH</v>
          </cell>
          <cell r="F1186" t="str">
            <v>ASECUR</v>
          </cell>
          <cell r="G1186">
            <v>254100</v>
          </cell>
          <cell r="K1186">
            <v>254100</v>
          </cell>
        </row>
        <row r="1187">
          <cell r="C1187">
            <v>24710598</v>
          </cell>
          <cell r="D1187" t="str">
            <v>GARANC</v>
          </cell>
          <cell r="E1187" t="str">
            <v>SECURITY DEPOSIT RANCHI</v>
          </cell>
          <cell r="F1187" t="str">
            <v>ASECUR</v>
          </cell>
          <cell r="G1187">
            <v>252000</v>
          </cell>
          <cell r="K1187">
            <v>252000</v>
          </cell>
        </row>
        <row r="1188">
          <cell r="C1188">
            <v>24710238</v>
          </cell>
          <cell r="D1188" t="str">
            <v>GSECO</v>
          </cell>
          <cell r="E1188" t="str">
            <v>SECURITY DEPOSIT COCHIN</v>
          </cell>
          <cell r="F1188" t="str">
            <v>ASECUR</v>
          </cell>
          <cell r="G1188">
            <v>250000</v>
          </cell>
          <cell r="K1188">
            <v>250000</v>
          </cell>
        </row>
        <row r="1189">
          <cell r="C1189">
            <v>24710626</v>
          </cell>
          <cell r="D1189" t="str">
            <v>GSVIS</v>
          </cell>
          <cell r="E1189" t="str">
            <v>SECURITY DEPOSIT VISAKHAPATNAM</v>
          </cell>
          <cell r="F1189" t="str">
            <v>ASECUR</v>
          </cell>
          <cell r="G1189">
            <v>243912</v>
          </cell>
          <cell r="K1189">
            <v>243912</v>
          </cell>
        </row>
        <row r="1190">
          <cell r="C1190">
            <v>24710441</v>
          </cell>
          <cell r="D1190" t="str">
            <v>GSEJAL</v>
          </cell>
          <cell r="E1190" t="str">
            <v>SECURITY DEPOSIT OF JALANA (MAHARASHTRA)</v>
          </cell>
          <cell r="F1190" t="str">
            <v>ASECUR</v>
          </cell>
          <cell r="G1190">
            <v>204227.34</v>
          </cell>
          <cell r="K1190">
            <v>204227.34</v>
          </cell>
        </row>
        <row r="1191">
          <cell r="C1191">
            <v>24710212</v>
          </cell>
          <cell r="D1191" t="str">
            <v>GSENDA</v>
          </cell>
          <cell r="E1191" t="str">
            <v>SECURITY  DEPOSIT NOIDA ONLINE</v>
          </cell>
          <cell r="F1191" t="str">
            <v>ASECUR</v>
          </cell>
          <cell r="G1191">
            <v>240000</v>
          </cell>
          <cell r="K1191">
            <v>240000</v>
          </cell>
        </row>
        <row r="1192">
          <cell r="C1192">
            <v>24710496</v>
          </cell>
          <cell r="D1192" t="str">
            <v>GSENIT</v>
          </cell>
          <cell r="E1192" t="str">
            <v>SECURITY DEPOSIT OF NIT- FARIDABAD (HARYANA)</v>
          </cell>
          <cell r="F1192" t="str">
            <v>ASECUR</v>
          </cell>
          <cell r="G1192">
            <v>240000</v>
          </cell>
          <cell r="K1192">
            <v>240000</v>
          </cell>
        </row>
        <row r="1193">
          <cell r="C1193">
            <v>24710243</v>
          </cell>
          <cell r="D1193" t="str">
            <v>GSEDH</v>
          </cell>
          <cell r="E1193" t="str">
            <v>SECURITY DEPOSIT DHANBAD</v>
          </cell>
          <cell r="F1193" t="str">
            <v>ASECUR</v>
          </cell>
          <cell r="G1193">
            <v>225000</v>
          </cell>
          <cell r="K1193">
            <v>225000</v>
          </cell>
        </row>
        <row r="1194">
          <cell r="C1194">
            <v>24710301</v>
          </cell>
          <cell r="D1194" t="str">
            <v>GSECD</v>
          </cell>
          <cell r="E1194" t="str">
            <v>SECURITY DEPOSIT GURGAON - LANDLORD</v>
          </cell>
          <cell r="F1194" t="str">
            <v>ASECUR</v>
          </cell>
          <cell r="G1194">
            <v>225000</v>
          </cell>
          <cell r="K1194">
            <v>225000</v>
          </cell>
        </row>
        <row r="1195">
          <cell r="C1195">
            <v>24710221</v>
          </cell>
          <cell r="D1195" t="str">
            <v>GSEAMB</v>
          </cell>
          <cell r="E1195" t="str">
            <v>SECURITY DEPOSIT AMBALA</v>
          </cell>
          <cell r="F1195" t="str">
            <v>ASECUR</v>
          </cell>
          <cell r="G1195">
            <v>192036</v>
          </cell>
          <cell r="K1195">
            <v>192036</v>
          </cell>
        </row>
        <row r="1196">
          <cell r="C1196">
            <v>24710289</v>
          </cell>
          <cell r="D1196" t="str">
            <v>GSEVAP</v>
          </cell>
          <cell r="E1196" t="str">
            <v>SECURITY DEPOSIT FOR VAPI BRANCH</v>
          </cell>
          <cell r="F1196" t="str">
            <v>ASECUR</v>
          </cell>
          <cell r="G1196">
            <v>220000</v>
          </cell>
          <cell r="K1196">
            <v>220000</v>
          </cell>
        </row>
        <row r="1197">
          <cell r="C1197">
            <v>24710381</v>
          </cell>
          <cell r="D1197" t="str">
            <v>GSEBOK</v>
          </cell>
          <cell r="E1197" t="str">
            <v>SECURITY DEPOSIT OF BOKARO ( JHARKHAND) BRANCH</v>
          </cell>
          <cell r="F1197" t="str">
            <v>ASECUR</v>
          </cell>
          <cell r="G1197">
            <v>214200</v>
          </cell>
          <cell r="K1197">
            <v>214200</v>
          </cell>
        </row>
        <row r="1198">
          <cell r="C1198">
            <v>24710432</v>
          </cell>
          <cell r="D1198" t="str">
            <v>GSEHISS</v>
          </cell>
          <cell r="E1198" t="str">
            <v>SECURITY DEPOSIT OF HISSAR HARYANA BRANCH</v>
          </cell>
          <cell r="F1198" t="str">
            <v>ASECUR</v>
          </cell>
          <cell r="G1198">
            <v>124087.1</v>
          </cell>
          <cell r="K1198">
            <v>124087.1</v>
          </cell>
        </row>
        <row r="1199">
          <cell r="C1199">
            <v>24710336</v>
          </cell>
          <cell r="D1199" t="str">
            <v>GSEAGRC</v>
          </cell>
          <cell r="E1199" t="str">
            <v>SECURITY DEPOSIT OF AGRA CANTT SADAR OFFLINE BRANC</v>
          </cell>
          <cell r="F1199" t="str">
            <v>ASECUR</v>
          </cell>
          <cell r="G1199">
            <v>125853.99</v>
          </cell>
          <cell r="K1199">
            <v>125853.99</v>
          </cell>
        </row>
        <row r="1200">
          <cell r="C1200">
            <v>24710134</v>
          </cell>
          <cell r="E1200" t="str">
            <v>SECURITY DEPOSIT MUMBAI ( COLABA OFFICE)</v>
          </cell>
          <cell r="F1200" t="str">
            <v>ASECUR</v>
          </cell>
          <cell r="G1200">
            <v>200000</v>
          </cell>
          <cell r="K1200">
            <v>200000</v>
          </cell>
        </row>
        <row r="1201">
          <cell r="C1201">
            <v>24710451</v>
          </cell>
          <cell r="D1201" t="str">
            <v>GSEKARA</v>
          </cell>
          <cell r="E1201" t="str">
            <v>SECURITY DEPOSIT OF KARAD OFFLINE (MAHARASHTRA)</v>
          </cell>
          <cell r="F1201" t="str">
            <v>ASECUR</v>
          </cell>
          <cell r="G1201">
            <v>200000</v>
          </cell>
          <cell r="K1201">
            <v>200000</v>
          </cell>
        </row>
        <row r="1202">
          <cell r="C1202">
            <v>24710641</v>
          </cell>
          <cell r="D1202" t="str">
            <v>GSECDH</v>
          </cell>
          <cell r="E1202" t="str">
            <v>SECURITY FOR DEHRADUN PREMISES</v>
          </cell>
          <cell r="F1202" t="str">
            <v>ASECUR</v>
          </cell>
          <cell r="G1202">
            <v>200000</v>
          </cell>
          <cell r="K1202">
            <v>200000</v>
          </cell>
        </row>
        <row r="1203">
          <cell r="C1203">
            <v>24710232</v>
          </cell>
          <cell r="D1203" t="str">
            <v>GSECHAN</v>
          </cell>
          <cell r="E1203" t="str">
            <v>SECURITY DEPOSIT CHANDIGARH</v>
          </cell>
          <cell r="F1203" t="str">
            <v>ASECUR</v>
          </cell>
          <cell r="G1203">
            <v>97500</v>
          </cell>
          <cell r="K1203">
            <v>97500</v>
          </cell>
        </row>
        <row r="1204">
          <cell r="C1204">
            <v>24710308</v>
          </cell>
          <cell r="D1204" t="str">
            <v>GSE22</v>
          </cell>
          <cell r="E1204" t="str">
            <v>SECURITY DEPOSIT JAM NAGAR</v>
          </cell>
          <cell r="F1204" t="str">
            <v>ASECUR</v>
          </cell>
          <cell r="G1204">
            <v>85326.26</v>
          </cell>
          <cell r="K1204">
            <v>85326.26</v>
          </cell>
        </row>
        <row r="1205">
          <cell r="C1205">
            <v>24710653</v>
          </cell>
          <cell r="D1205" t="str">
            <v>GSEIN</v>
          </cell>
          <cell r="E1205" t="str">
            <v>SECURITY FOR INDORE PREMISES (NEW)</v>
          </cell>
          <cell r="F1205" t="str">
            <v>ASECUR</v>
          </cell>
          <cell r="G1205">
            <v>186000</v>
          </cell>
          <cell r="K1205">
            <v>186000</v>
          </cell>
        </row>
        <row r="1206">
          <cell r="C1206">
            <v>24710541</v>
          </cell>
          <cell r="D1206" t="str">
            <v>GSELSA</v>
          </cell>
          <cell r="E1206" t="str">
            <v>SECURITY DEPOSIT OF SARAN CHEMBER-2 LUCKNOW</v>
          </cell>
          <cell r="F1206" t="str">
            <v>ASECUR</v>
          </cell>
          <cell r="G1206">
            <v>181800</v>
          </cell>
          <cell r="K1206">
            <v>181800</v>
          </cell>
        </row>
        <row r="1207">
          <cell r="C1207">
            <v>24710374</v>
          </cell>
          <cell r="D1207" t="str">
            <v>GSEBHOP</v>
          </cell>
          <cell r="E1207" t="str">
            <v>SECURITY DEPOSIT OF BHARAT HOUSE BHOPAL OFFLINE</v>
          </cell>
          <cell r="F1207" t="str">
            <v>ASECUR</v>
          </cell>
          <cell r="G1207">
            <v>146453.57999999999</v>
          </cell>
          <cell r="K1207">
            <v>146453.57999999999</v>
          </cell>
        </row>
        <row r="1208">
          <cell r="C1208">
            <v>24710636</v>
          </cell>
          <cell r="D1208" t="str">
            <v>GSECA</v>
          </cell>
          <cell r="E1208" t="str">
            <v>SECURITY FOR AMBALA CANTT.PREMISES</v>
          </cell>
          <cell r="F1208" t="str">
            <v>ASECUR</v>
          </cell>
          <cell r="G1208">
            <v>175150</v>
          </cell>
          <cell r="K1208">
            <v>175150</v>
          </cell>
        </row>
        <row r="1209">
          <cell r="C1209">
            <v>24710618</v>
          </cell>
          <cell r="D1209" t="str">
            <v>GSDLD39</v>
          </cell>
          <cell r="E1209" t="str">
            <v>SECURITY DEPOSIT VAISHALI</v>
          </cell>
          <cell r="F1209" t="str">
            <v>ASECUR</v>
          </cell>
          <cell r="G1209">
            <v>175000</v>
          </cell>
          <cell r="K1209">
            <v>175000</v>
          </cell>
        </row>
        <row r="1210">
          <cell r="C1210">
            <v>24710254</v>
          </cell>
          <cell r="D1210" t="str">
            <v>GSECDR</v>
          </cell>
          <cell r="E1210" t="str">
            <v>SECURITY DEPOSIT FOR CHANDRAPUR BRANCH</v>
          </cell>
          <cell r="F1210" t="str">
            <v>ASECUR</v>
          </cell>
          <cell r="G1210">
            <v>163171.35</v>
          </cell>
          <cell r="K1210">
            <v>163171.35</v>
          </cell>
        </row>
        <row r="1211">
          <cell r="C1211">
            <v>24710409</v>
          </cell>
          <cell r="D1211" t="str">
            <v>GSEGAN</v>
          </cell>
          <cell r="E1211" t="str">
            <v>SECURITY DEPOSIT OF GANDHIDHAM GUJARAT OFFLINE</v>
          </cell>
          <cell r="F1211" t="str">
            <v>ASECUR</v>
          </cell>
          <cell r="G1211">
            <v>0</v>
          </cell>
          <cell r="K1211">
            <v>0</v>
          </cell>
        </row>
        <row r="1212">
          <cell r="C1212">
            <v>24710597</v>
          </cell>
          <cell r="D1212" t="str">
            <v>GSERA</v>
          </cell>
          <cell r="E1212" t="str">
            <v>SECURITY DEPOSIT RAJKOT</v>
          </cell>
          <cell r="F1212" t="str">
            <v>ASECUR</v>
          </cell>
          <cell r="G1212">
            <v>245145.87</v>
          </cell>
          <cell r="K1212">
            <v>245145.87</v>
          </cell>
        </row>
        <row r="1213">
          <cell r="C1213">
            <v>24710657</v>
          </cell>
          <cell r="D1213" t="str">
            <v>GSECJ</v>
          </cell>
          <cell r="E1213" t="str">
            <v>SECURITY FOR JODHPUR PREMISES</v>
          </cell>
          <cell r="F1213" t="str">
            <v>ASECUR</v>
          </cell>
          <cell r="G1213">
            <v>168000</v>
          </cell>
          <cell r="K1213">
            <v>168000</v>
          </cell>
        </row>
        <row r="1214">
          <cell r="C1214">
            <v>24710213</v>
          </cell>
          <cell r="D1214" t="str">
            <v>GSENAGP</v>
          </cell>
          <cell r="E1214" t="str">
            <v>SECURITY DEOSIT OF NAGPUR CIVIL LINES</v>
          </cell>
          <cell r="F1214" t="str">
            <v>ASECUR</v>
          </cell>
          <cell r="G1214">
            <v>167000</v>
          </cell>
          <cell r="K1214">
            <v>167000</v>
          </cell>
        </row>
        <row r="1215">
          <cell r="C1215">
            <v>24710477</v>
          </cell>
          <cell r="D1215" t="str">
            <v>GSEMAJ</v>
          </cell>
          <cell r="E1215" t="str">
            <v>SECURITY DEPOSIT OF MANJALPUR BARODA</v>
          </cell>
          <cell r="F1215" t="str">
            <v>ASECUR</v>
          </cell>
          <cell r="G1215">
            <v>165600</v>
          </cell>
          <cell r="K1215">
            <v>165600</v>
          </cell>
        </row>
        <row r="1216">
          <cell r="C1216">
            <v>24710654</v>
          </cell>
          <cell r="D1216" t="str">
            <v>GSEJP</v>
          </cell>
          <cell r="E1216" t="str">
            <v>SECURITY FOR JAIPUR PREMISES - NEW</v>
          </cell>
          <cell r="F1216" t="str">
            <v>ASECUR</v>
          </cell>
          <cell r="G1216">
            <v>165000</v>
          </cell>
          <cell r="K1216">
            <v>165000</v>
          </cell>
        </row>
        <row r="1217">
          <cell r="C1217">
            <v>24710570</v>
          </cell>
          <cell r="D1217" t="str">
            <v>GSETRB</v>
          </cell>
          <cell r="E1217" t="str">
            <v>SECURITY DEPOSIT OF TRIDENT BRODA BRANCH</v>
          </cell>
          <cell r="F1217" t="str">
            <v>ASECUR</v>
          </cell>
          <cell r="G1217">
            <v>165000</v>
          </cell>
          <cell r="K1217">
            <v>165000</v>
          </cell>
        </row>
        <row r="1218">
          <cell r="C1218">
            <v>24710532</v>
          </cell>
          <cell r="D1218" t="str">
            <v>GSESABA</v>
          </cell>
          <cell r="E1218" t="str">
            <v>SECURITY DEPOSIT OF SABARMATI ONLINE BRANCH</v>
          </cell>
          <cell r="F1218" t="str">
            <v>ASECUR</v>
          </cell>
          <cell r="G1218">
            <v>164604</v>
          </cell>
          <cell r="K1218">
            <v>164604</v>
          </cell>
        </row>
        <row r="1219">
          <cell r="C1219">
            <v>24710637</v>
          </cell>
          <cell r="D1219" t="str">
            <v>GSEAM</v>
          </cell>
          <cell r="E1219" t="str">
            <v>SECURITY FOR AMRITSAR PREMISES</v>
          </cell>
          <cell r="F1219" t="str">
            <v>ASECUR</v>
          </cell>
          <cell r="G1219">
            <v>162000</v>
          </cell>
          <cell r="K1219">
            <v>162000</v>
          </cell>
        </row>
        <row r="1220">
          <cell r="C1220">
            <v>24710337</v>
          </cell>
          <cell r="D1220" t="str">
            <v>GSEAGR</v>
          </cell>
          <cell r="E1220" t="str">
            <v>SECURITY DEPOSIT OF AGRA SADAR BAZAR (UP)</v>
          </cell>
          <cell r="F1220" t="str">
            <v>ASECUR</v>
          </cell>
          <cell r="G1220">
            <v>158100</v>
          </cell>
          <cell r="K1220">
            <v>158100</v>
          </cell>
        </row>
        <row r="1221">
          <cell r="C1221">
            <v>24710655</v>
          </cell>
          <cell r="D1221" t="str">
            <v>GSEJL</v>
          </cell>
          <cell r="E1221" t="str">
            <v>SECURITY FOR JALANDHAR PREMISES</v>
          </cell>
          <cell r="F1221" t="str">
            <v>ASECUR</v>
          </cell>
          <cell r="G1221">
            <v>156041</v>
          </cell>
          <cell r="K1221">
            <v>156041</v>
          </cell>
        </row>
        <row r="1222">
          <cell r="C1222">
            <v>24710360</v>
          </cell>
          <cell r="D1222" t="str">
            <v>GSEAUD</v>
          </cell>
          <cell r="E1222" t="str">
            <v>SECURITY DEPOSIT OF ASHOK NAGAR UDAIPUR</v>
          </cell>
          <cell r="F1222" t="str">
            <v>ASECUR</v>
          </cell>
          <cell r="G1222">
            <v>156000</v>
          </cell>
          <cell r="K1222">
            <v>156000</v>
          </cell>
        </row>
        <row r="1223">
          <cell r="C1223">
            <v>24710392</v>
          </cell>
          <cell r="D1223" t="str">
            <v>GSDDND</v>
          </cell>
          <cell r="E1223" t="str">
            <v>SECURITY DEPOSIT OF DEHRADUN OFFLINE-2</v>
          </cell>
          <cell r="F1223" t="str">
            <v>ASECUR</v>
          </cell>
          <cell r="G1223">
            <v>136976</v>
          </cell>
          <cell r="K1223">
            <v>136976</v>
          </cell>
        </row>
        <row r="1224">
          <cell r="C1224">
            <v>24710459</v>
          </cell>
          <cell r="D1224" t="str">
            <v>GSEKOT</v>
          </cell>
          <cell r="E1224" t="str">
            <v>SECURITY DEPOSIT OF KOTAKPURA PUNJAB ONLINE</v>
          </cell>
          <cell r="F1224" t="str">
            <v>ASECUR</v>
          </cell>
          <cell r="G1224">
            <v>153000</v>
          </cell>
          <cell r="K1224">
            <v>153000</v>
          </cell>
        </row>
        <row r="1225">
          <cell r="C1225">
            <v>24710311</v>
          </cell>
          <cell r="D1225" t="str">
            <v>GSEKAN</v>
          </cell>
          <cell r="E1225" t="str">
            <v>SECURITY DEPOSIT KANPUR</v>
          </cell>
          <cell r="F1225" t="str">
            <v>ASECUR</v>
          </cell>
          <cell r="G1225">
            <v>151050</v>
          </cell>
          <cell r="K1225">
            <v>151050</v>
          </cell>
        </row>
        <row r="1226">
          <cell r="C1226">
            <v>24710223</v>
          </cell>
          <cell r="D1226" t="str">
            <v>GSEANDH</v>
          </cell>
          <cell r="E1226" t="str">
            <v>SECURITY DEPOSIT ANDHERI MUMBAI (WEST)</v>
          </cell>
          <cell r="F1226" t="str">
            <v>ASECUR</v>
          </cell>
          <cell r="G1226">
            <v>115696.67</v>
          </cell>
          <cell r="K1226">
            <v>115696.67</v>
          </cell>
        </row>
        <row r="1227">
          <cell r="C1227">
            <v>24710689</v>
          </cell>
          <cell r="D1227" t="str">
            <v>GSECHYD</v>
          </cell>
          <cell r="E1227" t="str">
            <v>SECURITY RENT HYDRABAD</v>
          </cell>
          <cell r="F1227" t="str">
            <v>ASECUR</v>
          </cell>
          <cell r="G1227">
            <v>150192</v>
          </cell>
          <cell r="K1227">
            <v>150192</v>
          </cell>
        </row>
        <row r="1228">
          <cell r="C1228">
            <v>24710262</v>
          </cell>
          <cell r="D1228" t="str">
            <v>GSEGON</v>
          </cell>
          <cell r="E1228" t="str">
            <v>SECURITY DEPOSIT FOR GONDIA BRANCH</v>
          </cell>
          <cell r="F1228" t="str">
            <v>ASECUR</v>
          </cell>
          <cell r="G1228">
            <v>150000</v>
          </cell>
          <cell r="K1228">
            <v>150000</v>
          </cell>
        </row>
        <row r="1229">
          <cell r="C1229">
            <v>24710293</v>
          </cell>
          <cell r="D1229" t="str">
            <v>GSEVIR</v>
          </cell>
          <cell r="E1229" t="str">
            <v>SECURITY DEPOSIT FOR VIRAR BRANCH</v>
          </cell>
          <cell r="F1229" t="str">
            <v>ASECUR</v>
          </cell>
          <cell r="G1229">
            <v>150000</v>
          </cell>
          <cell r="K1229">
            <v>150000</v>
          </cell>
        </row>
        <row r="1230">
          <cell r="C1230">
            <v>24710299</v>
          </cell>
          <cell r="D1230" t="str">
            <v>GSEGRG</v>
          </cell>
          <cell r="E1230" t="str">
            <v>SECURITY DEPOSIT GURGAON</v>
          </cell>
          <cell r="F1230" t="str">
            <v>ASECUR</v>
          </cell>
          <cell r="G1230">
            <v>150000</v>
          </cell>
          <cell r="K1230">
            <v>150000</v>
          </cell>
        </row>
        <row r="1231">
          <cell r="C1231">
            <v>24710422</v>
          </cell>
          <cell r="D1231" t="str">
            <v>GSEGGH</v>
          </cell>
          <cell r="E1231" t="str">
            <v>SECURITY DEPOSIT OF GURGAON GUEST HOUSE</v>
          </cell>
          <cell r="F1231" t="str">
            <v>ASECUR</v>
          </cell>
          <cell r="G1231">
            <v>113163.68</v>
          </cell>
          <cell r="K1231">
            <v>113163.68</v>
          </cell>
        </row>
        <row r="1232">
          <cell r="C1232">
            <v>24710429</v>
          </cell>
          <cell r="D1232" t="str">
            <v>GSEHRD</v>
          </cell>
          <cell r="E1232" t="str">
            <v>SECURITY DEPOSIT OF HARIDWAR BRANCH</v>
          </cell>
          <cell r="F1232" t="str">
            <v>ASECUR</v>
          </cell>
          <cell r="G1232">
            <v>0</v>
          </cell>
          <cell r="K1232">
            <v>0</v>
          </cell>
        </row>
        <row r="1233">
          <cell r="C1233">
            <v>24710651</v>
          </cell>
          <cell r="D1233" t="str">
            <v>GSEHU</v>
          </cell>
          <cell r="E1233" t="str">
            <v>SECURITY FOR HUBLI BRANCH</v>
          </cell>
          <cell r="F1233" t="str">
            <v>ASECUR</v>
          </cell>
          <cell r="G1233">
            <v>150000</v>
          </cell>
          <cell r="K1233">
            <v>150000</v>
          </cell>
        </row>
        <row r="1234">
          <cell r="C1234">
            <v>24710686</v>
          </cell>
          <cell r="D1234" t="str">
            <v>GSEYA</v>
          </cell>
          <cell r="E1234" t="str">
            <v>SECURITY FOR YAMUNA NAGAR PREMISES(NEW)</v>
          </cell>
          <cell r="F1234" t="str">
            <v>ASECUR</v>
          </cell>
          <cell r="G1234">
            <v>144900</v>
          </cell>
          <cell r="K1234">
            <v>144900</v>
          </cell>
        </row>
        <row r="1235">
          <cell r="C1235">
            <v>24710685</v>
          </cell>
          <cell r="D1235" t="str">
            <v>GA0458</v>
          </cell>
          <cell r="E1235" t="str">
            <v>SECURITY FOR VIJAYWADA PREMISES</v>
          </cell>
          <cell r="F1235" t="str">
            <v>ASECUR</v>
          </cell>
          <cell r="G1235">
            <v>144000</v>
          </cell>
          <cell r="K1235">
            <v>144000</v>
          </cell>
        </row>
        <row r="1236">
          <cell r="C1236">
            <v>24710472</v>
          </cell>
          <cell r="D1236" t="str">
            <v>GSEMJA</v>
          </cell>
          <cell r="E1236" t="str">
            <v>SECURITY DEPOSIT OF MALVIYA NAGAR JAIPUR BRANCH</v>
          </cell>
          <cell r="F1236" t="str">
            <v>ASECUR</v>
          </cell>
          <cell r="G1236">
            <v>135375.70000000001</v>
          </cell>
          <cell r="K1236">
            <v>135375.70000000001</v>
          </cell>
        </row>
        <row r="1237">
          <cell r="C1237">
            <v>24710665</v>
          </cell>
          <cell r="D1237" t="str">
            <v>GSECL</v>
          </cell>
          <cell r="E1237" t="str">
            <v>SECURITY FOR LUCKNOW PREMISES</v>
          </cell>
          <cell r="F1237" t="str">
            <v>ASECUR</v>
          </cell>
          <cell r="G1237">
            <v>141990</v>
          </cell>
          <cell r="K1237">
            <v>141990</v>
          </cell>
        </row>
        <row r="1238">
          <cell r="C1238">
            <v>24710527</v>
          </cell>
          <cell r="D1238" t="str">
            <v>GSEROR</v>
          </cell>
          <cell r="E1238" t="str">
            <v>SECURITY DEPOSIT OF ROORKEE (UTRANCHAL) OFFLINE</v>
          </cell>
          <cell r="F1238" t="str">
            <v>ASECUR</v>
          </cell>
          <cell r="G1238">
            <v>138000</v>
          </cell>
          <cell r="K1238">
            <v>138000</v>
          </cell>
        </row>
        <row r="1239">
          <cell r="C1239">
            <v>24710393</v>
          </cell>
          <cell r="D1239" t="str">
            <v>GSEKRIS</v>
          </cell>
          <cell r="E1239" t="str">
            <v>SECURITY DEPOSIT OF DELHI KRISHNA NAGAR OFFLINE</v>
          </cell>
          <cell r="F1239" t="str">
            <v>ASECUR</v>
          </cell>
          <cell r="G1239">
            <v>127500</v>
          </cell>
          <cell r="K1239">
            <v>127500</v>
          </cell>
        </row>
        <row r="1240">
          <cell r="C1240">
            <v>24710413</v>
          </cell>
          <cell r="D1240" t="str">
            <v>GSEGHAZ</v>
          </cell>
          <cell r="E1240" t="str">
            <v>SECURITY DEPOSIT OF GHAZIABAD RDC RAJ NAGAR</v>
          </cell>
          <cell r="F1240" t="str">
            <v>ASECUR</v>
          </cell>
          <cell r="G1240">
            <v>73387.22</v>
          </cell>
          <cell r="K1240">
            <v>73387.22</v>
          </cell>
        </row>
        <row r="1241">
          <cell r="C1241">
            <v>24710530</v>
          </cell>
          <cell r="D1241" t="str">
            <v>GSRUDR</v>
          </cell>
          <cell r="E1241" t="str">
            <v>SECURITY DEPOSIT OF RUDRAPUR (UTTARANCHAL)</v>
          </cell>
          <cell r="F1241" t="str">
            <v>ASECUR</v>
          </cell>
          <cell r="G1241">
            <v>84490</v>
          </cell>
          <cell r="K1241">
            <v>84490</v>
          </cell>
        </row>
        <row r="1242">
          <cell r="C1242">
            <v>24710539</v>
          </cell>
          <cell r="D1242" t="str">
            <v>GSESRUR</v>
          </cell>
          <cell r="E1242" t="str">
            <v>SECURITY DEPOSIT OF SANGRUR PUNJAB BRANCH</v>
          </cell>
          <cell r="F1242" t="str">
            <v>ASECUR</v>
          </cell>
          <cell r="G1242">
            <v>98951.84</v>
          </cell>
          <cell r="K1242">
            <v>98951.84</v>
          </cell>
        </row>
        <row r="1243">
          <cell r="C1243">
            <v>24710554</v>
          </cell>
          <cell r="D1243" t="str">
            <v>GSESOL</v>
          </cell>
          <cell r="E1243" t="str">
            <v>SECURITY DEPOSIT OF SOLAN ONLINE BRANCH HIMAC</v>
          </cell>
          <cell r="F1243" t="str">
            <v>ASECUR</v>
          </cell>
          <cell r="G1243">
            <v>64514.32</v>
          </cell>
          <cell r="K1243">
            <v>64514.32</v>
          </cell>
        </row>
        <row r="1244">
          <cell r="C1244">
            <v>24710368</v>
          </cell>
          <cell r="D1244" t="str">
            <v>GSEBARE</v>
          </cell>
          <cell r="E1244" t="str">
            <v>SECURITY DEPOSIT OF BAREILLY ONLINE BRANCH</v>
          </cell>
          <cell r="F1244" t="str">
            <v>ASECUR</v>
          </cell>
          <cell r="G1244">
            <v>92827.48</v>
          </cell>
          <cell r="K1244">
            <v>92827.48</v>
          </cell>
        </row>
        <row r="1245">
          <cell r="C1245">
            <v>24710313</v>
          </cell>
          <cell r="D1245" t="str">
            <v>GSKOLH</v>
          </cell>
          <cell r="E1245" t="str">
            <v>SECURITY DEPOSIT KOLHAPUR  (OFFLINE)</v>
          </cell>
          <cell r="F1245" t="str">
            <v>ASECUR</v>
          </cell>
          <cell r="G1245">
            <v>115000</v>
          </cell>
          <cell r="K1245">
            <v>115000</v>
          </cell>
        </row>
        <row r="1246">
          <cell r="C1246">
            <v>24710307</v>
          </cell>
          <cell r="D1246" t="str">
            <v>GSEJAI</v>
          </cell>
          <cell r="E1246" t="str">
            <v>SECURITY DEPOSIT JAIPUR</v>
          </cell>
          <cell r="F1246" t="str">
            <v>ASECUR</v>
          </cell>
          <cell r="G1246">
            <v>114906.37</v>
          </cell>
          <cell r="K1246">
            <v>114906.37</v>
          </cell>
        </row>
        <row r="1247">
          <cell r="C1247">
            <v>24710662</v>
          </cell>
          <cell r="D1247" t="str">
            <v>GSEKA</v>
          </cell>
          <cell r="E1247" t="str">
            <v>SECURITY FOR KARNAL DEPOSIT</v>
          </cell>
          <cell r="F1247" t="str">
            <v>ASECUR</v>
          </cell>
          <cell r="G1247">
            <v>114000</v>
          </cell>
          <cell r="K1247">
            <v>114000</v>
          </cell>
        </row>
        <row r="1248">
          <cell r="C1248">
            <v>24710421</v>
          </cell>
          <cell r="D1248" t="str">
            <v>GSEGUL</v>
          </cell>
          <cell r="E1248" t="str">
            <v>SECURITY DEPOSIT OF GULBARGA(KARNATKA)</v>
          </cell>
          <cell r="F1248" t="str">
            <v>ASECUR</v>
          </cell>
          <cell r="G1248">
            <v>0</v>
          </cell>
          <cell r="K1248">
            <v>0</v>
          </cell>
        </row>
        <row r="1249">
          <cell r="C1249">
            <v>24710148</v>
          </cell>
          <cell r="E1249" t="str">
            <v>SECURITY DEPOSIT FOR SAFDARJUNG ENCLAVE</v>
          </cell>
          <cell r="F1249" t="str">
            <v>ASECUR</v>
          </cell>
          <cell r="G1249">
            <v>100000</v>
          </cell>
          <cell r="K1249">
            <v>100000</v>
          </cell>
        </row>
        <row r="1250">
          <cell r="C1250">
            <v>24710362</v>
          </cell>
          <cell r="D1250" t="str">
            <v>GSEAURA</v>
          </cell>
          <cell r="E1250" t="str">
            <v>SECURITY DEPOSIT OF AURANGABAD SAI ARCADE OFFLINE</v>
          </cell>
          <cell r="F1250" t="str">
            <v>ASECUR</v>
          </cell>
          <cell r="G1250">
            <v>0</v>
          </cell>
          <cell r="K1250">
            <v>0</v>
          </cell>
        </row>
        <row r="1251">
          <cell r="C1251">
            <v>24710371</v>
          </cell>
          <cell r="D1251" t="str">
            <v>GSEBELL</v>
          </cell>
          <cell r="E1251" t="str">
            <v>SECURITY DEPOSIT OF BELLARY (KARNATKA)</v>
          </cell>
          <cell r="F1251" t="str">
            <v>ASECUR</v>
          </cell>
          <cell r="G1251">
            <v>0</v>
          </cell>
          <cell r="K1251">
            <v>0</v>
          </cell>
        </row>
        <row r="1252">
          <cell r="C1252">
            <v>24710546</v>
          </cell>
          <cell r="D1252" t="str">
            <v>GSESHA</v>
          </cell>
          <cell r="E1252" t="str">
            <v>SECURITY DEPOSIT OF SHARANPUR COURT ROAD UP BRANCH</v>
          </cell>
          <cell r="F1252" t="str">
            <v>ASECUR</v>
          </cell>
          <cell r="G1252">
            <v>95434</v>
          </cell>
          <cell r="K1252">
            <v>95434</v>
          </cell>
        </row>
        <row r="1253">
          <cell r="C1253">
            <v>24710584</v>
          </cell>
          <cell r="D1253" t="str">
            <v>GSEYUV</v>
          </cell>
          <cell r="E1253" t="str">
            <v>SECURITY DEPOSIT OF YUVRAJ SINGH CHOUDHARY</v>
          </cell>
          <cell r="F1253" t="str">
            <v>ASECUR</v>
          </cell>
          <cell r="G1253">
            <v>100000</v>
          </cell>
          <cell r="K1253">
            <v>100000</v>
          </cell>
        </row>
        <row r="1254">
          <cell r="C1254">
            <v>24710623</v>
          </cell>
          <cell r="D1254" t="str">
            <v>GMUKU</v>
          </cell>
          <cell r="E1254" t="str">
            <v>SECURITY DEPOSIT VASI (MG)</v>
          </cell>
          <cell r="F1254" t="str">
            <v>ASECUR</v>
          </cell>
          <cell r="G1254">
            <v>100000</v>
          </cell>
          <cell r="K1254">
            <v>100000</v>
          </cell>
        </row>
        <row r="1255">
          <cell r="C1255">
            <v>24710320</v>
          </cell>
          <cell r="D1255" t="str">
            <v>GSEMAN</v>
          </cell>
          <cell r="E1255" t="str">
            <v>SECURITY DEPOSIT MANDI GOBINDGARH</v>
          </cell>
          <cell r="F1255" t="str">
            <v>ASECUR</v>
          </cell>
          <cell r="G1255">
            <v>96000</v>
          </cell>
          <cell r="K1255">
            <v>96000</v>
          </cell>
        </row>
        <row r="1256">
          <cell r="C1256">
            <v>24710615</v>
          </cell>
          <cell r="D1256" t="str">
            <v>GSEUD</v>
          </cell>
          <cell r="E1256" t="str">
            <v>SECURITY DEPOSIT UDIAPUR</v>
          </cell>
          <cell r="F1256" t="str">
            <v>ASECUR</v>
          </cell>
          <cell r="G1256">
            <v>96000</v>
          </cell>
          <cell r="K1256">
            <v>96000</v>
          </cell>
        </row>
        <row r="1257">
          <cell r="C1257">
            <v>24710219</v>
          </cell>
          <cell r="D1257" t="str">
            <v>GSEALL</v>
          </cell>
          <cell r="E1257" t="str">
            <v>SECURITY DEPOSIT ALLAHABAD (ONLINE)</v>
          </cell>
          <cell r="F1257" t="str">
            <v>ASECUR</v>
          </cell>
          <cell r="G1257">
            <v>93600</v>
          </cell>
          <cell r="K1257">
            <v>93600</v>
          </cell>
        </row>
        <row r="1258">
          <cell r="C1258">
            <v>24710222</v>
          </cell>
          <cell r="D1258" t="str">
            <v>GSE01</v>
          </cell>
          <cell r="E1258" t="str">
            <v>SECURITY DEPOSIT ANAND (AHEMDABAD)</v>
          </cell>
          <cell r="F1258" t="str">
            <v>ASECUR</v>
          </cell>
          <cell r="G1258">
            <v>91008</v>
          </cell>
          <cell r="K1258">
            <v>91008</v>
          </cell>
        </row>
        <row r="1259">
          <cell r="C1259">
            <v>24710387</v>
          </cell>
          <cell r="D1259" t="str">
            <v>GSECHIC</v>
          </cell>
          <cell r="E1259" t="str">
            <v>SECURITY DEPOSIT OF CHICKMAGLORE (KARNATAKA) BRANC</v>
          </cell>
          <cell r="F1259" t="str">
            <v>ASECUR</v>
          </cell>
          <cell r="G1259">
            <v>90000</v>
          </cell>
          <cell r="K1259">
            <v>90000</v>
          </cell>
        </row>
        <row r="1260">
          <cell r="C1260">
            <v>24710462</v>
          </cell>
          <cell r="D1260" t="str">
            <v>GSELAJ</v>
          </cell>
          <cell r="E1260" t="str">
            <v>SECURITY DEPOSIT OF LAJPAT NAGAR KANPUR ONLINE</v>
          </cell>
          <cell r="F1260" t="str">
            <v>ASECUR</v>
          </cell>
          <cell r="G1260">
            <v>90000</v>
          </cell>
          <cell r="K1260">
            <v>90000</v>
          </cell>
        </row>
        <row r="1261">
          <cell r="C1261">
            <v>24710616</v>
          </cell>
          <cell r="D1261" t="str">
            <v>GSEUJ</v>
          </cell>
          <cell r="E1261" t="str">
            <v>SECURITY DEPOSIT UJJAIN</v>
          </cell>
          <cell r="F1261" t="str">
            <v>ASECUR</v>
          </cell>
          <cell r="G1261">
            <v>90000</v>
          </cell>
          <cell r="K1261">
            <v>90000</v>
          </cell>
        </row>
        <row r="1262">
          <cell r="C1262">
            <v>24710394</v>
          </cell>
          <cell r="D1262" t="str">
            <v>GSEJHN</v>
          </cell>
          <cell r="E1262" t="str">
            <v>SECURITY DEPOSIT OF DEMROO CINEMA COMPLEX JHANSI</v>
          </cell>
          <cell r="F1262" t="str">
            <v>ASECUR</v>
          </cell>
          <cell r="G1262">
            <v>15911.33</v>
          </cell>
          <cell r="K1262">
            <v>15911.33</v>
          </cell>
        </row>
        <row r="1263">
          <cell r="C1263">
            <v>24710508</v>
          </cell>
          <cell r="D1263" t="str">
            <v>GSEPTKG</v>
          </cell>
          <cell r="E1263" t="str">
            <v>SECURITY DEPOSIT OF PATHANKOT PUNJAB BRANCH</v>
          </cell>
          <cell r="F1263" t="str">
            <v>ASECUR</v>
          </cell>
          <cell r="G1263">
            <v>87000</v>
          </cell>
          <cell r="K1263">
            <v>87000</v>
          </cell>
        </row>
        <row r="1264">
          <cell r="C1264">
            <v>24710327</v>
          </cell>
          <cell r="D1264" t="str">
            <v>GSDLD40</v>
          </cell>
          <cell r="E1264" t="str">
            <v>SECURITY DEPOSIT MUMBAI FORT</v>
          </cell>
          <cell r="F1264" t="str">
            <v>ASECUR</v>
          </cell>
          <cell r="G1264">
            <v>85000</v>
          </cell>
          <cell r="K1264">
            <v>85000</v>
          </cell>
        </row>
        <row r="1265">
          <cell r="C1265">
            <v>24710506</v>
          </cell>
          <cell r="D1265" t="str">
            <v>GSEPALW</v>
          </cell>
          <cell r="E1265" t="str">
            <v>SECURITY DEPOSIT OF PALWAL  FARIDABAD ONLINE BRANC</v>
          </cell>
          <cell r="F1265" t="str">
            <v>ASECUR</v>
          </cell>
          <cell r="G1265">
            <v>85000</v>
          </cell>
          <cell r="K1265">
            <v>85000</v>
          </cell>
        </row>
        <row r="1266">
          <cell r="C1266">
            <v>24710398</v>
          </cell>
          <cell r="D1266" t="str">
            <v>GSEDHAR</v>
          </cell>
          <cell r="E1266" t="str">
            <v>SECURITY DEPOSIT OF DHARWAD  JUBLEE CIRCLE</v>
          </cell>
          <cell r="F1266" t="str">
            <v>ASECUR</v>
          </cell>
          <cell r="G1266">
            <v>0</v>
          </cell>
          <cell r="K1266">
            <v>0</v>
          </cell>
        </row>
        <row r="1267">
          <cell r="C1267">
            <v>24710507</v>
          </cell>
          <cell r="D1267" t="str">
            <v>GSEPGT</v>
          </cell>
          <cell r="E1267" t="str">
            <v>SECURITY DEPOSIT OF PANIPAT NEAR GURUDWARA</v>
          </cell>
          <cell r="F1267" t="str">
            <v>ASECUR</v>
          </cell>
          <cell r="G1267">
            <v>75000</v>
          </cell>
          <cell r="K1267">
            <v>75000</v>
          </cell>
        </row>
        <row r="1268">
          <cell r="C1268">
            <v>24710343</v>
          </cell>
          <cell r="D1268" t="str">
            <v>GSEALO</v>
          </cell>
          <cell r="E1268" t="str">
            <v>SECURITY DEPOSIT OF ALLAHABAD OFFLINE</v>
          </cell>
          <cell r="F1268" t="str">
            <v>ASECUR</v>
          </cell>
          <cell r="G1268">
            <v>74250</v>
          </cell>
          <cell r="K1268">
            <v>74250</v>
          </cell>
        </row>
        <row r="1269">
          <cell r="C1269">
            <v>24710424</v>
          </cell>
          <cell r="D1269" t="str">
            <v>GSEGWA</v>
          </cell>
          <cell r="E1269" t="str">
            <v>SECURITY DEPOSIT OF GWALIOR BRANCH (UP)</v>
          </cell>
          <cell r="F1269" t="str">
            <v>ASECUR</v>
          </cell>
          <cell r="G1269">
            <v>0</v>
          </cell>
          <cell r="K1269">
            <v>0</v>
          </cell>
        </row>
        <row r="1270">
          <cell r="C1270">
            <v>24710465</v>
          </cell>
          <cell r="D1270" t="str">
            <v>GSELUC</v>
          </cell>
          <cell r="E1270" t="str">
            <v>SECURITY DEPOSIT OF LUCKNOW (ONLINE)</v>
          </cell>
          <cell r="F1270" t="str">
            <v>ASECUR</v>
          </cell>
          <cell r="G1270">
            <v>72000</v>
          </cell>
          <cell r="K1270">
            <v>72000</v>
          </cell>
        </row>
        <row r="1271">
          <cell r="C1271">
            <v>24710460</v>
          </cell>
          <cell r="D1271" t="str">
            <v>GSEKVA</v>
          </cell>
          <cell r="E1271" t="str">
            <v>SECURITY DEPOSIT OF KUBER A C MARKET VARANASI</v>
          </cell>
          <cell r="F1271" t="str">
            <v>ASECUR</v>
          </cell>
          <cell r="G1271">
            <v>71757</v>
          </cell>
          <cell r="K1271">
            <v>71757</v>
          </cell>
        </row>
        <row r="1272">
          <cell r="C1272">
            <v>24710300</v>
          </cell>
          <cell r="D1272" t="str">
            <v>GSDLF</v>
          </cell>
          <cell r="E1272" t="str">
            <v>SECURITY DEPOSIT GURGAON - DLF</v>
          </cell>
          <cell r="F1272" t="str">
            <v>ASECUR</v>
          </cell>
          <cell r="G1272">
            <v>60000</v>
          </cell>
          <cell r="K1272">
            <v>60000</v>
          </cell>
        </row>
        <row r="1273">
          <cell r="C1273">
            <v>24710331</v>
          </cell>
          <cell r="D1273" t="str">
            <v>GSENAR</v>
          </cell>
          <cell r="E1273" t="str">
            <v>SECURITY DEPOSIT NARIMAN POINT</v>
          </cell>
          <cell r="F1273" t="str">
            <v>ASECUR</v>
          </cell>
          <cell r="G1273">
            <v>60000</v>
          </cell>
          <cell r="K1273">
            <v>60000</v>
          </cell>
        </row>
        <row r="1274">
          <cell r="C1274">
            <v>24710384</v>
          </cell>
          <cell r="D1274" t="str">
            <v>GSETIRUP</v>
          </cell>
          <cell r="E1274" t="str">
            <v>SECURITY DEPOSIT OF CENTRAL PARK TIRUPATI BRANCH</v>
          </cell>
          <cell r="F1274" t="str">
            <v>ASECUR</v>
          </cell>
          <cell r="G1274">
            <v>60000</v>
          </cell>
          <cell r="K1274">
            <v>60000</v>
          </cell>
        </row>
        <row r="1275">
          <cell r="C1275">
            <v>24710614</v>
          </cell>
          <cell r="D1275" t="str">
            <v>GSETRU</v>
          </cell>
          <cell r="E1275" t="str">
            <v>SECURITY DEPOSIT TRUPATI</v>
          </cell>
          <cell r="F1275" t="str">
            <v>ASECUR</v>
          </cell>
          <cell r="G1275">
            <v>60000</v>
          </cell>
          <cell r="K1275">
            <v>60000</v>
          </cell>
        </row>
        <row r="1276">
          <cell r="C1276">
            <v>24710652</v>
          </cell>
          <cell r="D1276" t="str">
            <v>GA0388</v>
          </cell>
          <cell r="E1276" t="str">
            <v>SECURITY FOR INDORE PREMI</v>
          </cell>
          <cell r="F1276" t="str">
            <v>ASECUR</v>
          </cell>
          <cell r="G1276">
            <v>57000</v>
          </cell>
          <cell r="K1276">
            <v>57000</v>
          </cell>
        </row>
        <row r="1277">
          <cell r="C1277">
            <v>24710440</v>
          </cell>
          <cell r="D1277" t="str">
            <v>GSEVAIS</v>
          </cell>
          <cell r="E1277" t="str">
            <v>SECURITY DEPOSIT OF JAIPUR VAISHALI NAGAR OFFLINE</v>
          </cell>
          <cell r="F1277" t="str">
            <v>ASECUR</v>
          </cell>
          <cell r="G1277">
            <v>55500</v>
          </cell>
          <cell r="K1277">
            <v>55500</v>
          </cell>
        </row>
        <row r="1278">
          <cell r="C1278">
            <v>24710296</v>
          </cell>
          <cell r="D1278" t="str">
            <v>GSEGOR</v>
          </cell>
          <cell r="E1278" t="str">
            <v>SECURITY DEPOSIT GORAKHPUR ONLINE</v>
          </cell>
          <cell r="F1278" t="str">
            <v>ASECUR</v>
          </cell>
          <cell r="G1278">
            <v>54840</v>
          </cell>
          <cell r="K1278">
            <v>54840</v>
          </cell>
        </row>
        <row r="1279">
          <cell r="C1279">
            <v>24710630</v>
          </cell>
          <cell r="D1279" t="str">
            <v>GSENO</v>
          </cell>
          <cell r="E1279" t="str">
            <v>SECURITY DEPOSITE GREATER NOIDA</v>
          </cell>
          <cell r="F1279" t="str">
            <v>ASECUR</v>
          </cell>
          <cell r="G1279">
            <v>37030.32</v>
          </cell>
          <cell r="K1279">
            <v>37030.32</v>
          </cell>
        </row>
        <row r="1280">
          <cell r="C1280">
            <v>24710214</v>
          </cell>
          <cell r="D1280" t="str">
            <v>GE0093</v>
          </cell>
          <cell r="E1280" t="str">
            <v>SECURITY DEPOSIT (JAIPUR)</v>
          </cell>
          <cell r="F1280" t="str">
            <v>ASECUR</v>
          </cell>
          <cell r="G1280">
            <v>53676</v>
          </cell>
          <cell r="K1280">
            <v>53676</v>
          </cell>
        </row>
        <row r="1281">
          <cell r="C1281">
            <v>24710696</v>
          </cell>
          <cell r="D1281" t="str">
            <v>GSE07</v>
          </cell>
          <cell r="E1281" t="str">
            <v>SECUTIRY DEPOSIT GORKHPUR OFFLINE</v>
          </cell>
          <cell r="F1281" t="str">
            <v>ASECUR</v>
          </cell>
          <cell r="G1281">
            <v>52500</v>
          </cell>
          <cell r="K1281">
            <v>52500</v>
          </cell>
        </row>
        <row r="1282">
          <cell r="C1282">
            <v>24710397</v>
          </cell>
          <cell r="D1282" t="str">
            <v>GSEDHA</v>
          </cell>
          <cell r="E1282" t="str">
            <v>SECURITY DEPOSIT OF DHANAVAIPETA RAJAHMUNDRY BRANC</v>
          </cell>
          <cell r="F1282" t="str">
            <v>ASECUR</v>
          </cell>
          <cell r="G1282">
            <v>0</v>
          </cell>
          <cell r="K1282">
            <v>0</v>
          </cell>
        </row>
        <row r="1283">
          <cell r="C1283">
            <v>24710419</v>
          </cell>
          <cell r="D1283" t="str">
            <v>GSEGOV</v>
          </cell>
          <cell r="E1283" t="str">
            <v>SECURITY DEPOSIT OF GOVERNORPET VIJAYAWADA BRANCH</v>
          </cell>
          <cell r="F1283" t="str">
            <v>ASECUR</v>
          </cell>
          <cell r="G1283">
            <v>0</v>
          </cell>
          <cell r="K1283">
            <v>0</v>
          </cell>
        </row>
        <row r="1284">
          <cell r="C1284">
            <v>24710558</v>
          </cell>
          <cell r="D1284" t="str">
            <v>GSESRIK</v>
          </cell>
          <cell r="E1284" t="str">
            <v>SECURITY DEPOSIT OF SRIKAKULAM ANDHRA PRADESH OF</v>
          </cell>
          <cell r="F1284" t="str">
            <v>ASECUR</v>
          </cell>
          <cell r="G1284">
            <v>0</v>
          </cell>
          <cell r="K1284">
            <v>0</v>
          </cell>
        </row>
        <row r="1285">
          <cell r="C1285">
            <v>24710571</v>
          </cell>
          <cell r="D1285" t="str">
            <v>GSEKUR</v>
          </cell>
          <cell r="E1285" t="str">
            <v>SECURITY DEPOSIT OF UCON PLAZA KURNOOL OFFLINE</v>
          </cell>
          <cell r="F1285" t="str">
            <v>ASECUR</v>
          </cell>
          <cell r="G1285">
            <v>0</v>
          </cell>
          <cell r="K1285">
            <v>0</v>
          </cell>
        </row>
        <row r="1286">
          <cell r="C1286">
            <v>24710622</v>
          </cell>
          <cell r="D1286" t="str">
            <v>GGAUR</v>
          </cell>
          <cell r="E1286" t="str">
            <v>SECURITY DEPOSIT VASI (GMG)</v>
          </cell>
          <cell r="F1286" t="str">
            <v>ASECUR</v>
          </cell>
          <cell r="G1286">
            <v>50000</v>
          </cell>
          <cell r="K1286">
            <v>50000</v>
          </cell>
        </row>
        <row r="1287">
          <cell r="C1287">
            <v>24710649</v>
          </cell>
          <cell r="D1287" t="str">
            <v>GSECG</v>
          </cell>
          <cell r="E1287" t="str">
            <v>SECURITY FOR GOA PREMISES(NEW)</v>
          </cell>
          <cell r="F1287" t="str">
            <v>ASECUR</v>
          </cell>
          <cell r="G1287">
            <v>49823</v>
          </cell>
          <cell r="K1287">
            <v>49823</v>
          </cell>
        </row>
        <row r="1288">
          <cell r="C1288">
            <v>24710309</v>
          </cell>
          <cell r="D1288" t="str">
            <v>GSEJHA</v>
          </cell>
          <cell r="E1288" t="str">
            <v>SECURITY DEPOSIT JHANSI</v>
          </cell>
          <cell r="F1288" t="str">
            <v>ASECUR</v>
          </cell>
          <cell r="G1288">
            <v>48000</v>
          </cell>
          <cell r="K1288">
            <v>48000</v>
          </cell>
        </row>
        <row r="1289">
          <cell r="C1289">
            <v>24710578</v>
          </cell>
          <cell r="D1289" t="str">
            <v>GSEVIK</v>
          </cell>
          <cell r="E1289" t="str">
            <v>SECURITY DEPOSIT OF VIKAS SACHEVA RESIDENTIAL LEAS</v>
          </cell>
          <cell r="F1289" t="str">
            <v>ASECUR</v>
          </cell>
          <cell r="G1289">
            <v>48000</v>
          </cell>
          <cell r="K1289">
            <v>48000</v>
          </cell>
        </row>
        <row r="1290">
          <cell r="C1290">
            <v>24710648</v>
          </cell>
          <cell r="D1290" t="str">
            <v>GSECZ</v>
          </cell>
          <cell r="E1290" t="str">
            <v>SECURITY FOR GHAZIABAD PREMISES</v>
          </cell>
          <cell r="F1290" t="str">
            <v>ASECUR</v>
          </cell>
          <cell r="G1290">
            <v>48000</v>
          </cell>
          <cell r="K1290">
            <v>48000</v>
          </cell>
        </row>
        <row r="1291">
          <cell r="C1291">
            <v>24710230</v>
          </cell>
          <cell r="D1291" t="str">
            <v>GSEBIK</v>
          </cell>
          <cell r="E1291" t="str">
            <v>SECURITY DEPOSIT BIKANER</v>
          </cell>
          <cell r="F1291" t="str">
            <v>ASECUR</v>
          </cell>
          <cell r="G1291">
            <v>45000</v>
          </cell>
          <cell r="K1291">
            <v>45000</v>
          </cell>
        </row>
        <row r="1292">
          <cell r="C1292">
            <v>24710344</v>
          </cell>
          <cell r="D1292" t="str">
            <v>GSEALWAR</v>
          </cell>
          <cell r="E1292" t="str">
            <v>SECURITY DEPOSIT OF ALWAR ONLINE (RAJSTAN)</v>
          </cell>
          <cell r="F1292" t="str">
            <v>ASECUR</v>
          </cell>
          <cell r="G1292">
            <v>0</v>
          </cell>
          <cell r="K1292">
            <v>0</v>
          </cell>
        </row>
        <row r="1293">
          <cell r="C1293">
            <v>24710352</v>
          </cell>
          <cell r="D1293" t="str">
            <v>GSEAMRI</v>
          </cell>
          <cell r="E1293" t="str">
            <v>SECURITY DEPOSIT OF AMRITSAR ONLINE BRANCH</v>
          </cell>
          <cell r="F1293" t="str">
            <v>ASECUR</v>
          </cell>
          <cell r="G1293">
            <v>45000</v>
          </cell>
          <cell r="K1293">
            <v>45000</v>
          </cell>
        </row>
        <row r="1294">
          <cell r="C1294">
            <v>24710435</v>
          </cell>
          <cell r="D1294" t="str">
            <v>GSEHALD</v>
          </cell>
          <cell r="E1294" t="str">
            <v>SECURITY DEPOSIT OF HOLDWANI  DURGA CITY</v>
          </cell>
          <cell r="F1294" t="str">
            <v>ASECUR</v>
          </cell>
          <cell r="G1294">
            <v>45000</v>
          </cell>
          <cell r="K1294">
            <v>45000</v>
          </cell>
        </row>
        <row r="1295">
          <cell r="C1295">
            <v>24710342</v>
          </cell>
          <cell r="D1295" t="str">
            <v>GSEALIG</v>
          </cell>
          <cell r="E1295" t="str">
            <v>SECURITY DEPOSIT OF ALIGANJ KAPOORTHLA LUNCKNOW</v>
          </cell>
          <cell r="F1295" t="str">
            <v>ASECUR</v>
          </cell>
          <cell r="G1295">
            <v>44490</v>
          </cell>
          <cell r="K1295">
            <v>44490</v>
          </cell>
        </row>
        <row r="1296">
          <cell r="C1296">
            <v>24710694</v>
          </cell>
          <cell r="D1296" t="str">
            <v>GASEGH</v>
          </cell>
          <cell r="E1296" t="str">
            <v>SECURITY RENT SJE GH</v>
          </cell>
          <cell r="F1296" t="str">
            <v>ASECUR</v>
          </cell>
          <cell r="G1296">
            <v>44000</v>
          </cell>
          <cell r="K1296">
            <v>44000</v>
          </cell>
        </row>
        <row r="1297">
          <cell r="C1297">
            <v>24710341</v>
          </cell>
          <cell r="D1297" t="str">
            <v>GSEALAM</v>
          </cell>
          <cell r="E1297" t="str">
            <v>SECURITY DEPOSIT OF ALAMBAGH   KANPUR RAOD</v>
          </cell>
          <cell r="F1297" t="str">
            <v>ASECUR</v>
          </cell>
          <cell r="G1297">
            <v>43200</v>
          </cell>
          <cell r="K1297">
            <v>43200</v>
          </cell>
        </row>
        <row r="1298">
          <cell r="C1298">
            <v>24710416</v>
          </cell>
          <cell r="D1298" t="str">
            <v>GSEGOPA</v>
          </cell>
          <cell r="E1298" t="str">
            <v>SECURITY DEPOSIT OF GOPALPURA MANSAROVAR BRANCH</v>
          </cell>
          <cell r="F1298" t="str">
            <v>ASECUR</v>
          </cell>
          <cell r="G1298">
            <v>43090</v>
          </cell>
          <cell r="K1298">
            <v>43090</v>
          </cell>
        </row>
        <row r="1299">
          <cell r="C1299">
            <v>24710627</v>
          </cell>
          <cell r="D1299" t="str">
            <v>GA00022</v>
          </cell>
          <cell r="E1299" t="str">
            <v>SECURITY DEPOSIT VIZAG</v>
          </cell>
          <cell r="F1299" t="str">
            <v>ASECUR</v>
          </cell>
          <cell r="G1299">
            <v>42000</v>
          </cell>
          <cell r="K1299">
            <v>42000</v>
          </cell>
        </row>
        <row r="1300">
          <cell r="C1300">
            <v>24710635</v>
          </cell>
          <cell r="D1300" t="str">
            <v>GSEAJ</v>
          </cell>
          <cell r="E1300" t="str">
            <v>SECURITY FOR AJMER PREMISES</v>
          </cell>
          <cell r="F1300" t="str">
            <v>ASECUR</v>
          </cell>
          <cell r="G1300">
            <v>39980</v>
          </cell>
          <cell r="K1300">
            <v>39980</v>
          </cell>
        </row>
        <row r="1301">
          <cell r="C1301">
            <v>24710474</v>
          </cell>
          <cell r="D1301" t="str">
            <v>GSEMANG</v>
          </cell>
          <cell r="E1301" t="str">
            <v>SECURITY DEPOSIT OF MANGALAGIRI BRANCH</v>
          </cell>
          <cell r="F1301" t="str">
            <v>ASECUR</v>
          </cell>
          <cell r="G1301">
            <v>39000</v>
          </cell>
          <cell r="K1301">
            <v>39000</v>
          </cell>
        </row>
        <row r="1302">
          <cell r="C1302">
            <v>24710675</v>
          </cell>
          <cell r="D1302" t="str">
            <v>GSEPN</v>
          </cell>
          <cell r="E1302" t="str">
            <v>SECURITY FOR PANIPAT OFFICE (NEW)</v>
          </cell>
          <cell r="F1302" t="str">
            <v>ASECUR</v>
          </cell>
          <cell r="G1302">
            <v>38000</v>
          </cell>
          <cell r="K1302">
            <v>38000</v>
          </cell>
        </row>
        <row r="1303">
          <cell r="C1303">
            <v>24710661</v>
          </cell>
          <cell r="D1303" t="str">
            <v>GSEKP</v>
          </cell>
          <cell r="E1303" t="str">
            <v>SECURITY FOR KANPUR PREMISES - NEW</v>
          </cell>
          <cell r="F1303" t="str">
            <v>ASECUR</v>
          </cell>
          <cell r="G1303">
            <v>37500</v>
          </cell>
          <cell r="K1303">
            <v>37500</v>
          </cell>
        </row>
        <row r="1304">
          <cell r="C1304">
            <v>24710549</v>
          </cell>
          <cell r="D1304" t="str">
            <v>GSESHIV</v>
          </cell>
          <cell r="E1304" t="str">
            <v>SECURITY DEPOSIT OF SHIVPURI UTSAV VATIKA OFFLINE</v>
          </cell>
          <cell r="F1304" t="str">
            <v>ASECUR</v>
          </cell>
          <cell r="G1304">
            <v>0</v>
          </cell>
          <cell r="K1304">
            <v>0</v>
          </cell>
        </row>
        <row r="1305">
          <cell r="C1305">
            <v>24710503</v>
          </cell>
          <cell r="D1305" t="str">
            <v>GSEPALA</v>
          </cell>
          <cell r="E1305" t="str">
            <v>SECURITY DEPOSIT OF PALAKOL (AP)</v>
          </cell>
          <cell r="F1305" t="str">
            <v>ASECUR</v>
          </cell>
          <cell r="G1305">
            <v>37432</v>
          </cell>
          <cell r="K1305">
            <v>37432</v>
          </cell>
        </row>
        <row r="1306">
          <cell r="C1306">
            <v>24710380</v>
          </cell>
          <cell r="D1306" t="str">
            <v>GSEBILA</v>
          </cell>
          <cell r="E1306" t="str">
            <v>SECURITY DEPOSIT OF BILASPUR CHATTISHGARH OFFLINE</v>
          </cell>
          <cell r="F1306" t="str">
            <v>ASECUR</v>
          </cell>
          <cell r="G1306">
            <v>0</v>
          </cell>
          <cell r="K1306">
            <v>0</v>
          </cell>
        </row>
        <row r="1307">
          <cell r="C1307">
            <v>24710601</v>
          </cell>
          <cell r="D1307" t="str">
            <v>GSE17</v>
          </cell>
          <cell r="E1307" t="str">
            <v>SECURITY DEPOSIT RENT RENUKOOT SHREE HANUMAN MKT</v>
          </cell>
          <cell r="F1307" t="str">
            <v>ASECUR</v>
          </cell>
          <cell r="G1307">
            <v>35500</v>
          </cell>
          <cell r="K1307">
            <v>35500</v>
          </cell>
        </row>
        <row r="1308">
          <cell r="C1308">
            <v>24710446</v>
          </cell>
          <cell r="D1308" t="str">
            <v>GSEKAK</v>
          </cell>
          <cell r="E1308" t="str">
            <v>SECURITY DEPOSIT OF KAKADEO  KANPUR (UP)</v>
          </cell>
          <cell r="F1308" t="str">
            <v>ASECUR</v>
          </cell>
          <cell r="G1308">
            <v>33100</v>
          </cell>
          <cell r="K1308">
            <v>33100</v>
          </cell>
        </row>
        <row r="1309">
          <cell r="C1309">
            <v>24710306</v>
          </cell>
          <cell r="D1309" t="str">
            <v>GSEJAB</v>
          </cell>
          <cell r="E1309" t="str">
            <v>SECURITY DEPOSIT JABALPUR BRANCH</v>
          </cell>
          <cell r="F1309" t="str">
            <v>ASECUR</v>
          </cell>
          <cell r="G1309">
            <v>0</v>
          </cell>
          <cell r="K1309">
            <v>0</v>
          </cell>
        </row>
        <row r="1310">
          <cell r="C1310">
            <v>24710510</v>
          </cell>
          <cell r="D1310" t="str">
            <v>GSEPATI</v>
          </cell>
          <cell r="E1310" t="str">
            <v>SECURITY DEPOSIT OF PATIALA EXPENTION PUNJAB ONLIN</v>
          </cell>
          <cell r="F1310" t="str">
            <v>ASECUR</v>
          </cell>
          <cell r="G1310">
            <v>33000</v>
          </cell>
          <cell r="K1310">
            <v>33000</v>
          </cell>
        </row>
        <row r="1311">
          <cell r="C1311">
            <v>24710690</v>
          </cell>
          <cell r="D1311" t="str">
            <v>GALUD</v>
          </cell>
          <cell r="E1311" t="str">
            <v>SECURITY RENT LUDHIANA</v>
          </cell>
          <cell r="F1311" t="str">
            <v>ASECUR</v>
          </cell>
          <cell r="G1311">
            <v>33000</v>
          </cell>
          <cell r="K1311">
            <v>33000</v>
          </cell>
        </row>
        <row r="1312">
          <cell r="C1312">
            <v>24710281</v>
          </cell>
          <cell r="D1312" t="str">
            <v>GSCRAM</v>
          </cell>
          <cell r="E1312" t="str">
            <v>SECURITY DEPOSIT FOR RAMPUR ( UP )</v>
          </cell>
          <cell r="F1312" t="str">
            <v>ASECUR</v>
          </cell>
          <cell r="G1312">
            <v>0</v>
          </cell>
          <cell r="K1312">
            <v>0</v>
          </cell>
        </row>
        <row r="1313">
          <cell r="C1313">
            <v>24710603</v>
          </cell>
          <cell r="D1313" t="str">
            <v>GA0074</v>
          </cell>
          <cell r="E1313" t="str">
            <v>SECURITY DEPOSIT RENT-PATIALA</v>
          </cell>
          <cell r="F1313" t="str">
            <v>ASECUR</v>
          </cell>
          <cell r="G1313">
            <v>32000</v>
          </cell>
          <cell r="K1313">
            <v>32000</v>
          </cell>
        </row>
        <row r="1314">
          <cell r="C1314">
            <v>24710599</v>
          </cell>
          <cell r="D1314" t="str">
            <v>GA0023</v>
          </cell>
          <cell r="E1314" t="str">
            <v>SECURITY DEPOSIT RENT (PATIALA)</v>
          </cell>
          <cell r="F1314" t="str">
            <v>ASECUR</v>
          </cell>
          <cell r="G1314">
            <v>30900</v>
          </cell>
          <cell r="K1314">
            <v>30900</v>
          </cell>
        </row>
        <row r="1315">
          <cell r="C1315">
            <v>24710339</v>
          </cell>
          <cell r="D1315" t="str">
            <v>GSEALAK</v>
          </cell>
          <cell r="E1315" t="str">
            <v>SECURITY DEPOSIT OF ALAKNANDA ABHISHEK TOWER</v>
          </cell>
          <cell r="F1315" t="str">
            <v>ASECUR</v>
          </cell>
          <cell r="G1315">
            <v>30000</v>
          </cell>
          <cell r="K1315">
            <v>30000</v>
          </cell>
        </row>
        <row r="1316">
          <cell r="C1316">
            <v>24710542</v>
          </cell>
          <cell r="D1316" t="str">
            <v>GSESATN</v>
          </cell>
          <cell r="E1316" t="str">
            <v>SECURITY DEPOSIT OF SATNA OFFLINE</v>
          </cell>
          <cell r="F1316" t="str">
            <v>ASECUR</v>
          </cell>
          <cell r="G1316">
            <v>0</v>
          </cell>
          <cell r="K1316">
            <v>0</v>
          </cell>
        </row>
        <row r="1317">
          <cell r="C1317">
            <v>24710634</v>
          </cell>
          <cell r="D1317" t="str">
            <v>GSEAR</v>
          </cell>
          <cell r="E1317" t="str">
            <v>SECURITY FOR AGRA PREMISES</v>
          </cell>
          <cell r="F1317" t="str">
            <v>ASECUR</v>
          </cell>
          <cell r="G1317">
            <v>30000</v>
          </cell>
          <cell r="K1317">
            <v>30000</v>
          </cell>
        </row>
        <row r="1318">
          <cell r="C1318">
            <v>24710596</v>
          </cell>
          <cell r="D1318" t="str">
            <v>GSO24</v>
          </cell>
          <cell r="E1318" t="str">
            <v>SECURITY DEPOSIT RAJAJIPURAM</v>
          </cell>
          <cell r="F1318" t="str">
            <v>ASECUR</v>
          </cell>
          <cell r="G1318">
            <v>28000</v>
          </cell>
          <cell r="K1318">
            <v>28000</v>
          </cell>
        </row>
        <row r="1319">
          <cell r="C1319">
            <v>24710364</v>
          </cell>
          <cell r="D1319" t="str">
            <v>GSEBALL</v>
          </cell>
          <cell r="E1319" t="str">
            <v>SECURITY DEPOSIT OF BALLIA UP OFFLINE</v>
          </cell>
          <cell r="F1319" t="str">
            <v>ASECUR</v>
          </cell>
          <cell r="G1319">
            <v>27450.61</v>
          </cell>
          <cell r="K1319">
            <v>27450.61</v>
          </cell>
        </row>
        <row r="1320">
          <cell r="C1320">
            <v>24710405</v>
          </cell>
          <cell r="D1320" t="str">
            <v>GSEFAI</v>
          </cell>
          <cell r="E1320" t="str">
            <v>SECURITY DEPOSIT OF FAIZABAD OFFLINE</v>
          </cell>
          <cell r="F1320" t="str">
            <v>ASECUR</v>
          </cell>
          <cell r="G1320">
            <v>0</v>
          </cell>
          <cell r="K1320">
            <v>0</v>
          </cell>
        </row>
        <row r="1321">
          <cell r="C1321">
            <v>24710282</v>
          </cell>
          <cell r="D1321" t="str">
            <v>GSESAR</v>
          </cell>
          <cell r="E1321" t="str">
            <v>SECURITY DEPOSIT FOR SAGAR M P BRANCH</v>
          </cell>
          <cell r="F1321" t="str">
            <v>ASECUR</v>
          </cell>
          <cell r="G1321">
            <v>26910</v>
          </cell>
          <cell r="K1321">
            <v>26910</v>
          </cell>
        </row>
        <row r="1322">
          <cell r="C1322">
            <v>24710216</v>
          </cell>
          <cell r="D1322" t="str">
            <v>GSCPA</v>
          </cell>
          <cell r="E1322" t="str">
            <v>SECURITY DEPOSIT - PANCHKULA</v>
          </cell>
          <cell r="F1322" t="str">
            <v>ASECUR</v>
          </cell>
          <cell r="G1322">
            <v>26400</v>
          </cell>
          <cell r="K1322">
            <v>26400</v>
          </cell>
        </row>
        <row r="1323">
          <cell r="C1323">
            <v>24710522</v>
          </cell>
          <cell r="D1323" t="str">
            <v>GSEREN</v>
          </cell>
          <cell r="E1323" t="str">
            <v>SECURITY DEPOSIT OF RENUKOOT BRANCH</v>
          </cell>
          <cell r="F1323" t="str">
            <v>ASECUR</v>
          </cell>
          <cell r="G1323">
            <v>25000</v>
          </cell>
          <cell r="K1323">
            <v>25000</v>
          </cell>
        </row>
        <row r="1324">
          <cell r="C1324">
            <v>24710645</v>
          </cell>
          <cell r="D1324" t="str">
            <v>GSEFD</v>
          </cell>
          <cell r="E1324" t="str">
            <v>SECURITY FOR FARIDABAD PREMISES (NEW)</v>
          </cell>
          <cell r="F1324" t="str">
            <v>ASECUR</v>
          </cell>
          <cell r="G1324">
            <v>25000</v>
          </cell>
          <cell r="K1324">
            <v>25000</v>
          </cell>
        </row>
        <row r="1325">
          <cell r="C1325">
            <v>24710439</v>
          </cell>
          <cell r="D1325" t="str">
            <v>GSEJAGG</v>
          </cell>
          <cell r="E1325" t="str">
            <v>SECURITY DEPOSIT OF JAGGAMPETA (ANDHRA PRADESH)</v>
          </cell>
          <cell r="F1325" t="str">
            <v>ASECUR</v>
          </cell>
          <cell r="G1325">
            <v>24000</v>
          </cell>
          <cell r="K1325">
            <v>24000</v>
          </cell>
        </row>
        <row r="1326">
          <cell r="C1326">
            <v>24710531</v>
          </cell>
          <cell r="D1326" t="str">
            <v>GSERUD</v>
          </cell>
          <cell r="E1326" t="str">
            <v>SECURITY DEPOSIT OF RUDURPUR  U. S. NAGAR</v>
          </cell>
          <cell r="F1326" t="str">
            <v>ASECUR</v>
          </cell>
          <cell r="G1326">
            <v>20688</v>
          </cell>
          <cell r="K1326">
            <v>20688</v>
          </cell>
        </row>
        <row r="1327">
          <cell r="C1327">
            <v>24710423</v>
          </cell>
          <cell r="D1327" t="str">
            <v>GSEGR15</v>
          </cell>
          <cell r="E1327" t="str">
            <v>SECURITY DEPOSIT OF GURGAON SEC 15</v>
          </cell>
          <cell r="F1327" t="str">
            <v>ASECUR</v>
          </cell>
          <cell r="G1327">
            <v>20679.22</v>
          </cell>
          <cell r="K1327">
            <v>20679.22</v>
          </cell>
        </row>
        <row r="1328">
          <cell r="C1328">
            <v>24710512</v>
          </cell>
          <cell r="D1328" t="str">
            <v>GSEPILI</v>
          </cell>
          <cell r="E1328" t="str">
            <v>SECURITY DEPOSIT OF PILIBHIT CHOWK BAZAR UP OFFLIN</v>
          </cell>
          <cell r="F1328" t="str">
            <v>ASECUR</v>
          </cell>
          <cell r="G1328">
            <v>19800</v>
          </cell>
          <cell r="K1328">
            <v>19800</v>
          </cell>
        </row>
        <row r="1329">
          <cell r="C1329">
            <v>24710684</v>
          </cell>
          <cell r="D1329" t="str">
            <v>GSVIJ</v>
          </cell>
          <cell r="E1329" t="str">
            <v>SECURITY FOR VIJAYANAGARAM PRENISES</v>
          </cell>
          <cell r="F1329" t="str">
            <v>ASECUR</v>
          </cell>
          <cell r="G1329">
            <v>18000</v>
          </cell>
          <cell r="K1329">
            <v>18000</v>
          </cell>
        </row>
        <row r="1330">
          <cell r="C1330">
            <v>24710701</v>
          </cell>
          <cell r="D1330" t="str">
            <v>GSPNP</v>
          </cell>
          <cell r="E1330" t="str">
            <v>SECUTITY DEPOSIT PANIPAT</v>
          </cell>
          <cell r="F1330" t="str">
            <v>ASECUR</v>
          </cell>
          <cell r="G1330">
            <v>18000</v>
          </cell>
          <cell r="K1330">
            <v>18000</v>
          </cell>
        </row>
        <row r="1331">
          <cell r="C1331">
            <v>24710688</v>
          </cell>
          <cell r="D1331" t="str">
            <v>GADUR</v>
          </cell>
          <cell r="E1331" t="str">
            <v>SECURITY RENT DURGAPUR</v>
          </cell>
          <cell r="F1331" t="str">
            <v>ASECUR</v>
          </cell>
          <cell r="G1331">
            <v>15000</v>
          </cell>
          <cell r="K1331">
            <v>15000</v>
          </cell>
        </row>
        <row r="1332">
          <cell r="C1332">
            <v>24710644</v>
          </cell>
          <cell r="D1332" t="str">
            <v>GA0475</v>
          </cell>
          <cell r="E1332" t="str">
            <v>SECURITY FOR FARIDABAD PR</v>
          </cell>
          <cell r="F1332" t="str">
            <v>ASECUR</v>
          </cell>
          <cell r="G1332">
            <v>14000</v>
          </cell>
          <cell r="K1332">
            <v>14000</v>
          </cell>
        </row>
        <row r="1333">
          <cell r="C1333">
            <v>24710345</v>
          </cell>
          <cell r="D1333" t="str">
            <v>GSEALWA</v>
          </cell>
          <cell r="E1333" t="str">
            <v>SECURITY DEPOSIT OF ALWAR  MANU MARG (RAJASTHAN)</v>
          </cell>
          <cell r="F1333" t="str">
            <v>ASECUR</v>
          </cell>
          <cell r="G1333">
            <v>12245.24</v>
          </cell>
          <cell r="K1333">
            <v>12245.24</v>
          </cell>
        </row>
        <row r="1334">
          <cell r="C1334">
            <v>24710511</v>
          </cell>
          <cell r="D1334" t="str">
            <v>GSEPHA</v>
          </cell>
          <cell r="E1334" t="str">
            <v>SECURITY DEPOSIT OF PHALODI BRANCH</v>
          </cell>
          <cell r="F1334" t="str">
            <v>ASECUR</v>
          </cell>
          <cell r="G1334">
            <v>12000</v>
          </cell>
          <cell r="K1334">
            <v>12000</v>
          </cell>
        </row>
        <row r="1335">
          <cell r="C1335">
            <v>24710372</v>
          </cell>
          <cell r="D1335" t="str">
            <v>GSEBHAD</v>
          </cell>
          <cell r="E1335" t="str">
            <v>SECURITY DEPOSIT OF BHADOHI OFFLINE BRANCH</v>
          </cell>
          <cell r="F1335" t="str">
            <v>ASECUR</v>
          </cell>
          <cell r="G1335">
            <v>11418</v>
          </cell>
          <cell r="K1335">
            <v>11418</v>
          </cell>
        </row>
        <row r="1336">
          <cell r="C1336">
            <v>24710671</v>
          </cell>
          <cell r="D1336" t="str">
            <v>GSMOR</v>
          </cell>
          <cell r="E1336" t="str">
            <v>SECURITY FOR MORADABAD PREMISES</v>
          </cell>
          <cell r="F1336" t="str">
            <v>ASECUR</v>
          </cell>
          <cell r="G1336">
            <v>9750</v>
          </cell>
          <cell r="K1336">
            <v>9750</v>
          </cell>
        </row>
        <row r="1337">
          <cell r="C1337">
            <v>24710678</v>
          </cell>
          <cell r="D1337" t="str">
            <v>GSECR</v>
          </cell>
          <cell r="E1337" t="str">
            <v>SECURITY FOR RAJAMUNDRY PREMISES</v>
          </cell>
          <cell r="F1337" t="str">
            <v>ASECUR</v>
          </cell>
          <cell r="G1337">
            <v>8500</v>
          </cell>
          <cell r="K1337">
            <v>8500</v>
          </cell>
        </row>
        <row r="1338">
          <cell r="C1338">
            <v>24710412</v>
          </cell>
          <cell r="D1338" t="str">
            <v>GSEHAZ</v>
          </cell>
          <cell r="E1338" t="str">
            <v>SECURITY DEPOSIT OF GGS ROAD HAZARIBAGH OFFLINE</v>
          </cell>
          <cell r="F1338" t="str">
            <v>ASECUR</v>
          </cell>
          <cell r="G1338">
            <v>7706.71</v>
          </cell>
          <cell r="K1338">
            <v>7706.71</v>
          </cell>
        </row>
        <row r="1339">
          <cell r="C1339">
            <v>24710318</v>
          </cell>
          <cell r="D1339" t="str">
            <v>GSELUC UP</v>
          </cell>
          <cell r="E1339" t="str">
            <v>SECURITY DEPOSIT LUCKNOW INDRA NAGAR</v>
          </cell>
          <cell r="F1339" t="str">
            <v>ASECUR</v>
          </cell>
          <cell r="G1339">
            <v>3594</v>
          </cell>
          <cell r="K1339">
            <v>3594</v>
          </cell>
        </row>
        <row r="1340">
          <cell r="C1340">
            <v>24710646</v>
          </cell>
          <cell r="D1340" t="str">
            <v>GSECF</v>
          </cell>
          <cell r="E1340" t="str">
            <v>SECURITY FOR FURNITURE - LUCKNOW</v>
          </cell>
          <cell r="F1340" t="str">
            <v>ASECUR</v>
          </cell>
          <cell r="G1340">
            <v>3000</v>
          </cell>
          <cell r="K1340">
            <v>3000</v>
          </cell>
        </row>
        <row r="1341">
          <cell r="C1341">
            <v>24710679</v>
          </cell>
          <cell r="D1341" t="str">
            <v>GSESL</v>
          </cell>
          <cell r="E1341" t="str">
            <v>SECURITY FOR SALT LAKE - KOLKATTA</v>
          </cell>
          <cell r="F1341" t="str">
            <v>ASECUR</v>
          </cell>
          <cell r="G1341">
            <v>1432</v>
          </cell>
          <cell r="K1341">
            <v>1432</v>
          </cell>
        </row>
        <row r="1342">
          <cell r="C1342">
            <v>24710486</v>
          </cell>
          <cell r="D1342" t="str">
            <v>GSEMOU</v>
          </cell>
          <cell r="E1342" t="str">
            <v>SECURITY DEPOSIT OF MOUNT ROAD CHENNAI ONLINE BRA</v>
          </cell>
          <cell r="F1342" t="str">
            <v>ASECUR</v>
          </cell>
          <cell r="G1342">
            <v>0</v>
          </cell>
          <cell r="K1342">
            <v>0</v>
          </cell>
        </row>
        <row r="1343">
          <cell r="C1343">
            <v>24710253</v>
          </cell>
          <cell r="D1343" t="str">
            <v>GSEBHU</v>
          </cell>
          <cell r="E1343" t="str">
            <v>SECURITY DEPOSIT FOR BHUBANESWAR BRANCH</v>
          </cell>
          <cell r="F1343" t="str">
            <v>ASECUR</v>
          </cell>
          <cell r="G1343">
            <v>0</v>
          </cell>
          <cell r="K1343">
            <v>0</v>
          </cell>
        </row>
        <row r="1344">
          <cell r="C1344">
            <v>24710355</v>
          </cell>
          <cell r="D1344" t="str">
            <v>GSEANC</v>
          </cell>
          <cell r="E1344" t="str">
            <v>SECURITY DEPOSIT OF ANNA NAGAR CHENNAI</v>
          </cell>
          <cell r="F1344" t="str">
            <v>ASECUR</v>
          </cell>
          <cell r="G1344">
            <v>0</v>
          </cell>
          <cell r="K1344">
            <v>0</v>
          </cell>
        </row>
        <row r="1345">
          <cell r="C1345">
            <v>24710620</v>
          </cell>
          <cell r="D1345" t="str">
            <v>GSDLD3</v>
          </cell>
          <cell r="E1345" t="str">
            <v>SECURITY DEPOSIT VASAI</v>
          </cell>
          <cell r="F1345" t="str">
            <v>ASECUR</v>
          </cell>
          <cell r="G1345">
            <v>0</v>
          </cell>
          <cell r="K1345">
            <v>0</v>
          </cell>
        </row>
        <row r="1346">
          <cell r="C1346">
            <v>24710494</v>
          </cell>
          <cell r="D1346" t="str">
            <v>GSENEL</v>
          </cell>
          <cell r="E1346" t="str">
            <v>SECURITY DEPOSIT OF NELLORE BRANCH</v>
          </cell>
          <cell r="F1346" t="str">
            <v>ASECUR</v>
          </cell>
          <cell r="G1346">
            <v>0</v>
          </cell>
          <cell r="K1346">
            <v>0</v>
          </cell>
        </row>
        <row r="1347">
          <cell r="C1347">
            <v>24710593</v>
          </cell>
          <cell r="D1347" t="str">
            <v>GSEPB</v>
          </cell>
          <cell r="E1347" t="str">
            <v>SECURITY DEPOSIT PUNJABI BAGH</v>
          </cell>
          <cell r="F1347" t="str">
            <v>ASECUR</v>
          </cell>
          <cell r="G1347">
            <v>0</v>
          </cell>
          <cell r="K1347">
            <v>0</v>
          </cell>
        </row>
        <row r="1348">
          <cell r="C1348">
            <v>24710617</v>
          </cell>
          <cell r="D1348" t="str">
            <v>GSEUL</v>
          </cell>
          <cell r="E1348" t="str">
            <v>SECURITY DEPOSIT ULHAS NAGAR (MUMBAI)</v>
          </cell>
          <cell r="F1348" t="str">
            <v>ASECUR</v>
          </cell>
          <cell r="G1348">
            <v>0</v>
          </cell>
          <cell r="K1348">
            <v>0</v>
          </cell>
        </row>
        <row r="1349">
          <cell r="C1349">
            <v>24710363</v>
          </cell>
          <cell r="D1349" t="str">
            <v>GSEMEER</v>
          </cell>
          <cell r="E1349" t="str">
            <v>SECURITY DEPOSIT OF BACHA PARK MEERUT</v>
          </cell>
          <cell r="F1349" t="str">
            <v>ASECUR</v>
          </cell>
          <cell r="G1349">
            <v>0</v>
          </cell>
          <cell r="K1349">
            <v>0</v>
          </cell>
        </row>
        <row r="1350">
          <cell r="C1350">
            <v>24710485</v>
          </cell>
          <cell r="D1350" t="str">
            <v>GSMOHI</v>
          </cell>
          <cell r="E1350" t="str">
            <v>SECURITY DEPOSIT OF MOHALI ROPAR BRANCH</v>
          </cell>
          <cell r="F1350" t="str">
            <v>ASECUR</v>
          </cell>
          <cell r="G1350">
            <v>0</v>
          </cell>
          <cell r="K1350">
            <v>0</v>
          </cell>
        </row>
        <row r="1351">
          <cell r="C1351">
            <v>24710480</v>
          </cell>
          <cell r="D1351" t="str">
            <v>GSEHYD</v>
          </cell>
          <cell r="E1351" t="str">
            <v>SECURITY DEPOSIT OF MAZAMJAHI MARKET HYDRABAD</v>
          </cell>
          <cell r="F1351" t="str">
            <v>ASECUR</v>
          </cell>
          <cell r="G1351">
            <v>0</v>
          </cell>
          <cell r="K1351">
            <v>0</v>
          </cell>
        </row>
        <row r="1352">
          <cell r="C1352">
            <v>24710475</v>
          </cell>
          <cell r="D1352" t="str">
            <v>GSEMANI</v>
          </cell>
          <cell r="E1352" t="str">
            <v>SECURITY DEPOSIT OF MANIMAJRA CHANDIGARH</v>
          </cell>
          <cell r="F1352" t="str">
            <v>ASECUR</v>
          </cell>
          <cell r="G1352">
            <v>0</v>
          </cell>
          <cell r="K1352">
            <v>0</v>
          </cell>
        </row>
        <row r="1353">
          <cell r="C1353">
            <v>24710225</v>
          </cell>
          <cell r="D1353" t="str">
            <v>GSE10</v>
          </cell>
          <cell r="E1353" t="str">
            <v>SECURITY DEPOSIT AT TRICHUR</v>
          </cell>
          <cell r="F1353" t="str">
            <v>ASECUR</v>
          </cell>
          <cell r="G1353">
            <v>0</v>
          </cell>
          <cell r="K1353">
            <v>0</v>
          </cell>
        </row>
        <row r="1354">
          <cell r="C1354">
            <v>24710234</v>
          </cell>
          <cell r="D1354" t="str">
            <v>GSECHE</v>
          </cell>
          <cell r="E1354" t="str">
            <v>SECURITY DEPOSIT CHENNAI</v>
          </cell>
          <cell r="F1354" t="str">
            <v>ASECUR</v>
          </cell>
          <cell r="G1354">
            <v>0</v>
          </cell>
          <cell r="K1354">
            <v>0</v>
          </cell>
        </row>
        <row r="1355">
          <cell r="C1355">
            <v>24710576</v>
          </cell>
          <cell r="D1355" t="str">
            <v>GSEKVID</v>
          </cell>
          <cell r="E1355" t="str">
            <v>SECURITY DEPOSIT OF VIDYARTHI MARKET KANPUR</v>
          </cell>
          <cell r="F1355" t="str">
            <v>ASECUR</v>
          </cell>
          <cell r="G1355">
            <v>0</v>
          </cell>
          <cell r="K1355">
            <v>0</v>
          </cell>
        </row>
        <row r="1356">
          <cell r="C1356">
            <v>24710482</v>
          </cell>
          <cell r="D1356" t="str">
            <v>GSEMIRZ</v>
          </cell>
          <cell r="E1356" t="str">
            <v>SECURITY DEPOSIT OF MIRZAPUR OFFLINE</v>
          </cell>
          <cell r="F1356" t="str">
            <v>ASECUR</v>
          </cell>
          <cell r="G1356">
            <v>0</v>
          </cell>
          <cell r="K1356">
            <v>0</v>
          </cell>
        </row>
        <row r="1358">
          <cell r="E1358" t="str">
            <v>LOANS &amp; ADVANCES - SECURITY DEPOSIT - OTHERS</v>
          </cell>
        </row>
        <row r="1359">
          <cell r="C1359">
            <v>24700038</v>
          </cell>
          <cell r="E1359" t="str">
            <v>Security Deposit Paid</v>
          </cell>
          <cell r="F1359" t="str">
            <v>ASECO</v>
          </cell>
          <cell r="G1359">
            <v>6753662</v>
          </cell>
          <cell r="K1359">
            <v>6753662</v>
          </cell>
        </row>
        <row r="1360">
          <cell r="C1360">
            <v>24710210</v>
          </cell>
          <cell r="D1360" t="str">
            <v>GAA001</v>
          </cell>
          <cell r="E1360" t="str">
            <v>SECURITY WITH ASIAN CERC</v>
          </cell>
          <cell r="F1360" t="str">
            <v>ASECO</v>
          </cell>
          <cell r="G1360">
            <v>50000</v>
          </cell>
          <cell r="K1360">
            <v>50000</v>
          </cell>
        </row>
        <row r="1361">
          <cell r="C1361">
            <v>24710176</v>
          </cell>
          <cell r="D1361" t="str">
            <v>GBANG</v>
          </cell>
          <cell r="E1361" t="str">
            <v>SECURITY DEPOSIT BANHALORE - GEN.</v>
          </cell>
          <cell r="F1361" t="str">
            <v>ASECO</v>
          </cell>
          <cell r="G1361">
            <v>20000</v>
          </cell>
          <cell r="K1361">
            <v>20000</v>
          </cell>
        </row>
        <row r="1362">
          <cell r="C1362">
            <v>24710193</v>
          </cell>
          <cell r="D1362" t="str">
            <v>GAMER1</v>
          </cell>
          <cell r="E1362" t="str">
            <v>SECURITY DEPOSIT VSNL (ME</v>
          </cell>
          <cell r="F1362" t="str">
            <v>ASECO</v>
          </cell>
          <cell r="G1362">
            <v>11000</v>
          </cell>
          <cell r="K1362">
            <v>11000</v>
          </cell>
        </row>
        <row r="1363">
          <cell r="C1363">
            <v>24710185</v>
          </cell>
          <cell r="D1363" t="str">
            <v>GSDKTHV</v>
          </cell>
          <cell r="E1363" t="str">
            <v>SECURITY DEPOSIT TEA VENDING MACHINE KANDI</v>
          </cell>
          <cell r="F1363" t="str">
            <v>ASECO</v>
          </cell>
          <cell r="G1363">
            <v>5000</v>
          </cell>
          <cell r="K1363">
            <v>5000</v>
          </cell>
        </row>
        <row r="1364">
          <cell r="C1364">
            <v>24700093</v>
          </cell>
          <cell r="E1364" t="str">
            <v>Security Deposit with IPPL</v>
          </cell>
          <cell r="F1364" t="str">
            <v>ASECO</v>
          </cell>
          <cell r="G1364">
            <v>154641613.75</v>
          </cell>
          <cell r="K1364">
            <v>154641613.75</v>
          </cell>
        </row>
        <row r="1366">
          <cell r="E1366" t="str">
            <v>LOANS &amp; ADVANCES - SECURITY DEPOSIT - ELECTRICITY</v>
          </cell>
        </row>
        <row r="1367">
          <cell r="C1367">
            <v>24710198</v>
          </cell>
          <cell r="D1367" t="str">
            <v>GSDEL</v>
          </cell>
          <cell r="E1367" t="str">
            <v>SECURITY DEPOSITE FOR ELECTRICITY</v>
          </cell>
          <cell r="F1367" t="str">
            <v>ASECUE</v>
          </cell>
          <cell r="G1367">
            <v>376056</v>
          </cell>
          <cell r="K1367">
            <v>376056</v>
          </cell>
        </row>
        <row r="1368">
          <cell r="C1368">
            <v>24710180</v>
          </cell>
          <cell r="D1368" t="str">
            <v>GSDBR</v>
          </cell>
          <cell r="E1368" t="str">
            <v>SECURITY DEPOSIT ELECTRICITY - BARODA</v>
          </cell>
          <cell r="F1368" t="str">
            <v>ASECUE</v>
          </cell>
          <cell r="G1368">
            <v>155860</v>
          </cell>
          <cell r="K1368">
            <v>155860</v>
          </cell>
        </row>
        <row r="1369">
          <cell r="C1369">
            <v>24710181</v>
          </cell>
          <cell r="D1369" t="str">
            <v>GKLELE</v>
          </cell>
          <cell r="E1369" t="str">
            <v>SECURITY DEPOSIT ELECTRICITY KARNAL</v>
          </cell>
          <cell r="F1369" t="str">
            <v>ASECUE</v>
          </cell>
          <cell r="G1369">
            <v>122475</v>
          </cell>
          <cell r="K1369">
            <v>122475</v>
          </cell>
        </row>
        <row r="1370">
          <cell r="C1370">
            <v>24710197</v>
          </cell>
          <cell r="D1370" t="str">
            <v>GOKEL</v>
          </cell>
          <cell r="E1370" t="str">
            <v>SECURITY DEPOSITE ELECTRICITY OKHLA</v>
          </cell>
          <cell r="F1370" t="str">
            <v>ASECUE</v>
          </cell>
          <cell r="G1370">
            <v>41800</v>
          </cell>
          <cell r="K1370">
            <v>41800</v>
          </cell>
        </row>
        <row r="1371">
          <cell r="C1371">
            <v>24710179</v>
          </cell>
          <cell r="D1371" t="str">
            <v>GELRO</v>
          </cell>
          <cell r="E1371" t="str">
            <v>SECURITY DEPOSIT ELECTRICITY ( ROHTAK )</v>
          </cell>
          <cell r="F1371" t="str">
            <v>ASECUE</v>
          </cell>
          <cell r="G1371">
            <v>0</v>
          </cell>
          <cell r="K1371">
            <v>0</v>
          </cell>
        </row>
        <row r="1372">
          <cell r="C1372">
            <v>24710820</v>
          </cell>
          <cell r="E1372" t="str">
            <v>SECURITY DEPOSIT ELECTIRCITY DHANBAD</v>
          </cell>
          <cell r="F1372" t="str">
            <v>ASECUE</v>
          </cell>
          <cell r="G1372">
            <v>26300</v>
          </cell>
          <cell r="K1372">
            <v>26300</v>
          </cell>
        </row>
        <row r="1373">
          <cell r="C1373">
            <v>24710906</v>
          </cell>
          <cell r="E1373" t="str">
            <v>Security Deposit Electricty Jaipur Vaishali Nagar</v>
          </cell>
          <cell r="F1373" t="str">
            <v>ASECUE</v>
          </cell>
          <cell r="G1373">
            <v>15100</v>
          </cell>
          <cell r="K1373">
            <v>15100</v>
          </cell>
        </row>
        <row r="1374">
          <cell r="C1374">
            <v>24710824</v>
          </cell>
          <cell r="E1374" t="str">
            <v>SECURITY DEPOSIT ELECTRICITY SECUNDERABAD</v>
          </cell>
          <cell r="F1374" t="str">
            <v>ASECUE</v>
          </cell>
          <cell r="G1374">
            <v>5600</v>
          </cell>
          <cell r="K1374">
            <v>5600</v>
          </cell>
        </row>
        <row r="1375">
          <cell r="C1375">
            <v>24710178</v>
          </cell>
          <cell r="D1375" t="str">
            <v>GUDEL</v>
          </cell>
          <cell r="E1375" t="str">
            <v>SECURITY DEPOSIT ELECTRICITY  UDAIPUR</v>
          </cell>
          <cell r="F1375" t="str">
            <v>ASECUE</v>
          </cell>
          <cell r="G1375">
            <v>3380</v>
          </cell>
          <cell r="K1375">
            <v>3380</v>
          </cell>
        </row>
        <row r="1376">
          <cell r="C1376">
            <v>24710705</v>
          </cell>
          <cell r="D1376" t="str">
            <v>GASECU</v>
          </cell>
          <cell r="E1376" t="str">
            <v>SECURITY DEPOSIT(ELECTRCITY DALHOUSIE)</v>
          </cell>
          <cell r="F1376" t="str">
            <v>ASECUE</v>
          </cell>
          <cell r="G1376">
            <v>600000</v>
          </cell>
          <cell r="K1376">
            <v>600000</v>
          </cell>
        </row>
        <row r="1377">
          <cell r="C1377">
            <v>24710706</v>
          </cell>
          <cell r="D1377" t="str">
            <v>GHOWEL</v>
          </cell>
          <cell r="E1377" t="str">
            <v>SECURITY DEPOSIT-ELECTRICITY(HOWRAH)</v>
          </cell>
          <cell r="F1377" t="str">
            <v>ASECUE</v>
          </cell>
          <cell r="G1377">
            <v>80000</v>
          </cell>
          <cell r="K1377">
            <v>80000</v>
          </cell>
        </row>
        <row r="1378">
          <cell r="C1378">
            <v>24710704</v>
          </cell>
          <cell r="D1378" t="str">
            <v>GSEBBL</v>
          </cell>
          <cell r="E1378" t="str">
            <v>SECURITY DEPOSIT FOR ELECTRIC METER FOR BORIWOLI</v>
          </cell>
          <cell r="F1378" t="str">
            <v>ASECUE</v>
          </cell>
          <cell r="G1378">
            <v>9833</v>
          </cell>
          <cell r="K1378">
            <v>9833</v>
          </cell>
        </row>
        <row r="1380">
          <cell r="E1380" t="str">
            <v>LOANS &amp; ADVANCES - SECURITY DEPOSIT - LEASE LINE</v>
          </cell>
        </row>
        <row r="1381">
          <cell r="C1381">
            <v>24710172</v>
          </cell>
          <cell r="D1381" t="str">
            <v>GALLD</v>
          </cell>
          <cell r="E1381" t="str">
            <v>LEASE LINE DEPOSIT</v>
          </cell>
          <cell r="F1381" t="str">
            <v>ASECULL</v>
          </cell>
          <cell r="G1381">
            <v>3531482</v>
          </cell>
          <cell r="K1381">
            <v>3531482</v>
          </cell>
        </row>
        <row r="1382">
          <cell r="C1382">
            <v>24710202</v>
          </cell>
          <cell r="D1382" t="str">
            <v>GSECU</v>
          </cell>
          <cell r="E1382" t="str">
            <v>SECURITY FOR LEASELINE - DELHI</v>
          </cell>
          <cell r="F1382" t="str">
            <v>ASECULL</v>
          </cell>
          <cell r="G1382">
            <v>150000</v>
          </cell>
          <cell r="K1382">
            <v>150000</v>
          </cell>
        </row>
        <row r="1383">
          <cell r="C1383">
            <v>24710201</v>
          </cell>
          <cell r="D1383" t="str">
            <v>GSNLL</v>
          </cell>
          <cell r="E1383" t="str">
            <v>SECURITY FOR LEASE LINE -MUMBAI</v>
          </cell>
          <cell r="F1383" t="str">
            <v>ASECULL</v>
          </cell>
          <cell r="G1383">
            <v>100000</v>
          </cell>
          <cell r="K1383">
            <v>100000</v>
          </cell>
        </row>
        <row r="1384">
          <cell r="C1384">
            <v>24710856</v>
          </cell>
          <cell r="E1384" t="str">
            <v>Security Deposit - Lease Line</v>
          </cell>
          <cell r="F1384" t="str">
            <v>ASECULL</v>
          </cell>
          <cell r="G1384">
            <v>800000</v>
          </cell>
          <cell r="K1384">
            <v>800000</v>
          </cell>
        </row>
        <row r="1386">
          <cell r="E1386" t="str">
            <v>LOANS &amp; ADVANCES - SECURITY DEPOSIT - TELEPHONE</v>
          </cell>
        </row>
        <row r="1387">
          <cell r="C1387">
            <v>24710203</v>
          </cell>
          <cell r="D1387" t="str">
            <v>GA021</v>
          </cell>
          <cell r="E1387" t="str">
            <v>SECURITY FOR TELEPHONE</v>
          </cell>
          <cell r="F1387" t="str">
            <v>ASECUT</v>
          </cell>
          <cell r="G1387">
            <v>444207</v>
          </cell>
          <cell r="K1387">
            <v>444207</v>
          </cell>
        </row>
        <row r="1388">
          <cell r="C1388">
            <v>24710174</v>
          </cell>
          <cell r="D1388" t="str">
            <v>GMTNS</v>
          </cell>
          <cell r="E1388" t="str">
            <v>MTNL SECURITY DEPOSITED</v>
          </cell>
          <cell r="F1388" t="str">
            <v>ASECUT</v>
          </cell>
          <cell r="G1388">
            <v>23161</v>
          </cell>
          <cell r="K1388">
            <v>23161</v>
          </cell>
        </row>
        <row r="1389">
          <cell r="C1389">
            <v>24710211</v>
          </cell>
          <cell r="D1389" t="str">
            <v>GAAGT</v>
          </cell>
          <cell r="E1389" t="str">
            <v>TELEPHONE - AGARTALA</v>
          </cell>
          <cell r="F1389" t="str">
            <v>ASECUT</v>
          </cell>
          <cell r="G1389">
            <v>18000</v>
          </cell>
          <cell r="K1389">
            <v>18000</v>
          </cell>
        </row>
        <row r="1390">
          <cell r="C1390">
            <v>24710187</v>
          </cell>
          <cell r="D1390" t="str">
            <v>GATRAN</v>
          </cell>
          <cell r="E1390" t="str">
            <v>SECURITY DEPOSIT TELEPHONE RANCHI</v>
          </cell>
          <cell r="F1390" t="str">
            <v>ASECUT</v>
          </cell>
          <cell r="G1390">
            <v>6300</v>
          </cell>
          <cell r="K1390">
            <v>6300</v>
          </cell>
        </row>
        <row r="1391">
          <cell r="C1391">
            <v>24710209</v>
          </cell>
          <cell r="D1391" t="str">
            <v>GATCOIM</v>
          </cell>
          <cell r="E1391" t="str">
            <v>SECURITY TELEPHONE-COIMBATURE</v>
          </cell>
          <cell r="F1391" t="str">
            <v>ASECUT</v>
          </cell>
          <cell r="G1391">
            <v>9000</v>
          </cell>
          <cell r="K1391">
            <v>9000</v>
          </cell>
        </row>
        <row r="1392">
          <cell r="C1392">
            <v>24710200</v>
          </cell>
          <cell r="D1392" t="str">
            <v>GA00125</v>
          </cell>
          <cell r="E1392" t="str">
            <v>SECURITY DEPOSITE-BSNL SHIMOGA</v>
          </cell>
          <cell r="F1392" t="str">
            <v>ASECUT</v>
          </cell>
          <cell r="G1392">
            <v>8000</v>
          </cell>
          <cell r="K1392">
            <v>8000</v>
          </cell>
        </row>
        <row r="1393">
          <cell r="C1393">
            <v>24710208</v>
          </cell>
          <cell r="D1393" t="str">
            <v>GATTCO</v>
          </cell>
          <cell r="E1393" t="str">
            <v>SECURITY TELEPHONE - THAKUR COMPLEX</v>
          </cell>
          <cell r="F1393" t="str">
            <v>ASECUT</v>
          </cell>
          <cell r="G1393">
            <v>7000</v>
          </cell>
          <cell r="K1393">
            <v>7000</v>
          </cell>
        </row>
        <row r="1394">
          <cell r="C1394">
            <v>24710177</v>
          </cell>
          <cell r="D1394" t="str">
            <v>GSEBS</v>
          </cell>
          <cell r="E1394" t="str">
            <v>SECURITY DEPOSIT BSNL GR. NOIDA</v>
          </cell>
          <cell r="F1394" t="str">
            <v>ASECUT</v>
          </cell>
          <cell r="G1394">
            <v>5000</v>
          </cell>
          <cell r="K1394">
            <v>5000</v>
          </cell>
        </row>
        <row r="1395">
          <cell r="C1395">
            <v>24710190</v>
          </cell>
          <cell r="D1395" t="str">
            <v>GASRKWCR</v>
          </cell>
          <cell r="E1395" t="str">
            <v>SECURITY DEPOSIT TELEPHONE-SRIKAKULAM</v>
          </cell>
          <cell r="F1395" t="str">
            <v>ASECUT</v>
          </cell>
          <cell r="G1395">
            <v>5000</v>
          </cell>
          <cell r="K1395">
            <v>5000</v>
          </cell>
        </row>
        <row r="1396">
          <cell r="C1396">
            <v>24710199</v>
          </cell>
          <cell r="D1396" t="str">
            <v>GATSEC</v>
          </cell>
          <cell r="E1396" t="str">
            <v>SECURITY DEPOSITE TELEPHONE SECUNDRABAD</v>
          </cell>
          <cell r="F1396" t="str">
            <v>ASECUT</v>
          </cell>
          <cell r="G1396">
            <v>0</v>
          </cell>
          <cell r="K1396">
            <v>0</v>
          </cell>
        </row>
        <row r="1397">
          <cell r="C1397">
            <v>24710207</v>
          </cell>
          <cell r="D1397" t="str">
            <v>GATOHR</v>
          </cell>
          <cell r="E1397" t="str">
            <v>SECURITY TELEPHONE - HARIDWAR</v>
          </cell>
          <cell r="F1397" t="str">
            <v>ASECUT</v>
          </cell>
          <cell r="G1397">
            <v>5000</v>
          </cell>
          <cell r="K1397">
            <v>5000</v>
          </cell>
        </row>
        <row r="1398">
          <cell r="C1398">
            <v>24710186</v>
          </cell>
          <cell r="D1398" t="str">
            <v>GATSRS</v>
          </cell>
          <cell r="E1398" t="str">
            <v>SECURITY DEPOSIT TELEPHONE -SIRSA OFFLINE</v>
          </cell>
          <cell r="F1398" t="str">
            <v>ASECUT</v>
          </cell>
          <cell r="G1398">
            <v>3500</v>
          </cell>
          <cell r="K1398">
            <v>3500</v>
          </cell>
        </row>
        <row r="1399">
          <cell r="C1399">
            <v>24710194</v>
          </cell>
          <cell r="D1399" t="str">
            <v>GATMMR</v>
          </cell>
          <cell r="E1399" t="str">
            <v>SECURITY DEPOSIT- TELEPHONE MUM-MIRA ROAD</v>
          </cell>
          <cell r="F1399" t="str">
            <v>ASECUT</v>
          </cell>
          <cell r="G1399">
            <v>1510.51</v>
          </cell>
          <cell r="K1399">
            <v>1510.51</v>
          </cell>
        </row>
        <row r="1400">
          <cell r="C1400">
            <v>24710175</v>
          </cell>
          <cell r="D1400" t="str">
            <v>GATHIR</v>
          </cell>
          <cell r="E1400" t="str">
            <v>SECURITY DEPOSIT - TELEPHONE HIRANANDNI</v>
          </cell>
          <cell r="F1400" t="str">
            <v>ASECUT</v>
          </cell>
          <cell r="G1400">
            <v>2500</v>
          </cell>
          <cell r="K1400">
            <v>2500</v>
          </cell>
        </row>
        <row r="1401">
          <cell r="C1401">
            <v>24710205</v>
          </cell>
          <cell r="D1401" t="str">
            <v>GABHVW</v>
          </cell>
          <cell r="E1401" t="str">
            <v>SECURITY TELEPHONE - BHAVNAGAR WAGHAVADI ROAD</v>
          </cell>
          <cell r="F1401" t="str">
            <v>ASECUT</v>
          </cell>
          <cell r="G1401">
            <v>1290</v>
          </cell>
          <cell r="K1401">
            <v>1290</v>
          </cell>
        </row>
        <row r="1402">
          <cell r="C1402">
            <v>24710189</v>
          </cell>
          <cell r="D1402" t="str">
            <v>GATGOREW</v>
          </cell>
          <cell r="E1402" t="str">
            <v>SECURITY DEPOSIT TELEPHONE-GOREGAON-WEST</v>
          </cell>
          <cell r="F1402" t="str">
            <v>ASECUT</v>
          </cell>
          <cell r="G1402">
            <v>1084</v>
          </cell>
          <cell r="K1402">
            <v>1084</v>
          </cell>
        </row>
        <row r="1403">
          <cell r="C1403">
            <v>24710188</v>
          </cell>
          <cell r="D1403" t="str">
            <v>GATCALG</v>
          </cell>
          <cell r="E1403" t="str">
            <v>SECURITY DEPOSIT TELEPHONE-CALCUTTA GARIAHAT</v>
          </cell>
          <cell r="F1403" t="str">
            <v>ASECUT</v>
          </cell>
          <cell r="G1403">
            <v>947</v>
          </cell>
          <cell r="K1403">
            <v>947</v>
          </cell>
        </row>
        <row r="1404">
          <cell r="C1404">
            <v>24710173</v>
          </cell>
          <cell r="D1404" t="str">
            <v>GMTNLS</v>
          </cell>
          <cell r="E1404" t="str">
            <v>MTNL SECURITY DEPOSIT CHANDNI CHOWK</v>
          </cell>
          <cell r="F1404" t="str">
            <v>ASECUT</v>
          </cell>
          <cell r="G1404">
            <v>829.26</v>
          </cell>
          <cell r="K1404">
            <v>829.26</v>
          </cell>
        </row>
        <row r="1405">
          <cell r="C1405">
            <v>24710206</v>
          </cell>
          <cell r="D1405" t="str">
            <v>GACUT</v>
          </cell>
          <cell r="E1405" t="str">
            <v>SECURITY TELEPHONE - CUTTAK</v>
          </cell>
          <cell r="F1405" t="str">
            <v>ASECUT</v>
          </cell>
          <cell r="G1405">
            <v>734</v>
          </cell>
          <cell r="K1405">
            <v>734</v>
          </cell>
        </row>
        <row r="1407">
          <cell r="E1407" t="str">
            <v>LOANS &amp; ADVANCES - SECURITY DEPOSIT - VSAT</v>
          </cell>
        </row>
        <row r="1408">
          <cell r="C1408">
            <v>24710204</v>
          </cell>
          <cell r="D1408" t="str">
            <v>GA125</v>
          </cell>
          <cell r="E1408" t="str">
            <v>SECURITY FOR VSAT TO CEPCO</v>
          </cell>
          <cell r="F1408" t="str">
            <v>ASECUV</v>
          </cell>
          <cell r="G1408">
            <v>75000</v>
          </cell>
          <cell r="K1408">
            <v>75000</v>
          </cell>
        </row>
        <row r="1409">
          <cell r="C1409">
            <v>24710184</v>
          </cell>
          <cell r="D1409" t="str">
            <v>GSEVAN</v>
          </cell>
          <cell r="E1409" t="str">
            <v>SECURITY DEPOSIT OF VSAT OF ANAND VIHAR BRANCH</v>
          </cell>
          <cell r="F1409" t="str">
            <v>ASECUV</v>
          </cell>
          <cell r="G1409">
            <v>65000</v>
          </cell>
          <cell r="K1409">
            <v>65000</v>
          </cell>
        </row>
        <row r="1410">
          <cell r="C1410">
            <v>24710192</v>
          </cell>
          <cell r="D1410" t="str">
            <v>GSVSATO</v>
          </cell>
          <cell r="E1410" t="str">
            <v>SECURITY DEPOSIT VSAT OSHIWARA BRANCH A/C</v>
          </cell>
          <cell r="F1410" t="str">
            <v>ASECUV</v>
          </cell>
          <cell r="G1410">
            <v>20000</v>
          </cell>
          <cell r="K1410">
            <v>20000</v>
          </cell>
        </row>
        <row r="1411">
          <cell r="C1411">
            <v>24710183</v>
          </cell>
          <cell r="D1411" t="str">
            <v>GSEVDW</v>
          </cell>
          <cell r="E1411" t="str">
            <v>SECURITY DEPOSIT OF VSAT FOR DWARKA OFFLINE (N</v>
          </cell>
          <cell r="F1411" t="str">
            <v>ASECUV</v>
          </cell>
          <cell r="G1411">
            <v>12666.67</v>
          </cell>
          <cell r="K1411">
            <v>12666.67</v>
          </cell>
        </row>
        <row r="1412">
          <cell r="C1412">
            <v>24710191</v>
          </cell>
          <cell r="D1412" t="str">
            <v>GSECV</v>
          </cell>
          <cell r="E1412" t="str">
            <v>SECURITY DEPOSIT VSAT - CALCUTTA</v>
          </cell>
          <cell r="F1412" t="str">
            <v>ASECUV</v>
          </cell>
          <cell r="G1412">
            <v>9000</v>
          </cell>
          <cell r="K1412">
            <v>9000</v>
          </cell>
        </row>
        <row r="1414">
          <cell r="C1414">
            <v>14890671</v>
          </cell>
          <cell r="E1414" t="str">
            <v>PROVISION FOR DOUBTFUL SECURITY DEPOSITS</v>
          </cell>
          <cell r="F1414" t="str">
            <v>LOLIAB</v>
          </cell>
          <cell r="G1414">
            <v>-6027431.0300000003</v>
          </cell>
          <cell r="K1414">
            <v>-6027431.0300000003</v>
          </cell>
        </row>
        <row r="1416">
          <cell r="E1416" t="str">
            <v>LOANS &amp; ADVANCES - DEPOSITS WITH STOCK EXCHANGE</v>
          </cell>
        </row>
        <row r="1417">
          <cell r="C1417">
            <v>24710171</v>
          </cell>
          <cell r="D1417" t="str">
            <v>GBSVD</v>
          </cell>
          <cell r="E1417" t="str">
            <v>VSAT DEPOSIT (BSE)</v>
          </cell>
          <cell r="F1417" t="str">
            <v>ADEPO</v>
          </cell>
          <cell r="G1417">
            <v>4230000</v>
          </cell>
          <cell r="K1417">
            <v>4230000</v>
          </cell>
        </row>
        <row r="1418">
          <cell r="C1418">
            <v>24700112</v>
          </cell>
          <cell r="E1418" t="str">
            <v>Security Deposit with BSE for SLBS Registration</v>
          </cell>
          <cell r="F1418" t="str">
            <v>ADEPO</v>
          </cell>
          <cell r="G1418">
            <v>1000000</v>
          </cell>
          <cell r="K1418">
            <v>1000000</v>
          </cell>
        </row>
        <row r="1419">
          <cell r="C1419">
            <v>24710158</v>
          </cell>
          <cell r="D1419" t="str">
            <v>GBCTGF</v>
          </cell>
          <cell r="E1419" t="str">
            <v>BSE COLLATERAL -TRADE GUARANTEE FEE</v>
          </cell>
          <cell r="F1419" t="str">
            <v>ADEPO</v>
          </cell>
          <cell r="G1419">
            <v>1000000</v>
          </cell>
          <cell r="K1419">
            <v>1000000</v>
          </cell>
        </row>
        <row r="1420">
          <cell r="C1420">
            <v>24700013</v>
          </cell>
          <cell r="D1420" t="str">
            <v>GBDEP</v>
          </cell>
          <cell r="E1420" t="str">
            <v>Security Deposit With Bse</v>
          </cell>
          <cell r="F1420" t="str">
            <v>ADEPO</v>
          </cell>
          <cell r="G1420">
            <v>500000</v>
          </cell>
          <cell r="K1420">
            <v>500000</v>
          </cell>
        </row>
        <row r="1421">
          <cell r="C1421">
            <v>24710801</v>
          </cell>
          <cell r="D1421" t="str">
            <v>GL01220</v>
          </cell>
          <cell r="E1421" t="str">
            <v>Additional Margin with BSE</v>
          </cell>
          <cell r="F1421" t="str">
            <v>ADEPO</v>
          </cell>
          <cell r="G1421">
            <v>0</v>
          </cell>
          <cell r="K1421">
            <v>0</v>
          </cell>
        </row>
        <row r="1422">
          <cell r="C1422">
            <v>24710159</v>
          </cell>
          <cell r="D1422" t="str">
            <v>GBCDEP</v>
          </cell>
          <cell r="E1422" t="str">
            <v>BSE COLLATERAL DEPOSIT (BASE CAPITAL)</v>
          </cell>
          <cell r="F1422" t="str">
            <v>ADEPO</v>
          </cell>
          <cell r="G1422">
            <v>500000</v>
          </cell>
          <cell r="K1422">
            <v>500000</v>
          </cell>
        </row>
        <row r="1424">
          <cell r="C1424">
            <v>24710160</v>
          </cell>
          <cell r="D1424" t="str">
            <v>GA0035</v>
          </cell>
          <cell r="E1424" t="str">
            <v>NSE DEPOSITS</v>
          </cell>
          <cell r="F1424" t="str">
            <v>ADEPO</v>
          </cell>
          <cell r="G1424">
            <v>5000000</v>
          </cell>
          <cell r="K1424">
            <v>5000000</v>
          </cell>
        </row>
        <row r="1425">
          <cell r="C1425">
            <v>24710161</v>
          </cell>
          <cell r="D1425" t="str">
            <v>GA0072</v>
          </cell>
          <cell r="E1425" t="str">
            <v>NSE FUTURES SEGMENT MARGI</v>
          </cell>
          <cell r="F1425" t="str">
            <v>ADEPO</v>
          </cell>
          <cell r="G1425">
            <v>200000</v>
          </cell>
          <cell r="K1425">
            <v>200000</v>
          </cell>
        </row>
        <row r="1426">
          <cell r="C1426">
            <v>90000509</v>
          </cell>
          <cell r="D1426" t="str">
            <v>GNABCSLB</v>
          </cell>
          <cell r="E1426" t="str">
            <v>ABC MARGIN - NSE (SLB)</v>
          </cell>
          <cell r="F1426" t="str">
            <v>ADEPO</v>
          </cell>
          <cell r="G1426">
            <v>500000</v>
          </cell>
          <cell r="K1426">
            <v>500000</v>
          </cell>
        </row>
        <row r="1427">
          <cell r="C1427">
            <v>90000379</v>
          </cell>
          <cell r="D1427" t="str">
            <v>GL01005</v>
          </cell>
          <cell r="E1427" t="str">
            <v>NSE MARGIN A/C</v>
          </cell>
          <cell r="F1427" t="str">
            <v>ADEPO</v>
          </cell>
          <cell r="G1427">
            <v>0</v>
          </cell>
          <cell r="K1427">
            <v>0</v>
          </cell>
        </row>
        <row r="1428">
          <cell r="C1428">
            <v>24710157</v>
          </cell>
          <cell r="D1428" t="str">
            <v>GADMG</v>
          </cell>
          <cell r="E1428" t="str">
            <v>ADDITIONAL MARGIN WITH NSE</v>
          </cell>
          <cell r="F1428" t="str">
            <v>ADEPO</v>
          </cell>
          <cell r="G1428">
            <v>0</v>
          </cell>
          <cell r="K1428">
            <v>0</v>
          </cell>
        </row>
        <row r="1429">
          <cell r="C1429">
            <v>24710166</v>
          </cell>
          <cell r="D1429" t="str">
            <v>GA0120</v>
          </cell>
          <cell r="E1429" t="str">
            <v>SECURITY FOR FUTURE SEGME</v>
          </cell>
          <cell r="F1429" t="str">
            <v>ADEPO</v>
          </cell>
          <cell r="G1429">
            <v>600000</v>
          </cell>
          <cell r="K1429">
            <v>600000</v>
          </cell>
        </row>
        <row r="1430">
          <cell r="C1430">
            <v>90000498</v>
          </cell>
          <cell r="E1430" t="str">
            <v>Deposits of Trading Membership Currency Derivative</v>
          </cell>
          <cell r="F1430" t="str">
            <v>ADEPO</v>
          </cell>
          <cell r="G1430">
            <v>1000000</v>
          </cell>
          <cell r="K1430">
            <v>1000000</v>
          </cell>
        </row>
        <row r="1431">
          <cell r="C1431">
            <v>24710169</v>
          </cell>
          <cell r="D1431" t="str">
            <v>GANSE</v>
          </cell>
          <cell r="E1431" t="str">
            <v>SECURITY WITH NSE</v>
          </cell>
          <cell r="F1431" t="str">
            <v>ADEPO</v>
          </cell>
          <cell r="G1431">
            <v>5000000</v>
          </cell>
          <cell r="K1431">
            <v>5000000</v>
          </cell>
        </row>
        <row r="1432">
          <cell r="C1432">
            <v>24710162</v>
          </cell>
          <cell r="D1432" t="str">
            <v>GA0304</v>
          </cell>
          <cell r="E1432" t="str">
            <v>NSE SECURITY FOR WHOLESAL</v>
          </cell>
          <cell r="F1432" t="str">
            <v>ADEPO</v>
          </cell>
          <cell r="G1432">
            <v>15000000</v>
          </cell>
          <cell r="K1432">
            <v>15000000</v>
          </cell>
        </row>
        <row r="1433">
          <cell r="C1433">
            <v>24710170</v>
          </cell>
          <cell r="D1433" t="str">
            <v>GE0039</v>
          </cell>
          <cell r="E1433" t="str">
            <v>Security Deposit -VSAT</v>
          </cell>
          <cell r="F1433" t="str">
            <v>ADEPO</v>
          </cell>
          <cell r="G1433">
            <v>6488463</v>
          </cell>
          <cell r="K1433">
            <v>6488463</v>
          </cell>
        </row>
        <row r="1434">
          <cell r="C1434">
            <v>24710167</v>
          </cell>
          <cell r="D1434" t="str">
            <v>GSNSC</v>
          </cell>
          <cell r="E1434" t="str">
            <v>SECURITY IN NSCCL FOR F &amp; O</v>
          </cell>
          <cell r="F1434" t="str">
            <v>ADEPO</v>
          </cell>
          <cell r="G1434">
            <v>2500000</v>
          </cell>
          <cell r="K1434">
            <v>2500000</v>
          </cell>
        </row>
        <row r="1435">
          <cell r="C1435">
            <v>24710921</v>
          </cell>
          <cell r="D1435" t="str">
            <v>GDSLBS</v>
          </cell>
          <cell r="E1435" t="str">
            <v>Deposit  with NSCCL SLBS</v>
          </cell>
          <cell r="F1435" t="str">
            <v>ADEPO</v>
          </cell>
          <cell r="G1435">
            <v>1000000</v>
          </cell>
          <cell r="K1435">
            <v>1000000</v>
          </cell>
        </row>
        <row r="1436">
          <cell r="C1436">
            <v>90000499</v>
          </cell>
          <cell r="E1436" t="str">
            <v>Deposit of Clearing Membership Currency Derivativs</v>
          </cell>
          <cell r="F1436" t="str">
            <v>ADEPO</v>
          </cell>
          <cell r="G1436">
            <v>2500000</v>
          </cell>
          <cell r="K1436">
            <v>2500000</v>
          </cell>
        </row>
        <row r="1438">
          <cell r="C1438">
            <v>24710163</v>
          </cell>
          <cell r="D1438" t="str">
            <v>GL01006</v>
          </cell>
          <cell r="E1438" t="str">
            <v>RETAIL DEBT MARKET</v>
          </cell>
          <cell r="F1438" t="str">
            <v>ADEPO</v>
          </cell>
          <cell r="G1438">
            <v>500000</v>
          </cell>
          <cell r="K1438">
            <v>500000</v>
          </cell>
        </row>
        <row r="1440">
          <cell r="C1440">
            <v>24710168</v>
          </cell>
          <cell r="D1440" t="str">
            <v>GANSDL</v>
          </cell>
          <cell r="E1440" t="str">
            <v>SECURITY WITH NSDL</v>
          </cell>
          <cell r="F1440" t="str">
            <v>ADEPO</v>
          </cell>
          <cell r="G1440">
            <v>1000000</v>
          </cell>
          <cell r="K1440">
            <v>1000000</v>
          </cell>
        </row>
        <row r="1441">
          <cell r="C1441">
            <v>24710164</v>
          </cell>
          <cell r="D1441" t="str">
            <v>GA0442</v>
          </cell>
          <cell r="E1441" t="str">
            <v>SECURITY DEPOSIT WITH CDS</v>
          </cell>
          <cell r="F1441" t="str">
            <v>ADEPO</v>
          </cell>
          <cell r="G1441">
            <v>250000</v>
          </cell>
          <cell r="K1441">
            <v>250000</v>
          </cell>
        </row>
        <row r="1442">
          <cell r="C1442">
            <v>24710165</v>
          </cell>
          <cell r="D1442" t="str">
            <v>GAMCX</v>
          </cell>
          <cell r="E1442" t="str">
            <v>SECURITY DEPOSIT WITH MCX</v>
          </cell>
          <cell r="F1442" t="str">
            <v>ADEPO</v>
          </cell>
          <cell r="G1442">
            <v>500000</v>
          </cell>
          <cell r="K1442">
            <v>500000</v>
          </cell>
        </row>
        <row r="1443">
          <cell r="C1443">
            <v>24710723</v>
          </cell>
          <cell r="D1443" t="str">
            <v>GSNCD</v>
          </cell>
          <cell r="E1443" t="str">
            <v>EMPANALMENT OF DP WITH NCDEX</v>
          </cell>
          <cell r="F1443" t="str">
            <v>ADEPO</v>
          </cell>
          <cell r="G1443">
            <v>500000</v>
          </cell>
          <cell r="K1443">
            <v>500000</v>
          </cell>
        </row>
        <row r="1446">
          <cell r="E1446" t="str">
            <v>LOANS &amp; ADVANCES - INCOME TAX - F.Y.2006-07</v>
          </cell>
        </row>
        <row r="1447">
          <cell r="C1447">
            <v>24700016</v>
          </cell>
          <cell r="D1447" t="str">
            <v>GADT200607</v>
          </cell>
          <cell r="E1447" t="str">
            <v>Advance Tax A.Y. 2006-07</v>
          </cell>
          <cell r="F1447" t="str">
            <v>ATDSA</v>
          </cell>
          <cell r="G1447">
            <v>352500000</v>
          </cell>
          <cell r="K1447">
            <v>352500000</v>
          </cell>
        </row>
        <row r="1448">
          <cell r="C1448">
            <v>24700088</v>
          </cell>
          <cell r="E1448" t="str">
            <v>Self Assessment Tax FY 06-07</v>
          </cell>
          <cell r="F1448" t="str">
            <v>ATDSA</v>
          </cell>
          <cell r="G1448">
            <v>116252209</v>
          </cell>
          <cell r="K1448">
            <v>116252209</v>
          </cell>
        </row>
        <row r="1449">
          <cell r="C1449">
            <v>24710710</v>
          </cell>
          <cell r="D1449" t="str">
            <v>GFDTD67</v>
          </cell>
          <cell r="E1449" t="str">
            <v>TDS DEDUCTED ON FDR 2006-2007</v>
          </cell>
          <cell r="F1449" t="str">
            <v>ATDSA</v>
          </cell>
          <cell r="G1449">
            <v>68338647.329999998</v>
          </cell>
          <cell r="K1449">
            <v>68338647.329999998</v>
          </cell>
        </row>
        <row r="1450">
          <cell r="C1450">
            <v>24710707</v>
          </cell>
          <cell r="D1450" t="str">
            <v>GA091</v>
          </cell>
          <cell r="E1450" t="str">
            <v>TDS DEDUCTED - GROUP COMPANIES 2006-07</v>
          </cell>
          <cell r="F1450" t="str">
            <v>ATDSA</v>
          </cell>
          <cell r="G1450">
            <v>18943687</v>
          </cell>
          <cell r="K1450">
            <v>18943687</v>
          </cell>
        </row>
        <row r="1451">
          <cell r="C1451">
            <v>24700034</v>
          </cell>
          <cell r="D1451" t="str">
            <v>GA090</v>
          </cell>
          <cell r="E1451" t="str">
            <v>Tax Deducted at Source 2006-07</v>
          </cell>
          <cell r="F1451" t="str">
            <v>ATDSA</v>
          </cell>
          <cell r="G1451">
            <v>10791520.26</v>
          </cell>
          <cell r="K1451">
            <v>10791520.26</v>
          </cell>
        </row>
        <row r="1452">
          <cell r="C1452">
            <v>24700035</v>
          </cell>
          <cell r="D1452" t="str">
            <v>GA095</v>
          </cell>
          <cell r="E1452" t="str">
            <v>Tds Deducted Dividend - 2006-07</v>
          </cell>
          <cell r="F1452" t="str">
            <v>ATDSA</v>
          </cell>
          <cell r="G1452">
            <v>3603</v>
          </cell>
          <cell r="K1452">
            <v>3603</v>
          </cell>
        </row>
        <row r="1453">
          <cell r="C1453">
            <v>13113990</v>
          </cell>
          <cell r="D1453" t="str">
            <v>GPTAX06-07</v>
          </cell>
          <cell r="E1453" t="str">
            <v>PROVISION FOR TAXATION 2006-2007</v>
          </cell>
          <cell r="F1453" t="str">
            <v>PTAX</v>
          </cell>
          <cell r="G1453">
            <v>-555300000</v>
          </cell>
          <cell r="K1453">
            <v>-555300000</v>
          </cell>
        </row>
        <row r="1455">
          <cell r="E1455" t="str">
            <v>LOANS &amp; ADVANCES - INCOME TAX - F.Y.2007-08</v>
          </cell>
        </row>
        <row r="1456">
          <cell r="C1456">
            <v>24710800</v>
          </cell>
          <cell r="E1456" t="str">
            <v>Advance Tax A.Y. 2008-09</v>
          </cell>
          <cell r="F1456" t="str">
            <v>ATDSA</v>
          </cell>
          <cell r="G1456">
            <v>1110000000</v>
          </cell>
          <cell r="K1456">
            <v>1110000000</v>
          </cell>
        </row>
        <row r="1457">
          <cell r="C1457">
            <v>24700060</v>
          </cell>
          <cell r="E1457" t="str">
            <v>TDS DEDUCTED FIXED DEPOSIT 2007-2008</v>
          </cell>
          <cell r="F1457" t="str">
            <v>ATDSA</v>
          </cell>
          <cell r="G1457">
            <v>69436108.640000001</v>
          </cell>
          <cell r="K1457">
            <v>69436108.640000001</v>
          </cell>
        </row>
        <row r="1458">
          <cell r="C1458">
            <v>24710909</v>
          </cell>
          <cell r="E1458" t="str">
            <v>TDS Deducted Group Co. 2007-08</v>
          </cell>
          <cell r="F1458" t="str">
            <v>ATDSA</v>
          </cell>
          <cell r="G1458">
            <v>19713366.120000001</v>
          </cell>
          <cell r="K1458">
            <v>19713366.120000001</v>
          </cell>
        </row>
        <row r="1459">
          <cell r="C1459">
            <v>24700055</v>
          </cell>
          <cell r="D1459" t="str">
            <v>GA092</v>
          </cell>
          <cell r="E1459" t="str">
            <v>Tax Deducted at Source 2007-08</v>
          </cell>
          <cell r="F1459" t="str">
            <v>ATDSA</v>
          </cell>
          <cell r="G1459">
            <v>15960656.99</v>
          </cell>
          <cell r="K1459">
            <v>15960656.99</v>
          </cell>
        </row>
        <row r="1460">
          <cell r="C1460">
            <v>24710967</v>
          </cell>
          <cell r="E1460" t="str">
            <v>Self Assessment Tax AY 2008 - 09(FY2007-08)</v>
          </cell>
          <cell r="F1460" t="str">
            <v>ATDSA</v>
          </cell>
          <cell r="G1460">
            <v>4803750</v>
          </cell>
          <cell r="K1460">
            <v>4803750</v>
          </cell>
        </row>
        <row r="1461">
          <cell r="C1461">
            <v>14890410</v>
          </cell>
          <cell r="E1461" t="str">
            <v>PROVISION FOR INCOME TAX - 2007-08</v>
          </cell>
          <cell r="F1461" t="str">
            <v>PTAX</v>
          </cell>
          <cell r="G1461">
            <v>-1217100000</v>
          </cell>
          <cell r="K1461">
            <v>-1217100000</v>
          </cell>
        </row>
        <row r="1463">
          <cell r="E1463" t="str">
            <v>LOANS &amp; ADVANCES - INCOME TAX - F.Y.2008-09</v>
          </cell>
        </row>
        <row r="1464">
          <cell r="C1464">
            <v>24700113</v>
          </cell>
          <cell r="E1464" t="str">
            <v>Advance Tax A.Y. 2009-10</v>
          </cell>
          <cell r="F1464" t="str">
            <v>ATDSA</v>
          </cell>
          <cell r="G1464">
            <v>316500000</v>
          </cell>
          <cell r="K1464">
            <v>316500000</v>
          </cell>
        </row>
        <row r="1465">
          <cell r="C1465">
            <v>24710091</v>
          </cell>
          <cell r="D1465" t="str">
            <v>GFDTD89</v>
          </cell>
          <cell r="E1465" t="str">
            <v>TDS DEDUCTED FIXED DEPOSIT 2008-2009</v>
          </cell>
          <cell r="F1465" t="str">
            <v>ATDSA</v>
          </cell>
          <cell r="G1465">
            <v>106626984.68000001</v>
          </cell>
          <cell r="K1465">
            <v>106626984.68000001</v>
          </cell>
        </row>
        <row r="1466">
          <cell r="C1466">
            <v>24710937</v>
          </cell>
          <cell r="D1466" t="str">
            <v>GA094</v>
          </cell>
          <cell r="E1466" t="str">
            <v>TDS DEDUCTED OTHERS 2008-09</v>
          </cell>
          <cell r="F1466" t="str">
            <v>ATDSA</v>
          </cell>
          <cell r="G1466">
            <v>8570498</v>
          </cell>
          <cell r="K1466">
            <v>8570498</v>
          </cell>
        </row>
        <row r="1467">
          <cell r="C1467">
            <v>24700109</v>
          </cell>
          <cell r="E1467" t="str">
            <v>Tds Deducted FY 2008-09</v>
          </cell>
          <cell r="F1467" t="str">
            <v>ATDSA</v>
          </cell>
          <cell r="G1467">
            <v>3087760</v>
          </cell>
          <cell r="K1467">
            <v>3087760</v>
          </cell>
        </row>
        <row r="1468">
          <cell r="C1468">
            <v>14890558</v>
          </cell>
          <cell r="E1468" t="str">
            <v>PROVISION FOR INCOME TAX - 2008-09</v>
          </cell>
          <cell r="F1468" t="str">
            <v>PTAX</v>
          </cell>
          <cell r="G1468">
            <v>0</v>
          </cell>
          <cell r="K1468">
            <v>0</v>
          </cell>
        </row>
        <row r="1470">
          <cell r="E1470" t="str">
            <v>LOANS &amp; ADVANCES - INCOME TAX - F.Y.2009-10</v>
          </cell>
        </row>
        <row r="1471">
          <cell r="C1471">
            <v>24710992</v>
          </cell>
          <cell r="E1471" t="str">
            <v>Advance Tax A.Y.2010-11</v>
          </cell>
          <cell r="F1471" t="str">
            <v>ATDSA</v>
          </cell>
          <cell r="G1471">
            <v>140000000</v>
          </cell>
          <cell r="K1471">
            <v>140000000</v>
          </cell>
        </row>
        <row r="1472">
          <cell r="C1472">
            <v>24700128</v>
          </cell>
          <cell r="E1472" t="str">
            <v>TDS - Brokerage (third party) ( 09-10 )</v>
          </cell>
          <cell r="F1472" t="str">
            <v>ATDSA</v>
          </cell>
          <cell r="G1472">
            <v>26052.23</v>
          </cell>
          <cell r="K1472">
            <v>26052.23</v>
          </cell>
        </row>
        <row r="1473">
          <cell r="C1473">
            <v>24710997</v>
          </cell>
          <cell r="D1473" t="str">
            <v>GA097</v>
          </cell>
          <cell r="E1473" t="str">
            <v>TDS DEDUCTED OTHERS 2009-10</v>
          </cell>
          <cell r="F1473" t="str">
            <v>ATDSA</v>
          </cell>
          <cell r="G1473">
            <v>2065981</v>
          </cell>
          <cell r="K1473">
            <v>2065981</v>
          </cell>
        </row>
        <row r="1474">
          <cell r="C1474">
            <v>90000536</v>
          </cell>
          <cell r="E1474" t="str">
            <v>TDS Ded. FDR 09-10</v>
          </cell>
          <cell r="F1474" t="str">
            <v>ATDSA</v>
          </cell>
          <cell r="G1474">
            <v>7826452.3300000001</v>
          </cell>
          <cell r="K1474">
            <v>7826452.3300000001</v>
          </cell>
        </row>
        <row r="1476">
          <cell r="C1476">
            <v>24700127</v>
          </cell>
          <cell r="E1476" t="str">
            <v>Tds Deducted FY 09 -10</v>
          </cell>
          <cell r="F1476" t="str">
            <v>ATDSA</v>
          </cell>
          <cell r="G1476">
            <v>932199</v>
          </cell>
          <cell r="K1476">
            <v>932199</v>
          </cell>
        </row>
        <row r="1477">
          <cell r="C1477">
            <v>90000537</v>
          </cell>
          <cell r="E1477" t="str">
            <v>TDS Cert.Rece.09-10</v>
          </cell>
          <cell r="F1477" t="str">
            <v>ATDSA</v>
          </cell>
          <cell r="G1477">
            <v>39000</v>
          </cell>
          <cell r="K1477">
            <v>39000</v>
          </cell>
        </row>
        <row r="1478">
          <cell r="C1478">
            <v>24711003</v>
          </cell>
          <cell r="E1478" t="str">
            <v>TDS Deducted (Group Companies) 2009-10</v>
          </cell>
          <cell r="F1478" t="str">
            <v>ATDSA</v>
          </cell>
          <cell r="G1478">
            <v>260715</v>
          </cell>
          <cell r="K1478">
            <v>260715</v>
          </cell>
        </row>
        <row r="1480">
          <cell r="E1480" t="str">
            <v>LOANS &amp; ADVANCES - FBT - F.Y.2007-08</v>
          </cell>
        </row>
        <row r="1481">
          <cell r="C1481">
            <v>24700065</v>
          </cell>
          <cell r="E1481" t="str">
            <v>Advance FBT(F.Y.07-08)</v>
          </cell>
          <cell r="F1481" t="str">
            <v>ATDSA</v>
          </cell>
          <cell r="G1481">
            <v>7022000</v>
          </cell>
          <cell r="K1481">
            <v>7022000</v>
          </cell>
        </row>
        <row r="1482">
          <cell r="C1482">
            <v>24700121</v>
          </cell>
          <cell r="E1482" t="str">
            <v>Self Asst. Tax -FBT(AY.08-09)</v>
          </cell>
          <cell r="F1482" t="str">
            <v>ATDSA</v>
          </cell>
          <cell r="G1482">
            <v>0</v>
          </cell>
          <cell r="K1482">
            <v>0</v>
          </cell>
        </row>
        <row r="1483">
          <cell r="C1483">
            <v>13114052</v>
          </cell>
          <cell r="E1483" t="str">
            <v>Pro.For FBT FY.07-08</v>
          </cell>
          <cell r="F1483" t="str">
            <v>PTAX</v>
          </cell>
          <cell r="G1483">
            <v>-7489048.2400000002</v>
          </cell>
          <cell r="K1483">
            <v>-7489048.2400000002</v>
          </cell>
        </row>
        <row r="1484">
          <cell r="C1484">
            <v>24700120</v>
          </cell>
          <cell r="E1484" t="str">
            <v>Self Assessment FBT(F.Y-2007-08)</v>
          </cell>
          <cell r="F1484" t="str">
            <v>ATDSA</v>
          </cell>
          <cell r="G1484">
            <v>466484</v>
          </cell>
          <cell r="K1484">
            <v>466484</v>
          </cell>
        </row>
        <row r="1486">
          <cell r="E1486" t="str">
            <v>LOANS &amp; ADVANCES - FBT - F.Y.2008-09</v>
          </cell>
        </row>
        <row r="1487">
          <cell r="C1487">
            <v>24700114</v>
          </cell>
          <cell r="E1487" t="str">
            <v>Advance FBT(F.Y.08-09)</v>
          </cell>
          <cell r="F1487" t="str">
            <v>ATDSA</v>
          </cell>
          <cell r="G1487">
            <v>51590477</v>
          </cell>
          <cell r="K1487">
            <v>51590477</v>
          </cell>
        </row>
        <row r="1488">
          <cell r="C1488">
            <v>14890533</v>
          </cell>
          <cell r="E1488" t="str">
            <v>PROVISION FOR FBT F.Y(08-09)</v>
          </cell>
          <cell r="F1488" t="str">
            <v>PTAX</v>
          </cell>
          <cell r="G1488">
            <v>-51611924.600000001</v>
          </cell>
          <cell r="K1488">
            <v>-51611924.600000001</v>
          </cell>
        </row>
        <row r="1490">
          <cell r="E1490" t="str">
            <v>LOANS &amp; ADVANCES - FBT - F.Y.2009-10</v>
          </cell>
        </row>
        <row r="1491">
          <cell r="C1491">
            <v>24710994</v>
          </cell>
          <cell r="E1491" t="str">
            <v>Advance FBT(F.Y.09-10)</v>
          </cell>
          <cell r="F1491" t="str">
            <v>ATDSA</v>
          </cell>
          <cell r="G1491">
            <v>785632</v>
          </cell>
          <cell r="K1491">
            <v>785632</v>
          </cell>
        </row>
        <row r="1493">
          <cell r="E1493" t="str">
            <v>LOANS &amp; ADVANCES - WEALTH TAX - F.Y.2007-08</v>
          </cell>
        </row>
        <row r="1494">
          <cell r="C1494">
            <v>13113991</v>
          </cell>
          <cell r="D1494" t="str">
            <v>GPWTAX</v>
          </cell>
          <cell r="E1494" t="str">
            <v>PROVISION FOR WEALTH TAX</v>
          </cell>
          <cell r="F1494" t="str">
            <v>PTAX</v>
          </cell>
          <cell r="G1494">
            <v>-1012</v>
          </cell>
          <cell r="K1494">
            <v>-1012</v>
          </cell>
        </row>
        <row r="1495">
          <cell r="C1495">
            <v>13114103</v>
          </cell>
          <cell r="E1495" t="str">
            <v>Provision for Wealth Tax F.Y. 2008-09</v>
          </cell>
          <cell r="F1495" t="str">
            <v>PTAX</v>
          </cell>
          <cell r="G1495">
            <v>0</v>
          </cell>
          <cell r="K1495">
            <v>0</v>
          </cell>
        </row>
        <row r="1497">
          <cell r="E1497" t="str">
            <v>CURRENT LIABILITIES - SUNDRY CREDITORS</v>
          </cell>
        </row>
        <row r="1498">
          <cell r="C1498">
            <v>14890063</v>
          </cell>
          <cell r="E1498" t="str">
            <v>Sundry Creditors- Vendors Communication</v>
          </cell>
          <cell r="F1498" t="str">
            <v>LSCRED</v>
          </cell>
          <cell r="G1498">
            <v>-2868588.75</v>
          </cell>
          <cell r="K1498">
            <v>-2868588.75</v>
          </cell>
        </row>
        <row r="1499">
          <cell r="C1499">
            <v>14890077</v>
          </cell>
          <cell r="E1499" t="str">
            <v>Sundry Creditors- Vendors Services</v>
          </cell>
          <cell r="F1499" t="str">
            <v>LSCRED</v>
          </cell>
          <cell r="G1499">
            <v>-928542.01</v>
          </cell>
          <cell r="K1499">
            <v>-928542.01</v>
          </cell>
        </row>
        <row r="1500">
          <cell r="C1500">
            <v>15000024</v>
          </cell>
          <cell r="E1500" t="str">
            <v>Sundry Creditors- Vendors Misc</v>
          </cell>
          <cell r="F1500" t="str">
            <v>LSCRED</v>
          </cell>
          <cell r="G1500">
            <v>-5357140.3899999997</v>
          </cell>
          <cell r="K1500">
            <v>-5357140.3899999997</v>
          </cell>
        </row>
        <row r="1501">
          <cell r="C1501">
            <v>14890073</v>
          </cell>
          <cell r="E1501" t="str">
            <v>Sundry Creditors- Vendors Materials</v>
          </cell>
          <cell r="F1501" t="str">
            <v>LSCRED</v>
          </cell>
          <cell r="G1501">
            <v>-535535</v>
          </cell>
          <cell r="K1501">
            <v>-535535</v>
          </cell>
        </row>
        <row r="1502">
          <cell r="C1502">
            <v>14890060</v>
          </cell>
          <cell r="E1502" t="str">
            <v>Sundry Creditors- Vendors Balances Advertisement</v>
          </cell>
          <cell r="F1502" t="str">
            <v>LSCRED</v>
          </cell>
          <cell r="G1502">
            <v>-523567</v>
          </cell>
          <cell r="K1502">
            <v>-523567</v>
          </cell>
        </row>
        <row r="1503">
          <cell r="C1503">
            <v>14890071</v>
          </cell>
          <cell r="E1503" t="str">
            <v>Sundry Creditors- Vendors Legal &amp; Professional</v>
          </cell>
          <cell r="F1503" t="str">
            <v>LSCRED</v>
          </cell>
          <cell r="G1503">
            <v>-121330.5</v>
          </cell>
          <cell r="K1503">
            <v>-121330.5</v>
          </cell>
        </row>
        <row r="1504">
          <cell r="C1504">
            <v>14890078</v>
          </cell>
          <cell r="E1504" t="str">
            <v>Sundry Creditors- Vendors Subbroker Distribution</v>
          </cell>
          <cell r="F1504" t="str">
            <v>LSCRED</v>
          </cell>
          <cell r="G1504">
            <v>-887</v>
          </cell>
          <cell r="K1504">
            <v>-887</v>
          </cell>
        </row>
        <row r="1505">
          <cell r="C1505">
            <v>14890056</v>
          </cell>
          <cell r="E1505" t="str">
            <v>Sundry Creditors-Vendors Secured Loans</v>
          </cell>
          <cell r="F1505" t="str">
            <v>LSCRED</v>
          </cell>
          <cell r="G1505">
            <v>0</v>
          </cell>
          <cell r="K1505">
            <v>0</v>
          </cell>
        </row>
        <row r="1506">
          <cell r="C1506">
            <v>14890062</v>
          </cell>
          <cell r="E1506" t="str">
            <v>Sundry Creditors- Vendors Collection Agency</v>
          </cell>
          <cell r="F1506" t="str">
            <v>LSCRED</v>
          </cell>
          <cell r="G1506">
            <v>0</v>
          </cell>
          <cell r="K1506">
            <v>0</v>
          </cell>
        </row>
        <row r="1507">
          <cell r="C1507">
            <v>14890064</v>
          </cell>
          <cell r="E1507" t="str">
            <v>Sundry Creditors- Vendors Credit Agency</v>
          </cell>
          <cell r="F1507" t="str">
            <v>LSCRED</v>
          </cell>
          <cell r="G1507">
            <v>0</v>
          </cell>
          <cell r="K1507">
            <v>0</v>
          </cell>
        </row>
        <row r="1508">
          <cell r="C1508">
            <v>14890068</v>
          </cell>
          <cell r="E1508" t="str">
            <v>Sundry Creditors- Vendors Foregin</v>
          </cell>
          <cell r="F1508" t="str">
            <v>LSCRED</v>
          </cell>
          <cell r="G1508">
            <v>0</v>
          </cell>
          <cell r="K1508">
            <v>0</v>
          </cell>
        </row>
        <row r="1509">
          <cell r="C1509">
            <v>14890070</v>
          </cell>
          <cell r="E1509" t="str">
            <v>Sundry Creditors- Vendors Housekeeping</v>
          </cell>
          <cell r="F1509" t="str">
            <v>LSCRED</v>
          </cell>
          <cell r="G1509">
            <v>0</v>
          </cell>
          <cell r="K1509">
            <v>0</v>
          </cell>
        </row>
        <row r="1510">
          <cell r="C1510">
            <v>14890072</v>
          </cell>
          <cell r="E1510" t="str">
            <v>Sundry Creditors- Vendors Marketing Associates/DSA</v>
          </cell>
          <cell r="F1510" t="str">
            <v>LSCRED</v>
          </cell>
          <cell r="G1510">
            <v>-960</v>
          </cell>
          <cell r="K1510">
            <v>-960</v>
          </cell>
        </row>
        <row r="1511">
          <cell r="C1511">
            <v>14890076</v>
          </cell>
          <cell r="E1511" t="str">
            <v>Sundry Creditors- Vendors Recruitment &amp; Training A</v>
          </cell>
          <cell r="F1511" t="str">
            <v>LSCRED</v>
          </cell>
          <cell r="G1511">
            <v>0</v>
          </cell>
          <cell r="K1511">
            <v>0</v>
          </cell>
        </row>
        <row r="1512">
          <cell r="C1512">
            <v>14890080</v>
          </cell>
          <cell r="E1512" t="str">
            <v>Sundry Creditors- Vendors Stationery</v>
          </cell>
          <cell r="F1512" t="str">
            <v>LSCRED</v>
          </cell>
          <cell r="G1512">
            <v>0</v>
          </cell>
          <cell r="K1512">
            <v>0</v>
          </cell>
        </row>
        <row r="1513">
          <cell r="C1513">
            <v>14890082</v>
          </cell>
          <cell r="E1513" t="str">
            <v>Sundry Creditors-Vendors Travelling</v>
          </cell>
          <cell r="F1513" t="str">
            <v>LSCRED</v>
          </cell>
          <cell r="G1513">
            <v>0</v>
          </cell>
          <cell r="K1513">
            <v>0</v>
          </cell>
        </row>
        <row r="1514">
          <cell r="C1514">
            <v>14890083</v>
          </cell>
          <cell r="E1514" t="str">
            <v>Sundry Creditors-Vendors Works Contract</v>
          </cell>
          <cell r="F1514" t="str">
            <v>LSCRED</v>
          </cell>
          <cell r="G1514">
            <v>0</v>
          </cell>
          <cell r="K1514">
            <v>0</v>
          </cell>
        </row>
        <row r="1515">
          <cell r="C1515">
            <v>15000011</v>
          </cell>
          <cell r="E1515" t="str">
            <v>Sundry Creditors Vendors Fixed Assets &amp; Other</v>
          </cell>
          <cell r="F1515" t="str">
            <v>LSCRED</v>
          </cell>
          <cell r="G1515">
            <v>-23639893.440000001</v>
          </cell>
          <cell r="K1515">
            <v>-23639893.440000001</v>
          </cell>
        </row>
        <row r="1516">
          <cell r="C1516">
            <v>15000025</v>
          </cell>
          <cell r="E1516" t="str">
            <v>Sundry Creditors -Vendors (Landlord)</v>
          </cell>
          <cell r="F1516" t="str">
            <v>LSCRED</v>
          </cell>
          <cell r="G1516">
            <v>842062.74</v>
          </cell>
          <cell r="K1516">
            <v>842062.74</v>
          </cell>
        </row>
        <row r="1517">
          <cell r="C1517">
            <v>14890057</v>
          </cell>
          <cell r="E1517" t="str">
            <v>Sundry Creditors-Vendors Unsecured Loans</v>
          </cell>
          <cell r="F1517" t="str">
            <v>LSCRED</v>
          </cell>
          <cell r="G1517">
            <v>0</v>
          </cell>
          <cell r="K1517">
            <v>0</v>
          </cell>
        </row>
        <row r="1519">
          <cell r="C1519">
            <v>24710776</v>
          </cell>
          <cell r="E1519" t="str">
            <v>Vendors Inter Company REceivables</v>
          </cell>
          <cell r="F1519" t="str">
            <v>ADVAN</v>
          </cell>
          <cell r="G1519">
            <v>0</v>
          </cell>
          <cell r="K1519">
            <v>0</v>
          </cell>
        </row>
        <row r="1520">
          <cell r="C1520">
            <v>15000018</v>
          </cell>
          <cell r="E1520" t="str">
            <v>Sundry Creditors Vendors Emp (Other Than Salary)</v>
          </cell>
          <cell r="F1520" t="str">
            <v>ADVAN</v>
          </cell>
          <cell r="G1520">
            <v>67736.47</v>
          </cell>
          <cell r="K1520">
            <v>67736.47</v>
          </cell>
        </row>
        <row r="1521">
          <cell r="C1521">
            <v>14890392</v>
          </cell>
          <cell r="E1521" t="str">
            <v>Sundry Creditors-Vendors Inter Company Payables</v>
          </cell>
          <cell r="F1521" t="str">
            <v>LSCRED</v>
          </cell>
          <cell r="G1521">
            <v>-78915</v>
          </cell>
          <cell r="K1521">
            <v>-78915</v>
          </cell>
        </row>
        <row r="1523">
          <cell r="E1523" t="str">
            <v>CURRENT LIABILITIES - ADV. FROM CUSTOMERS</v>
          </cell>
        </row>
        <row r="1524">
          <cell r="C1524">
            <v>90000192</v>
          </cell>
          <cell r="D1524" t="str">
            <v>GA05050</v>
          </cell>
          <cell r="E1524" t="str">
            <v>Sundry Debtors A/C</v>
          </cell>
          <cell r="F1524" t="str">
            <v>ADEBT</v>
          </cell>
          <cell r="G1524">
            <v>-1879864559.4200001</v>
          </cell>
          <cell r="K1524">
            <v>-1879864559.4200001</v>
          </cell>
        </row>
        <row r="1525">
          <cell r="C1525">
            <v>90000183</v>
          </cell>
          <cell r="D1525" t="str">
            <v>GA05050</v>
          </cell>
          <cell r="E1525" t="str">
            <v>Bombay Stock Exchange Limited</v>
          </cell>
          <cell r="F1525" t="str">
            <v>ADEBT</v>
          </cell>
          <cell r="G1525">
            <v>-72569230.909999996</v>
          </cell>
          <cell r="K1525">
            <v>-72569230.909999996</v>
          </cell>
        </row>
        <row r="1526">
          <cell r="C1526">
            <v>90000005</v>
          </cell>
          <cell r="D1526" t="str">
            <v>GA0B1</v>
          </cell>
          <cell r="E1526" t="str">
            <v>Cleared Ch. In Hdfc Bank</v>
          </cell>
          <cell r="F1526" t="str">
            <v>ADEBT</v>
          </cell>
          <cell r="G1526">
            <v>-537514.72</v>
          </cell>
          <cell r="K1526">
            <v>-537514.72</v>
          </cell>
        </row>
        <row r="1527">
          <cell r="C1527">
            <v>90000104</v>
          </cell>
          <cell r="D1527" t="str">
            <v>GL1028</v>
          </cell>
          <cell r="E1527" t="str">
            <v>STATE BANK OF INDIA (WDM)</v>
          </cell>
          <cell r="F1527" t="str">
            <v>ADEBT</v>
          </cell>
          <cell r="G1527">
            <v>-11500</v>
          </cell>
          <cell r="K1527">
            <v>-11500</v>
          </cell>
        </row>
        <row r="1528">
          <cell r="C1528">
            <v>90000335</v>
          </cell>
          <cell r="D1528" t="str">
            <v>GL1028</v>
          </cell>
          <cell r="E1528" t="str">
            <v>ALLAHABAD BANK (WDM)</v>
          </cell>
          <cell r="F1528" t="str">
            <v>ADEBT</v>
          </cell>
          <cell r="G1528">
            <v>-8500</v>
          </cell>
          <cell r="K1528">
            <v>-8500</v>
          </cell>
        </row>
        <row r="1529">
          <cell r="C1529">
            <v>90000088</v>
          </cell>
          <cell r="D1529" t="str">
            <v>GL1028</v>
          </cell>
          <cell r="E1529" t="str">
            <v>NAGPUR NAGRIK SAHAKARI B</v>
          </cell>
          <cell r="F1529" t="str">
            <v>ADEBT</v>
          </cell>
          <cell r="G1529">
            <v>-7264</v>
          </cell>
          <cell r="K1529">
            <v>-7264</v>
          </cell>
        </row>
        <row r="1530">
          <cell r="C1530">
            <v>90000082</v>
          </cell>
          <cell r="D1530" t="str">
            <v>GL1028</v>
          </cell>
          <cell r="E1530" t="str">
            <v>JANTA SAHAKARI BANK(WDM)</v>
          </cell>
          <cell r="F1530" t="str">
            <v>ADEBT</v>
          </cell>
          <cell r="G1530">
            <v>-7000</v>
          </cell>
          <cell r="K1530">
            <v>-7000</v>
          </cell>
        </row>
        <row r="1531">
          <cell r="C1531">
            <v>90000112</v>
          </cell>
          <cell r="D1531" t="str">
            <v>GL1028</v>
          </cell>
          <cell r="E1531" t="str">
            <v>UNITED BANK OF INDIA (WDM)</v>
          </cell>
          <cell r="F1531" t="str">
            <v>ADEBT</v>
          </cell>
          <cell r="G1531">
            <v>-5250</v>
          </cell>
          <cell r="K1531">
            <v>-5250</v>
          </cell>
        </row>
        <row r="1532">
          <cell r="C1532">
            <v>90000066</v>
          </cell>
          <cell r="D1532" t="str">
            <v>GL1028</v>
          </cell>
          <cell r="E1532" t="str">
            <v>CANARA BANK(WDM)</v>
          </cell>
          <cell r="F1532" t="str">
            <v>ADEBT</v>
          </cell>
          <cell r="G1532">
            <v>-6000</v>
          </cell>
          <cell r="K1532">
            <v>-6000</v>
          </cell>
        </row>
        <row r="1533">
          <cell r="C1533">
            <v>90000058</v>
          </cell>
          <cell r="D1533" t="str">
            <v>GL1028</v>
          </cell>
          <cell r="E1533" t="str">
            <v>BANK OF BARODA CAPITALMARKETS(WDM)</v>
          </cell>
          <cell r="F1533" t="str">
            <v>ADEBT</v>
          </cell>
          <cell r="G1533">
            <v>-5250</v>
          </cell>
          <cell r="K1533">
            <v>-5250</v>
          </cell>
        </row>
        <row r="1534">
          <cell r="C1534">
            <v>90000099</v>
          </cell>
          <cell r="D1534" t="str">
            <v>GL1028</v>
          </cell>
          <cell r="E1534" t="str">
            <v>SBI MUTUAL FUND (WDM)</v>
          </cell>
          <cell r="F1534" t="str">
            <v>ADEBT</v>
          </cell>
          <cell r="G1534">
            <v>-3500</v>
          </cell>
          <cell r="K1534">
            <v>-3500</v>
          </cell>
        </row>
        <row r="1535">
          <cell r="C1535">
            <v>90000109</v>
          </cell>
          <cell r="D1535" t="str">
            <v>GL1028</v>
          </cell>
          <cell r="E1535" t="str">
            <v>THE SANGLI BANK (WDM)</v>
          </cell>
          <cell r="F1535" t="str">
            <v>ADEBT</v>
          </cell>
          <cell r="G1535">
            <v>-3500</v>
          </cell>
          <cell r="K1535">
            <v>-3500</v>
          </cell>
        </row>
        <row r="1536">
          <cell r="C1536">
            <v>90000063</v>
          </cell>
          <cell r="D1536" t="str">
            <v>GL1028</v>
          </cell>
          <cell r="E1536" t="str">
            <v>BHARAT CO-OP BANK LTD. (WDM)</v>
          </cell>
          <cell r="F1536" t="str">
            <v>ADEBT</v>
          </cell>
          <cell r="G1536">
            <v>-3200</v>
          </cell>
          <cell r="K1536">
            <v>-3200</v>
          </cell>
        </row>
        <row r="1537">
          <cell r="C1537">
            <v>90000004</v>
          </cell>
          <cell r="D1537" t="str">
            <v>GL10130</v>
          </cell>
          <cell r="E1537" t="str">
            <v>Account To Be Open</v>
          </cell>
          <cell r="F1537" t="str">
            <v>ADEBT</v>
          </cell>
          <cell r="G1537">
            <v>-3050</v>
          </cell>
          <cell r="K1537">
            <v>-3050</v>
          </cell>
        </row>
        <row r="1538">
          <cell r="C1538">
            <v>90000111</v>
          </cell>
          <cell r="D1538" t="str">
            <v>GL1028</v>
          </cell>
          <cell r="E1538" t="str">
            <v>UCO BANK</v>
          </cell>
          <cell r="F1538" t="str">
            <v>ADEBT</v>
          </cell>
          <cell r="G1538">
            <v>-2250</v>
          </cell>
          <cell r="K1538">
            <v>-2250</v>
          </cell>
        </row>
        <row r="1539">
          <cell r="C1539">
            <v>90000200</v>
          </cell>
          <cell r="D1539" t="str">
            <v>GL1028</v>
          </cell>
          <cell r="E1539" t="str">
            <v>AHMEDNAGAR SAHAR SAHAKARI BANK (WDM)</v>
          </cell>
          <cell r="F1539" t="str">
            <v>ADEBT</v>
          </cell>
          <cell r="G1539">
            <v>-2000</v>
          </cell>
          <cell r="K1539">
            <v>-2000</v>
          </cell>
        </row>
        <row r="1540">
          <cell r="C1540">
            <v>90000072</v>
          </cell>
          <cell r="D1540" t="str">
            <v>GL1028</v>
          </cell>
          <cell r="E1540" t="str">
            <v>FEDERAL BANK(WDM)</v>
          </cell>
          <cell r="F1540" t="str">
            <v>ADEBT</v>
          </cell>
          <cell r="G1540">
            <v>-1750</v>
          </cell>
          <cell r="K1540">
            <v>-1750</v>
          </cell>
        </row>
        <row r="1541">
          <cell r="C1541">
            <v>90000092</v>
          </cell>
          <cell r="D1541" t="str">
            <v>GL1028</v>
          </cell>
          <cell r="E1541" t="str">
            <v>ORIENTAL BANK OF COMM. (WDM)</v>
          </cell>
          <cell r="F1541" t="str">
            <v>ADEBT</v>
          </cell>
          <cell r="G1541">
            <v>1500</v>
          </cell>
          <cell r="K1541">
            <v>1500</v>
          </cell>
        </row>
        <row r="1542">
          <cell r="C1542">
            <v>90000011</v>
          </cell>
          <cell r="D1542" t="str">
            <v>GA05050</v>
          </cell>
          <cell r="E1542" t="str">
            <v>Sundry Debtors A/C.Customers Direct</v>
          </cell>
          <cell r="F1542" t="str">
            <v>ADEBT</v>
          </cell>
          <cell r="G1542">
            <v>-524.01</v>
          </cell>
          <cell r="K1542">
            <v>-524.01</v>
          </cell>
        </row>
        <row r="1543">
          <cell r="C1543">
            <v>90000106</v>
          </cell>
          <cell r="D1543" t="str">
            <v>GL1028</v>
          </cell>
          <cell r="E1543" t="str">
            <v>STATE BANK OF SHAURASHTR</v>
          </cell>
          <cell r="F1543" t="str">
            <v>ADEBT</v>
          </cell>
          <cell r="G1543">
            <v>-500</v>
          </cell>
          <cell r="K1543">
            <v>-500</v>
          </cell>
        </row>
        <row r="1544">
          <cell r="C1544">
            <v>90000074</v>
          </cell>
          <cell r="D1544" t="str">
            <v>GL1028</v>
          </cell>
          <cell r="E1544" t="str">
            <v>ICHALKARANJI JANTA SAHAKARI BANK(WDM)</v>
          </cell>
          <cell r="F1544" t="str">
            <v>ADEBT</v>
          </cell>
          <cell r="G1544">
            <v>-491</v>
          </cell>
          <cell r="K1544">
            <v>-491</v>
          </cell>
        </row>
        <row r="1545">
          <cell r="C1545">
            <v>90000003</v>
          </cell>
          <cell r="D1545" t="str">
            <v>GA05090</v>
          </cell>
          <cell r="E1545" t="str">
            <v>Balancing Account</v>
          </cell>
          <cell r="F1545" t="str">
            <v>ADEBT</v>
          </cell>
          <cell r="G1545">
            <v>59140594.189999998</v>
          </cell>
          <cell r="K1545">
            <v>59140594.189999998</v>
          </cell>
        </row>
        <row r="1546">
          <cell r="C1546">
            <v>90000186</v>
          </cell>
          <cell r="D1546" t="str">
            <v>GA05050</v>
          </cell>
          <cell r="E1546" t="str">
            <v>National Stock Exchange</v>
          </cell>
          <cell r="F1546" t="str">
            <v>ADEBT</v>
          </cell>
          <cell r="G1546">
            <v>162496475.33000001</v>
          </cell>
          <cell r="K1546">
            <v>162496475.33000001</v>
          </cell>
        </row>
        <row r="1547">
          <cell r="C1547">
            <v>90000184</v>
          </cell>
          <cell r="D1547" t="str">
            <v>GA05050</v>
          </cell>
          <cell r="E1547" t="str">
            <v>Bombay Stock Exchange Limited - STT A/C</v>
          </cell>
          <cell r="F1547" t="str">
            <v>ADEBT</v>
          </cell>
          <cell r="G1547">
            <v>136148.94</v>
          </cell>
          <cell r="K1547">
            <v>136148.94</v>
          </cell>
        </row>
        <row r="1548">
          <cell r="C1548">
            <v>13113802</v>
          </cell>
          <cell r="D1548" t="str">
            <v>GA0383</v>
          </cell>
          <cell r="E1548" t="str">
            <v>Deposit Received From Clients</v>
          </cell>
          <cell r="F1548" t="str">
            <v>LMAR</v>
          </cell>
          <cell r="G1548">
            <v>-600000</v>
          </cell>
          <cell r="K1548">
            <v>-600000</v>
          </cell>
        </row>
        <row r="1549">
          <cell r="C1549">
            <v>14890126</v>
          </cell>
          <cell r="D1549" t="str">
            <v>GADCM</v>
          </cell>
          <cell r="E1549" t="str">
            <v>MARKET WIZARDS SECURITIES PVT LTD</v>
          </cell>
          <cell r="F1549" t="str">
            <v>LMAR</v>
          </cell>
          <cell r="G1549">
            <v>-100000</v>
          </cell>
          <cell r="K1549">
            <v>-100000</v>
          </cell>
        </row>
        <row r="1550">
          <cell r="C1550">
            <v>14890123</v>
          </cell>
          <cell r="D1550" t="str">
            <v>GADCM</v>
          </cell>
          <cell r="E1550" t="str">
            <v>AVINASH KUMAR</v>
          </cell>
          <cell r="F1550" t="str">
            <v>LMAR</v>
          </cell>
          <cell r="G1550">
            <v>-50000</v>
          </cell>
          <cell r="K1550">
            <v>-50000</v>
          </cell>
        </row>
        <row r="1551">
          <cell r="C1551">
            <v>14890124</v>
          </cell>
          <cell r="D1551" t="str">
            <v>GADCM</v>
          </cell>
          <cell r="E1551" t="str">
            <v>GURMEET SINGH OBEROI</v>
          </cell>
          <cell r="F1551" t="str">
            <v>LMAR</v>
          </cell>
          <cell r="G1551">
            <v>-50000</v>
          </cell>
          <cell r="K1551">
            <v>-50000</v>
          </cell>
        </row>
        <row r="1552">
          <cell r="C1552">
            <v>14890127</v>
          </cell>
          <cell r="D1552" t="str">
            <v>GADCM</v>
          </cell>
          <cell r="E1552" t="str">
            <v>MITUL ASHWIN ADHIYA</v>
          </cell>
          <cell r="F1552" t="str">
            <v>LMAR</v>
          </cell>
          <cell r="G1552">
            <v>-50000</v>
          </cell>
          <cell r="K1552">
            <v>-50000</v>
          </cell>
        </row>
        <row r="1553">
          <cell r="C1553">
            <v>14890148</v>
          </cell>
          <cell r="D1553" t="str">
            <v>GL01MAR</v>
          </cell>
          <cell r="E1553" t="str">
            <v>S K SINGHAL-BOM MARGIN A\</v>
          </cell>
          <cell r="F1553" t="str">
            <v>LMAR</v>
          </cell>
          <cell r="G1553">
            <v>-10000</v>
          </cell>
          <cell r="K1553">
            <v>-10000</v>
          </cell>
        </row>
        <row r="1554">
          <cell r="C1554">
            <v>14890149</v>
          </cell>
          <cell r="D1554" t="str">
            <v>GL01MAR</v>
          </cell>
          <cell r="E1554" t="str">
            <v>SURINDER MADHAVAN MARGIN</v>
          </cell>
          <cell r="F1554" t="str">
            <v>LMAR</v>
          </cell>
          <cell r="G1554">
            <v>-1000</v>
          </cell>
          <cell r="K1554">
            <v>-1000</v>
          </cell>
        </row>
        <row r="1555">
          <cell r="C1555">
            <v>14890122</v>
          </cell>
          <cell r="D1555" t="str">
            <v>GADCM</v>
          </cell>
          <cell r="E1555" t="str">
            <v>3M SECURITIES</v>
          </cell>
          <cell r="F1555" t="str">
            <v>LMAR</v>
          </cell>
          <cell r="G1555">
            <v>0</v>
          </cell>
          <cell r="K1555">
            <v>0</v>
          </cell>
        </row>
        <row r="1556">
          <cell r="C1556">
            <v>14890125</v>
          </cell>
          <cell r="D1556" t="str">
            <v>GADCM</v>
          </cell>
          <cell r="E1556" t="str">
            <v>INDER KUMAR TANDON</v>
          </cell>
          <cell r="F1556" t="str">
            <v>LMAR</v>
          </cell>
          <cell r="G1556">
            <v>0</v>
          </cell>
          <cell r="K1556">
            <v>0</v>
          </cell>
        </row>
        <row r="1557">
          <cell r="C1557">
            <v>14890128</v>
          </cell>
          <cell r="D1557" t="str">
            <v>GADCM</v>
          </cell>
          <cell r="E1557" t="str">
            <v>SUBRATA SAHA</v>
          </cell>
          <cell r="F1557" t="str">
            <v>LMAR</v>
          </cell>
          <cell r="G1557">
            <v>0</v>
          </cell>
          <cell r="K1557">
            <v>0</v>
          </cell>
        </row>
        <row r="1558">
          <cell r="C1558">
            <v>14890129</v>
          </cell>
          <cell r="D1558" t="str">
            <v>GADCM</v>
          </cell>
          <cell r="E1558" t="str">
            <v>SWASTIK INVESTMENTS</v>
          </cell>
          <cell r="F1558" t="str">
            <v>LMAR</v>
          </cell>
          <cell r="G1558">
            <v>0</v>
          </cell>
          <cell r="K1558">
            <v>0</v>
          </cell>
        </row>
        <row r="1559">
          <cell r="C1559">
            <v>14890679</v>
          </cell>
          <cell r="E1559" t="str">
            <v>Security Deposit from Arbitrage Vendors</v>
          </cell>
          <cell r="F1559" t="str">
            <v>LMAR</v>
          </cell>
          <cell r="G1559">
            <v>-500000</v>
          </cell>
          <cell r="K1559">
            <v>-500000</v>
          </cell>
        </row>
        <row r="1562">
          <cell r="E1562" t="str">
            <v>CURRENT LIABILITIES - TEMP. OVERDRAWAN BALANCES</v>
          </cell>
        </row>
        <row r="1564">
          <cell r="E1564" t="str">
            <v>CURRENT LIABILITIES - OTHER LIAB. - SECURITY DEPOSIT FOR CAR</v>
          </cell>
        </row>
        <row r="1565">
          <cell r="C1565">
            <v>13114056</v>
          </cell>
          <cell r="D1565" t="str">
            <v>GSEEE</v>
          </cell>
          <cell r="E1565" t="str">
            <v>SECURITY DEPOSIT FROM ANURAG OHRI</v>
          </cell>
          <cell r="F1565" t="str">
            <v>ASECO</v>
          </cell>
          <cell r="G1565">
            <v>-547476</v>
          </cell>
          <cell r="K1565">
            <v>-547476</v>
          </cell>
        </row>
        <row r="1566">
          <cell r="C1566">
            <v>14890176</v>
          </cell>
          <cell r="D1566" t="str">
            <v>GSEEE</v>
          </cell>
          <cell r="E1566" t="str">
            <v>SECURITY DEPOSIT FROM NANDAKISHORE</v>
          </cell>
          <cell r="F1566" t="str">
            <v>ASECO</v>
          </cell>
          <cell r="G1566">
            <v>-180130</v>
          </cell>
          <cell r="K1566">
            <v>-180130</v>
          </cell>
        </row>
        <row r="1567">
          <cell r="C1567">
            <v>14890413</v>
          </cell>
          <cell r="D1567" t="str">
            <v>GSEEE</v>
          </cell>
          <cell r="E1567" t="str">
            <v>SECURITY DEPOSIT FROM SANJAY GROVER</v>
          </cell>
          <cell r="F1567" t="str">
            <v>ASECO</v>
          </cell>
          <cell r="G1567">
            <v>-168837</v>
          </cell>
          <cell r="K1567">
            <v>-168837</v>
          </cell>
        </row>
        <row r="1568">
          <cell r="C1568">
            <v>14890181</v>
          </cell>
          <cell r="D1568" t="str">
            <v>GSEEE</v>
          </cell>
          <cell r="E1568" t="str">
            <v>SECURITY DEPSOIT SACHIN JAIN</v>
          </cell>
          <cell r="F1568" t="str">
            <v>ASECO</v>
          </cell>
          <cell r="G1568">
            <v>-151703</v>
          </cell>
          <cell r="K1568">
            <v>-151703</v>
          </cell>
        </row>
        <row r="1569">
          <cell r="C1569">
            <v>14890416</v>
          </cell>
          <cell r="D1569" t="str">
            <v>GSEEE</v>
          </cell>
          <cell r="E1569" t="str">
            <v>SECURITY DEPOSIT FROM VIKAS SACHDEVA</v>
          </cell>
          <cell r="F1569" t="str">
            <v>ASECO</v>
          </cell>
          <cell r="G1569">
            <v>-124790</v>
          </cell>
          <cell r="K1569">
            <v>-124790</v>
          </cell>
        </row>
        <row r="1570">
          <cell r="C1570">
            <v>14890420</v>
          </cell>
          <cell r="D1570" t="str">
            <v>GSEEE</v>
          </cell>
          <cell r="E1570" t="str">
            <v>SECURITY DEPOSIT FROM SANJEEV KASHYAP</v>
          </cell>
          <cell r="F1570" t="str">
            <v>ASECO</v>
          </cell>
          <cell r="G1570">
            <v>-124790</v>
          </cell>
          <cell r="K1570">
            <v>-124790</v>
          </cell>
        </row>
        <row r="1571">
          <cell r="C1571">
            <v>14890179</v>
          </cell>
          <cell r="D1571" t="str">
            <v>GSEEE</v>
          </cell>
          <cell r="E1571" t="str">
            <v>SECURITY DEPOSIT FROM MANISH SAHIJWANI</v>
          </cell>
          <cell r="F1571" t="str">
            <v>ASECO</v>
          </cell>
          <cell r="G1571">
            <v>-117517</v>
          </cell>
          <cell r="K1571">
            <v>-117517</v>
          </cell>
        </row>
        <row r="1572">
          <cell r="C1572">
            <v>14890171</v>
          </cell>
          <cell r="D1572" t="str">
            <v>GSEEE</v>
          </cell>
          <cell r="E1572" t="str">
            <v>SECURITY DEPOSIT BY ARJUN MEHRA</v>
          </cell>
          <cell r="F1572" t="str">
            <v>ASECO</v>
          </cell>
          <cell r="G1572">
            <v>-99363</v>
          </cell>
          <cell r="K1572">
            <v>-99363</v>
          </cell>
        </row>
        <row r="1573">
          <cell r="C1573">
            <v>14890177</v>
          </cell>
          <cell r="D1573" t="str">
            <v>GSEEE</v>
          </cell>
          <cell r="E1573" t="str">
            <v>SECURITY DEPOSIT FROM HARSHVARDHAN</v>
          </cell>
          <cell r="F1573" t="str">
            <v>ASECO</v>
          </cell>
          <cell r="G1573">
            <v>-94619</v>
          </cell>
          <cell r="K1573">
            <v>-94619</v>
          </cell>
        </row>
        <row r="1574">
          <cell r="C1574">
            <v>14890175</v>
          </cell>
          <cell r="D1574" t="str">
            <v>GSEEE</v>
          </cell>
          <cell r="E1574" t="str">
            <v>SECURITY DEPOSIT FROM KAUSHAL</v>
          </cell>
          <cell r="F1574" t="str">
            <v>ASECO</v>
          </cell>
          <cell r="G1574">
            <v>-89106</v>
          </cell>
          <cell r="K1574">
            <v>-89106</v>
          </cell>
        </row>
        <row r="1575">
          <cell r="C1575">
            <v>14890173</v>
          </cell>
          <cell r="D1575" t="str">
            <v>GSEEE</v>
          </cell>
          <cell r="E1575" t="str">
            <v>SECURITY DEPOSIT FROM BALARAMAN</v>
          </cell>
          <cell r="F1575" t="str">
            <v>ASECO</v>
          </cell>
          <cell r="G1575">
            <v>-69315</v>
          </cell>
          <cell r="K1575">
            <v>-69315</v>
          </cell>
        </row>
        <row r="1576">
          <cell r="C1576">
            <v>14890174</v>
          </cell>
          <cell r="D1576" t="str">
            <v>GSEEE</v>
          </cell>
          <cell r="E1576" t="str">
            <v>SECURITY DEPOSIT FROM GAURAV</v>
          </cell>
          <cell r="F1576" t="str">
            <v>ASECO</v>
          </cell>
          <cell r="G1576">
            <v>-68764</v>
          </cell>
          <cell r="K1576">
            <v>-68764</v>
          </cell>
        </row>
        <row r="1577">
          <cell r="C1577">
            <v>14890178</v>
          </cell>
          <cell r="D1577" t="str">
            <v>GSEEE</v>
          </cell>
          <cell r="E1577" t="str">
            <v>SECURITY DEPOSIT FROM MUKUL MAHAJAN</v>
          </cell>
          <cell r="F1577" t="str">
            <v>ASECO</v>
          </cell>
          <cell r="G1577">
            <v>-64019</v>
          </cell>
          <cell r="K1577">
            <v>-64019</v>
          </cell>
        </row>
        <row r="1578">
          <cell r="C1578">
            <v>14890182</v>
          </cell>
          <cell r="D1578" t="str">
            <v>GSEEE</v>
          </cell>
          <cell r="E1578" t="str">
            <v>SECURITY DEPOSIT YASHWINDER SINGH</v>
          </cell>
          <cell r="F1578" t="str">
            <v>ASECO</v>
          </cell>
          <cell r="G1578">
            <v>0</v>
          </cell>
          <cell r="K1578">
            <v>0</v>
          </cell>
        </row>
        <row r="1579">
          <cell r="C1579">
            <v>13114048</v>
          </cell>
          <cell r="D1579" t="str">
            <v>GSEEE</v>
          </cell>
          <cell r="E1579" t="str">
            <v>SECURITY DEPOSIT FROM KUNAL NAGPAL</v>
          </cell>
          <cell r="F1579" t="str">
            <v>ASECO</v>
          </cell>
          <cell r="G1579">
            <v>-56120</v>
          </cell>
          <cell r="K1579">
            <v>-56120</v>
          </cell>
        </row>
        <row r="1580">
          <cell r="C1580">
            <v>14890172</v>
          </cell>
          <cell r="D1580" t="str">
            <v>GSEEE</v>
          </cell>
          <cell r="E1580" t="str">
            <v>SECURITY DEPOSIT FROM BHAVIK SHAH</v>
          </cell>
          <cell r="F1580" t="str">
            <v>ASECO</v>
          </cell>
          <cell r="G1580">
            <v>-21574</v>
          </cell>
          <cell r="K1580">
            <v>-21574</v>
          </cell>
        </row>
        <row r="1581">
          <cell r="C1581">
            <v>14890169</v>
          </cell>
          <cell r="D1581" t="str">
            <v>GSEEE</v>
          </cell>
          <cell r="E1581" t="str">
            <v>SECURITY DEPOSIT FROM JOSEPH ABRAHAM MANINAGAR</v>
          </cell>
          <cell r="F1581" t="str">
            <v>ASECO</v>
          </cell>
          <cell r="G1581">
            <v>-20025</v>
          </cell>
          <cell r="K1581">
            <v>-20025</v>
          </cell>
        </row>
        <row r="1582">
          <cell r="C1582">
            <v>14890180</v>
          </cell>
          <cell r="D1582" t="str">
            <v>GSEEE</v>
          </cell>
          <cell r="E1582" t="str">
            <v>SECURITY DEPOSIT FROM SHARAD</v>
          </cell>
          <cell r="F1582" t="str">
            <v>ASECO</v>
          </cell>
          <cell r="G1582">
            <v>-4432</v>
          </cell>
          <cell r="K1582">
            <v>-4432</v>
          </cell>
        </row>
        <row r="1586">
          <cell r="E1586" t="str">
            <v>CURRENT LIABILITIES - OTHER LIAB. - DIVIDEND PAYABLE</v>
          </cell>
        </row>
        <row r="1587">
          <cell r="C1587">
            <v>13114004</v>
          </cell>
          <cell r="D1587" t="str">
            <v>GL01DIV</v>
          </cell>
          <cell r="E1587" t="str">
            <v>Dividend Clients Payable</v>
          </cell>
          <cell r="F1587" t="str">
            <v>LDIV</v>
          </cell>
          <cell r="G1587">
            <v>21153.67</v>
          </cell>
          <cell r="K1587">
            <v>21153.67</v>
          </cell>
        </row>
        <row r="1589">
          <cell r="E1589" t="str">
            <v>CURRENT LIABILITIES - OTHER LIAB.- TDS PAYABLE</v>
          </cell>
        </row>
        <row r="1590">
          <cell r="C1590">
            <v>13113940</v>
          </cell>
          <cell r="D1590" t="str">
            <v>GA080A</v>
          </cell>
          <cell r="E1590" t="str">
            <v>Withholding Tax (TDS) SALARY payable</v>
          </cell>
          <cell r="F1590" t="str">
            <v>LOLIAB</v>
          </cell>
          <cell r="G1590">
            <v>-906043.36</v>
          </cell>
          <cell r="K1590">
            <v>-906043.36</v>
          </cell>
        </row>
        <row r="1591">
          <cell r="C1591">
            <v>13113941</v>
          </cell>
          <cell r="D1591" t="str">
            <v>GA080BC</v>
          </cell>
          <cell r="E1591" t="str">
            <v>Withholding Tax (Tds) Rent Payable</v>
          </cell>
          <cell r="F1591" t="str">
            <v>LOLIAB</v>
          </cell>
          <cell r="G1591">
            <v>-817172</v>
          </cell>
          <cell r="K1591">
            <v>-817172</v>
          </cell>
        </row>
        <row r="1592">
          <cell r="C1592">
            <v>13113942</v>
          </cell>
          <cell r="D1592" t="str">
            <v>GA080DC</v>
          </cell>
          <cell r="E1592" t="str">
            <v>Withholding Tax (Tds) Contractor Payable</v>
          </cell>
          <cell r="F1592" t="str">
            <v>LOLIAB</v>
          </cell>
          <cell r="G1592">
            <v>-37427</v>
          </cell>
          <cell r="K1592">
            <v>-37427</v>
          </cell>
        </row>
        <row r="1593">
          <cell r="C1593">
            <v>13113943</v>
          </cell>
          <cell r="D1593" t="str">
            <v>GA080CC</v>
          </cell>
          <cell r="E1593" t="str">
            <v>Withholding Tax (Tds) Professional  Payable</v>
          </cell>
          <cell r="F1593" t="str">
            <v>LOLIAB</v>
          </cell>
          <cell r="G1593">
            <v>-878517</v>
          </cell>
          <cell r="K1593">
            <v>-878517</v>
          </cell>
        </row>
        <row r="1594">
          <cell r="C1594">
            <v>13113944</v>
          </cell>
          <cell r="D1594" t="str">
            <v>GA080EC</v>
          </cell>
          <cell r="E1594" t="str">
            <v>Withholding Tax (Tds) Commission  Payable</v>
          </cell>
          <cell r="F1594" t="str">
            <v>LOLIAB</v>
          </cell>
          <cell r="G1594">
            <v>0</v>
          </cell>
          <cell r="K1594">
            <v>0</v>
          </cell>
        </row>
        <row r="1595">
          <cell r="C1595">
            <v>13113945</v>
          </cell>
          <cell r="D1595" t="str">
            <v>GA080F</v>
          </cell>
          <cell r="E1595" t="str">
            <v>Withholding Tax (Tds) Interest  Payable</v>
          </cell>
          <cell r="F1595" t="str">
            <v>LOLIAB</v>
          </cell>
          <cell r="G1595">
            <v>0</v>
          </cell>
          <cell r="K1595">
            <v>0</v>
          </cell>
        </row>
        <row r="1596">
          <cell r="C1596">
            <v>13113946</v>
          </cell>
          <cell r="D1596" t="str">
            <v>GA080GNC</v>
          </cell>
          <cell r="E1596" t="str">
            <v>Withholding Tax (Tds) (Non Resident) Payable</v>
          </cell>
          <cell r="F1596" t="str">
            <v>LOLIAB</v>
          </cell>
          <cell r="G1596">
            <v>0</v>
          </cell>
          <cell r="K1596">
            <v>0</v>
          </cell>
        </row>
        <row r="1597">
          <cell r="C1597">
            <v>14890631</v>
          </cell>
          <cell r="E1597" t="str">
            <v>TDS Prof 08-09 pay against prov</v>
          </cell>
          <cell r="F1597" t="str">
            <v>LOLIAB</v>
          </cell>
          <cell r="G1597">
            <v>0</v>
          </cell>
          <cell r="K1597">
            <v>0</v>
          </cell>
        </row>
        <row r="1598">
          <cell r="C1598">
            <v>14890632</v>
          </cell>
          <cell r="E1598" t="str">
            <v>TDS Rent 08-09 pay against prov</v>
          </cell>
          <cell r="F1598" t="str">
            <v>LOLIAB</v>
          </cell>
          <cell r="G1598">
            <v>0</v>
          </cell>
          <cell r="K1598">
            <v>0</v>
          </cell>
        </row>
        <row r="1599">
          <cell r="C1599">
            <v>14890633</v>
          </cell>
          <cell r="E1599" t="str">
            <v>TDS Cont 08-09 pay against prov</v>
          </cell>
          <cell r="F1599" t="str">
            <v>LOLIAB</v>
          </cell>
          <cell r="G1599">
            <v>0</v>
          </cell>
          <cell r="K1599">
            <v>0</v>
          </cell>
        </row>
        <row r="1600">
          <cell r="C1600">
            <v>14890634</v>
          </cell>
          <cell r="E1600" t="str">
            <v>TDS Comm. 08-09 pay against prov</v>
          </cell>
          <cell r="F1600" t="str">
            <v>LOLIAB</v>
          </cell>
          <cell r="G1600">
            <v>0</v>
          </cell>
          <cell r="K1600">
            <v>0</v>
          </cell>
        </row>
        <row r="1603">
          <cell r="E1603" t="str">
            <v>CURRENT LIABILITIES - OTHER LIAB.- SERVICE TAX</v>
          </cell>
        </row>
        <row r="1604">
          <cell r="C1604">
            <v>14890031</v>
          </cell>
          <cell r="D1604" t="str">
            <v>GFSTAX</v>
          </cell>
          <cell r="E1604" t="str">
            <v>Service Tax Payable Nse F&amp;O</v>
          </cell>
          <cell r="F1604" t="str">
            <v>LOLIAB</v>
          </cell>
          <cell r="G1604">
            <v>-11459023.77</v>
          </cell>
          <cell r="K1604">
            <v>-11459023.77</v>
          </cell>
        </row>
        <row r="1605">
          <cell r="C1605">
            <v>14890032</v>
          </cell>
          <cell r="D1605" t="str">
            <v>GBSTAX</v>
          </cell>
          <cell r="E1605" t="str">
            <v>Service Tax Payable Bse CM</v>
          </cell>
          <cell r="F1605" t="str">
            <v>LOLIAB</v>
          </cell>
          <cell r="G1605">
            <v>-1090537.78</v>
          </cell>
          <cell r="K1605">
            <v>-1090537.78</v>
          </cell>
        </row>
        <row r="1606">
          <cell r="C1606">
            <v>14890034</v>
          </cell>
          <cell r="D1606" t="str">
            <v>GAOCST</v>
          </cell>
          <cell r="E1606" t="str">
            <v>Service Tax Payable Account Opening</v>
          </cell>
          <cell r="F1606" t="str">
            <v>LOLIAB</v>
          </cell>
          <cell r="G1606">
            <v>-580151</v>
          </cell>
          <cell r="K1606">
            <v>-580151</v>
          </cell>
        </row>
        <row r="1607">
          <cell r="C1607">
            <v>14890038</v>
          </cell>
          <cell r="D1607" t="str">
            <v>GCSTAX</v>
          </cell>
          <cell r="E1607" t="str">
            <v>Service Tax Payable CDSL Charges</v>
          </cell>
          <cell r="F1607" t="str">
            <v>LOLIAB</v>
          </cell>
          <cell r="G1607">
            <v>-337654.31</v>
          </cell>
          <cell r="K1607">
            <v>-337654.31</v>
          </cell>
        </row>
        <row r="1608">
          <cell r="C1608">
            <v>14890037</v>
          </cell>
          <cell r="D1608" t="str">
            <v>GNSTAX</v>
          </cell>
          <cell r="E1608" t="str">
            <v>Service Tax Payable NSDL Charges</v>
          </cell>
          <cell r="F1608" t="str">
            <v>LOLIAB</v>
          </cell>
          <cell r="G1608">
            <v>-102642.03</v>
          </cell>
          <cell r="K1608">
            <v>-102642.03</v>
          </cell>
        </row>
        <row r="1609">
          <cell r="C1609">
            <v>14890036</v>
          </cell>
          <cell r="D1609" t="str">
            <v>GSTAXO</v>
          </cell>
          <cell r="E1609" t="str">
            <v>Service Tax Payable Other</v>
          </cell>
          <cell r="F1609" t="str">
            <v>LOLIAB</v>
          </cell>
          <cell r="G1609">
            <v>-101387.92</v>
          </cell>
          <cell r="K1609">
            <v>-101387.92</v>
          </cell>
        </row>
        <row r="1610">
          <cell r="C1610">
            <v>14890033</v>
          </cell>
          <cell r="D1610" t="str">
            <v>GSERTP</v>
          </cell>
          <cell r="E1610" t="str">
            <v>Service Tax Payable WDM</v>
          </cell>
          <cell r="F1610" t="str">
            <v>LOLIAB</v>
          </cell>
          <cell r="G1610">
            <v>0</v>
          </cell>
          <cell r="K1610">
            <v>0</v>
          </cell>
        </row>
        <row r="1611">
          <cell r="C1611">
            <v>14890035</v>
          </cell>
          <cell r="D1611" t="str">
            <v>GSTAXT</v>
          </cell>
          <cell r="E1611" t="str">
            <v>Service Tax Payable Transaction Charges</v>
          </cell>
          <cell r="F1611" t="str">
            <v>LOLIAB</v>
          </cell>
          <cell r="G1611">
            <v>0</v>
          </cell>
          <cell r="K1611">
            <v>0</v>
          </cell>
        </row>
        <row r="1612">
          <cell r="C1612">
            <v>14890030</v>
          </cell>
          <cell r="D1612" t="str">
            <v>GL01001</v>
          </cell>
          <cell r="E1612" t="str">
            <v>Service Tax Payable Nse CM</v>
          </cell>
          <cell r="F1612" t="str">
            <v>LOLIAB</v>
          </cell>
          <cell r="G1612">
            <v>-53709.68</v>
          </cell>
          <cell r="K1612">
            <v>-53709.68</v>
          </cell>
        </row>
        <row r="1613">
          <cell r="C1613">
            <v>13114097</v>
          </cell>
          <cell r="E1613" t="str">
            <v>CDS SERVICE TAX</v>
          </cell>
          <cell r="F1613" t="str">
            <v>LOLIAB</v>
          </cell>
          <cell r="G1613">
            <v>-265435.8</v>
          </cell>
          <cell r="K1613">
            <v>-265435.8</v>
          </cell>
        </row>
        <row r="1614">
          <cell r="C1614">
            <v>13114100</v>
          </cell>
          <cell r="D1614" t="str">
            <v>GSSTAX</v>
          </cell>
          <cell r="E1614" t="str">
            <v>SERVICE TAX - SLBS</v>
          </cell>
          <cell r="F1614" t="str">
            <v>LOLIAB</v>
          </cell>
          <cell r="G1614">
            <v>-0.12</v>
          </cell>
          <cell r="K1614">
            <v>-0.12</v>
          </cell>
        </row>
        <row r="1615">
          <cell r="C1615">
            <v>14890371</v>
          </cell>
          <cell r="D1615" t="str">
            <v>GSTAX</v>
          </cell>
          <cell r="E1615" t="str">
            <v>SERVICE TAX  PAYABLE -GSTAX</v>
          </cell>
          <cell r="F1615" t="str">
            <v>LOLIAB</v>
          </cell>
          <cell r="G1615">
            <v>-10423509.93</v>
          </cell>
          <cell r="K1615">
            <v>-10423509.93</v>
          </cell>
        </row>
        <row r="1616">
          <cell r="C1616">
            <v>14890372</v>
          </cell>
          <cell r="D1616" t="str">
            <v>GSTAXD</v>
          </cell>
          <cell r="E1616" t="str">
            <v>SERVICE TAX UNDER DISPUTE</v>
          </cell>
          <cell r="F1616" t="str">
            <v>LOLIAB</v>
          </cell>
          <cell r="G1616">
            <v>0</v>
          </cell>
          <cell r="K1616">
            <v>0</v>
          </cell>
        </row>
        <row r="1617">
          <cell r="C1617">
            <v>14890544</v>
          </cell>
          <cell r="D1617" t="str">
            <v>GATAX</v>
          </cell>
          <cell r="E1617" t="str">
            <v>Service tax Payable -Advisory</v>
          </cell>
          <cell r="F1617" t="str">
            <v>LOLIAB</v>
          </cell>
          <cell r="G1617">
            <v>0.03</v>
          </cell>
          <cell r="K1617">
            <v>0.03</v>
          </cell>
        </row>
        <row r="1618">
          <cell r="C1618">
            <v>24710075</v>
          </cell>
          <cell r="D1618" t="str">
            <v>GSTRC</v>
          </cell>
          <cell r="E1618" t="str">
            <v>Service Tax Refind Claim 12.24 %</v>
          </cell>
          <cell r="F1618" t="str">
            <v>LOLIAB</v>
          </cell>
          <cell r="G1618">
            <v>0</v>
          </cell>
          <cell r="K1618">
            <v>0</v>
          </cell>
        </row>
        <row r="1619">
          <cell r="C1619">
            <v>14890592</v>
          </cell>
          <cell r="D1619" t="str">
            <v>GSTAXS</v>
          </cell>
          <cell r="E1619" t="str">
            <v>SERVICE TAX ON SCHEME CHARGES</v>
          </cell>
          <cell r="F1619" t="str">
            <v>LOLIAB</v>
          </cell>
          <cell r="G1619">
            <v>-987807.23</v>
          </cell>
          <cell r="K1619">
            <v>-987807.23</v>
          </cell>
        </row>
        <row r="1620">
          <cell r="C1620">
            <v>14890052</v>
          </cell>
          <cell r="E1620" t="str">
            <v>Service Charges Payable</v>
          </cell>
          <cell r="F1620" t="str">
            <v>LOLIAB</v>
          </cell>
          <cell r="G1620">
            <v>0</v>
          </cell>
          <cell r="K1620">
            <v>0</v>
          </cell>
        </row>
        <row r="1621">
          <cell r="C1621">
            <v>13114105</v>
          </cell>
          <cell r="E1621" t="str">
            <v>Service Tax Payable - FD Brokerage</v>
          </cell>
          <cell r="F1621" t="str">
            <v>LOLIAB</v>
          </cell>
          <cell r="G1621">
            <v>-1992</v>
          </cell>
          <cell r="K1621">
            <v>-1992</v>
          </cell>
        </row>
        <row r="1624">
          <cell r="E1624" t="str">
            <v>CURRENT LIABILITIES - OTHER LIAB.- EXPENSES PAYABLE</v>
          </cell>
        </row>
        <row r="1625">
          <cell r="C1625">
            <v>13110100</v>
          </cell>
          <cell r="E1625" t="str">
            <v>GR/IR-clearing - ext procurement - Dom</v>
          </cell>
          <cell r="F1625" t="str">
            <v>LOLIAB</v>
          </cell>
          <cell r="G1625">
            <v>-1999270.03</v>
          </cell>
          <cell r="K1625">
            <v>-1999270.03</v>
          </cell>
        </row>
        <row r="1626">
          <cell r="C1626">
            <v>13113000</v>
          </cell>
          <cell r="E1626" t="str">
            <v>Salary, wages payable</v>
          </cell>
          <cell r="F1626" t="str">
            <v>LOLIAB</v>
          </cell>
          <cell r="G1626">
            <v>-8646171.2300000004</v>
          </cell>
          <cell r="K1626">
            <v>-8646171.2300000004</v>
          </cell>
        </row>
        <row r="1627">
          <cell r="C1627">
            <v>13113001</v>
          </cell>
          <cell r="D1627" t="str">
            <v>GA0010</v>
          </cell>
          <cell r="E1627" t="str">
            <v>Salary Payable</v>
          </cell>
          <cell r="F1627" t="str">
            <v>LOLIAB</v>
          </cell>
          <cell r="G1627">
            <v>-1516367.35</v>
          </cell>
          <cell r="K1627">
            <v>-1516367.35</v>
          </cell>
        </row>
        <row r="1628">
          <cell r="C1628">
            <v>13113004</v>
          </cell>
          <cell r="D1628" t="str">
            <v>GEXPENSE</v>
          </cell>
          <cell r="E1628" t="str">
            <v>Incentive Payable</v>
          </cell>
          <cell r="F1628" t="str">
            <v>LOLIAB</v>
          </cell>
          <cell r="G1628">
            <v>-231877.08</v>
          </cell>
          <cell r="K1628">
            <v>-231877.08</v>
          </cell>
        </row>
        <row r="1629">
          <cell r="C1629">
            <v>13113012</v>
          </cell>
          <cell r="E1629" t="str">
            <v>Labour Welfare Fund Payable</v>
          </cell>
          <cell r="F1629" t="str">
            <v>LOLIAB</v>
          </cell>
          <cell r="G1629">
            <v>-10605</v>
          </cell>
          <cell r="K1629">
            <v>-10605</v>
          </cell>
        </row>
        <row r="1630">
          <cell r="C1630">
            <v>13113350</v>
          </cell>
          <cell r="E1630" t="str">
            <v>Other salary deductions - Non Statutory</v>
          </cell>
          <cell r="F1630" t="str">
            <v>LOLIAB</v>
          </cell>
          <cell r="G1630">
            <v>-502600.77</v>
          </cell>
          <cell r="K1630">
            <v>-502600.77</v>
          </cell>
        </row>
        <row r="1631">
          <cell r="C1631">
            <v>13113505</v>
          </cell>
          <cell r="E1631" t="str">
            <v>Notice Pay Deduction</v>
          </cell>
          <cell r="F1631" t="str">
            <v>LOLIAB</v>
          </cell>
          <cell r="G1631">
            <v>-261552</v>
          </cell>
          <cell r="K1631">
            <v>-261552</v>
          </cell>
        </row>
        <row r="1633">
          <cell r="C1633">
            <v>14890600</v>
          </cell>
          <cell r="E1633" t="str">
            <v>BUSINESS PROMOTION EXPENSES (2008-09) PAYABLE</v>
          </cell>
          <cell r="F1633" t="str">
            <v>LOLIAB</v>
          </cell>
          <cell r="G1633">
            <v>0</v>
          </cell>
          <cell r="K1633">
            <v>0</v>
          </cell>
        </row>
        <row r="1634">
          <cell r="C1634">
            <v>14890624</v>
          </cell>
          <cell r="E1634" t="str">
            <v>TELEPHONE EXPENSE (2008-09) PAYABLE</v>
          </cell>
          <cell r="F1634" t="str">
            <v>LOLIAB</v>
          </cell>
          <cell r="G1634">
            <v>0</v>
          </cell>
          <cell r="K1634">
            <v>0</v>
          </cell>
        </row>
        <row r="1635">
          <cell r="C1635">
            <v>14890610</v>
          </cell>
          <cell r="E1635" t="str">
            <v>LEASELINE CHARGES (2008-09) PAYABLE</v>
          </cell>
          <cell r="F1635" t="str">
            <v>LOLIAB</v>
          </cell>
          <cell r="G1635">
            <v>0</v>
          </cell>
          <cell r="K1635">
            <v>0</v>
          </cell>
        </row>
        <row r="1636">
          <cell r="C1636">
            <v>14890627</v>
          </cell>
          <cell r="E1636" t="str">
            <v>V SAT CHARGES (2008-09) PAYABLE</v>
          </cell>
          <cell r="F1636" t="str">
            <v>LOLIAB</v>
          </cell>
          <cell r="G1636">
            <v>0</v>
          </cell>
          <cell r="K1636">
            <v>0</v>
          </cell>
        </row>
        <row r="1637">
          <cell r="C1637">
            <v>14890615</v>
          </cell>
          <cell r="E1637" t="str">
            <v>POSTAGE &amp; COURIER CHARGES (2008-09) PAYABLE</v>
          </cell>
          <cell r="F1637" t="str">
            <v>LOLIAB</v>
          </cell>
          <cell r="G1637">
            <v>-49999.77</v>
          </cell>
          <cell r="K1637">
            <v>-49999.77</v>
          </cell>
        </row>
        <row r="1638">
          <cell r="C1638">
            <v>14890618</v>
          </cell>
          <cell r="E1638" t="str">
            <v>RENT EXPENSE (2008-09) PAYABLE</v>
          </cell>
          <cell r="F1638" t="str">
            <v>LOLIAB</v>
          </cell>
          <cell r="G1638">
            <v>0</v>
          </cell>
          <cell r="K1638">
            <v>0</v>
          </cell>
        </row>
        <row r="1639">
          <cell r="C1639">
            <v>14890606</v>
          </cell>
          <cell r="E1639" t="str">
            <v>ELECTRICITY EXPENSE (2008-09) PAYABLE</v>
          </cell>
          <cell r="F1639" t="str">
            <v>LOLIAB</v>
          </cell>
          <cell r="G1639">
            <v>0</v>
          </cell>
          <cell r="K1639">
            <v>0</v>
          </cell>
        </row>
        <row r="1640">
          <cell r="C1640">
            <v>14890617</v>
          </cell>
          <cell r="E1640" t="str">
            <v>RECRUITMENT &amp; TRAINING EXPENSES (2008-09) PAYABLE</v>
          </cell>
          <cell r="F1640" t="str">
            <v>LOLIAB</v>
          </cell>
          <cell r="G1640">
            <v>-555127.65</v>
          </cell>
          <cell r="K1640">
            <v>-555127.65</v>
          </cell>
        </row>
        <row r="1641">
          <cell r="C1641">
            <v>14890628</v>
          </cell>
          <cell r="E1641" t="str">
            <v>WEB HOSTING CHARGES (2008-09) PAYABLE</v>
          </cell>
          <cell r="F1641" t="str">
            <v>LOLIAB</v>
          </cell>
          <cell r="G1641">
            <v>-573824.34</v>
          </cell>
          <cell r="K1641">
            <v>-573824.34</v>
          </cell>
        </row>
        <row r="1642">
          <cell r="C1642">
            <v>14890622</v>
          </cell>
          <cell r="E1642" t="str">
            <v>SOFTWARE CHARGES (2008-09) PAYABLE</v>
          </cell>
          <cell r="F1642" t="str">
            <v>LOLIAB</v>
          </cell>
          <cell r="G1642">
            <v>0</v>
          </cell>
          <cell r="K1642">
            <v>0</v>
          </cell>
        </row>
        <row r="1643">
          <cell r="C1643">
            <v>14890616</v>
          </cell>
          <cell r="E1643" t="str">
            <v>PRINTING &amp; STATIONERY (2008-09) PAYABLE</v>
          </cell>
          <cell r="F1643" t="str">
            <v>LOLIAB</v>
          </cell>
          <cell r="G1643">
            <v>0</v>
          </cell>
          <cell r="K1643">
            <v>0</v>
          </cell>
        </row>
        <row r="1644">
          <cell r="C1644">
            <v>14890597</v>
          </cell>
          <cell r="E1644" t="str">
            <v>AMC CHARGES HARDWARE (2008-09) PAYABLE</v>
          </cell>
          <cell r="F1644" t="str">
            <v>LOLIAB</v>
          </cell>
          <cell r="G1644">
            <v>0</v>
          </cell>
          <cell r="K1644">
            <v>0</v>
          </cell>
        </row>
        <row r="1645">
          <cell r="C1645">
            <v>14890602</v>
          </cell>
          <cell r="E1645" t="str">
            <v>COMMISSION (2008-09) PAYABLE</v>
          </cell>
          <cell r="F1645" t="str">
            <v>LOLIAB</v>
          </cell>
          <cell r="G1645">
            <v>0</v>
          </cell>
          <cell r="K1645">
            <v>0</v>
          </cell>
        </row>
        <row r="1646">
          <cell r="C1646">
            <v>14890626</v>
          </cell>
          <cell r="E1646" t="str">
            <v>TRAVELLING EXPENSES (2008-09) PAYABLE</v>
          </cell>
          <cell r="F1646" t="str">
            <v>LOLIAB</v>
          </cell>
          <cell r="G1646">
            <v>0</v>
          </cell>
          <cell r="K1646">
            <v>0</v>
          </cell>
        </row>
        <row r="1647">
          <cell r="C1647">
            <v>14890598</v>
          </cell>
          <cell r="E1647" t="str">
            <v>AMC CHARGES SOFTWARE (2008-09) PAYABLE</v>
          </cell>
          <cell r="F1647" t="str">
            <v>LOLIAB</v>
          </cell>
          <cell r="G1647">
            <v>0</v>
          </cell>
          <cell r="K1647">
            <v>0</v>
          </cell>
        </row>
        <row r="1648">
          <cell r="C1648">
            <v>14890623</v>
          </cell>
          <cell r="E1648" t="str">
            <v>STAFF WELFARE EXPENSES (2008-09) PAYABLE</v>
          </cell>
          <cell r="F1648" t="str">
            <v>LOLIAB</v>
          </cell>
          <cell r="G1648">
            <v>0</v>
          </cell>
          <cell r="K1648">
            <v>0</v>
          </cell>
        </row>
        <row r="1649">
          <cell r="C1649">
            <v>14890603</v>
          </cell>
          <cell r="E1649" t="str">
            <v>CONTENT EXPENSES (2008-09) PAYABLE</v>
          </cell>
          <cell r="F1649" t="str">
            <v>LOLIAB</v>
          </cell>
          <cell r="G1649">
            <v>0</v>
          </cell>
          <cell r="K1649">
            <v>0</v>
          </cell>
        </row>
        <row r="1650">
          <cell r="C1650">
            <v>14890619</v>
          </cell>
          <cell r="E1650" t="str">
            <v>REPAIR &amp; MAINTENANCE EXPENSES (2008-09) PAYABLE</v>
          </cell>
          <cell r="F1650" t="str">
            <v>LOLIAB</v>
          </cell>
          <cell r="G1650">
            <v>-950</v>
          </cell>
          <cell r="K1650">
            <v>-950</v>
          </cell>
        </row>
        <row r="1651">
          <cell r="C1651">
            <v>14890611</v>
          </cell>
          <cell r="E1651" t="str">
            <v>LEGAL &amp; PROFESSIONAL EXPENSES (2008-09) PAYABLE</v>
          </cell>
          <cell r="F1651" t="str">
            <v>LOLIAB</v>
          </cell>
          <cell r="G1651">
            <v>0</v>
          </cell>
          <cell r="K1651">
            <v>0</v>
          </cell>
        </row>
        <row r="1652">
          <cell r="C1652">
            <v>13114102</v>
          </cell>
          <cell r="E1652" t="str">
            <v>Salary Payable 2008-09</v>
          </cell>
          <cell r="F1652" t="str">
            <v>LOLIAB</v>
          </cell>
          <cell r="G1652">
            <v>0</v>
          </cell>
          <cell r="K1652">
            <v>0</v>
          </cell>
        </row>
        <row r="1653">
          <cell r="C1653">
            <v>14890605</v>
          </cell>
          <cell r="E1653" t="str">
            <v>DMAT CHARGES (2008-09) PAYABLE</v>
          </cell>
          <cell r="F1653" t="str">
            <v>LOLIAB</v>
          </cell>
          <cell r="G1653">
            <v>0</v>
          </cell>
          <cell r="K1653">
            <v>0</v>
          </cell>
        </row>
        <row r="1654">
          <cell r="C1654">
            <v>14890620</v>
          </cell>
          <cell r="E1654" t="str">
            <v>SEBI CHARGES (2008-09) PAYABLE</v>
          </cell>
          <cell r="F1654" t="str">
            <v>LOLIAB</v>
          </cell>
          <cell r="G1654">
            <v>0</v>
          </cell>
          <cell r="K1654">
            <v>0</v>
          </cell>
        </row>
        <row r="1655">
          <cell r="C1655">
            <v>14890599</v>
          </cell>
          <cell r="E1655" t="str">
            <v>AUDIT FEES (2008-09) PAYABLE</v>
          </cell>
          <cell r="F1655" t="str">
            <v>LOLIAB</v>
          </cell>
          <cell r="G1655">
            <v>0</v>
          </cell>
          <cell r="K1655">
            <v>0</v>
          </cell>
        </row>
        <row r="1656">
          <cell r="C1656">
            <v>14890604</v>
          </cell>
          <cell r="E1656" t="str">
            <v>DEPOSITORY CHARGES (2008-09) PAYABLE</v>
          </cell>
          <cell r="F1656" t="str">
            <v>LOLIAB</v>
          </cell>
          <cell r="G1656">
            <v>0</v>
          </cell>
          <cell r="K1656">
            <v>0</v>
          </cell>
        </row>
        <row r="1657">
          <cell r="C1657">
            <v>14890608</v>
          </cell>
          <cell r="E1657" t="str">
            <v>INTEREST ON CAR LOANS (2008-09) PAYABLE</v>
          </cell>
          <cell r="F1657" t="str">
            <v>LOLIAB</v>
          </cell>
          <cell r="G1657">
            <v>0</v>
          </cell>
          <cell r="K1657">
            <v>0</v>
          </cell>
        </row>
        <row r="1658">
          <cell r="C1658">
            <v>14890621</v>
          </cell>
          <cell r="E1658" t="str">
            <v>SERVICE CHARGES (2008-09) PAYABLE</v>
          </cell>
          <cell r="F1658" t="str">
            <v>LOLIAB</v>
          </cell>
          <cell r="G1658">
            <v>0</v>
          </cell>
          <cell r="K1658">
            <v>0</v>
          </cell>
        </row>
        <row r="1659">
          <cell r="C1659">
            <v>14890614</v>
          </cell>
          <cell r="E1659" t="str">
            <v>OFFICE MAINTENANCE (2008-09) PAYABLE</v>
          </cell>
          <cell r="F1659" t="str">
            <v>LOLIAB</v>
          </cell>
          <cell r="G1659">
            <v>0</v>
          </cell>
          <cell r="K1659">
            <v>0</v>
          </cell>
        </row>
        <row r="1660">
          <cell r="C1660">
            <v>14890609</v>
          </cell>
          <cell r="E1660" t="str">
            <v>INTERNET BAND WIDTH (2008-09) PAYABLE</v>
          </cell>
          <cell r="F1660" t="str">
            <v>LOLIAB</v>
          </cell>
          <cell r="G1660">
            <v>0</v>
          </cell>
          <cell r="K1660">
            <v>0</v>
          </cell>
        </row>
        <row r="1666">
          <cell r="C1666">
            <v>14890145</v>
          </cell>
          <cell r="D1666" t="str">
            <v>GEXPENSE</v>
          </cell>
          <cell r="E1666" t="str">
            <v>TELEPHONE EXPENSE(FIXED) PAYABLE</v>
          </cell>
          <cell r="F1666" t="str">
            <v>LOLIAB</v>
          </cell>
          <cell r="G1666">
            <v>-1134.6500000000001</v>
          </cell>
          <cell r="K1666">
            <v>-1134.6500000000001</v>
          </cell>
        </row>
        <row r="1667">
          <cell r="C1667">
            <v>14890147</v>
          </cell>
          <cell r="D1667" t="str">
            <v>GEXPENSE</v>
          </cell>
          <cell r="E1667" t="str">
            <v>WEB HOSTING CHARGES PAYBLE</v>
          </cell>
          <cell r="F1667" t="str">
            <v>LOLIAB</v>
          </cell>
          <cell r="G1667">
            <v>0</v>
          </cell>
          <cell r="K1667">
            <v>0</v>
          </cell>
        </row>
        <row r="1668">
          <cell r="C1668">
            <v>14890139</v>
          </cell>
          <cell r="D1668" t="str">
            <v>GEXPENSE</v>
          </cell>
          <cell r="E1668" t="str">
            <v>POSTAGE &amp; COURIER CHARGES PAYABLE</v>
          </cell>
          <cell r="F1668" t="str">
            <v>LOLIAB</v>
          </cell>
          <cell r="G1668">
            <v>0</v>
          </cell>
          <cell r="K1668">
            <v>0</v>
          </cell>
        </row>
        <row r="1669">
          <cell r="C1669">
            <v>14890135</v>
          </cell>
          <cell r="E1669" t="str">
            <v>LEASELINE CHARGES PAYABLE</v>
          </cell>
          <cell r="F1669" t="str">
            <v>LOLIAB</v>
          </cell>
          <cell r="G1669">
            <v>0</v>
          </cell>
          <cell r="K1669">
            <v>0</v>
          </cell>
        </row>
        <row r="1670">
          <cell r="C1670">
            <v>14890362</v>
          </cell>
          <cell r="D1670" t="str">
            <v>GEXPENSE</v>
          </cell>
          <cell r="E1670" t="str">
            <v>Business Promotion Expenses Payable</v>
          </cell>
          <cell r="F1670" t="str">
            <v>LOLIAB</v>
          </cell>
          <cell r="G1670">
            <v>-826747</v>
          </cell>
          <cell r="K1670">
            <v>-826747</v>
          </cell>
        </row>
        <row r="1671">
          <cell r="C1671">
            <v>14890141</v>
          </cell>
          <cell r="D1671" t="str">
            <v>GEXPENSE</v>
          </cell>
          <cell r="E1671" t="str">
            <v>RECRUITMENT &amp; TRAINING EXPENSES PAYABLE</v>
          </cell>
          <cell r="F1671" t="str">
            <v>LOLIAB</v>
          </cell>
          <cell r="G1671">
            <v>-18381.98</v>
          </cell>
          <cell r="K1671">
            <v>-18381.98</v>
          </cell>
        </row>
        <row r="1672">
          <cell r="C1672">
            <v>14890363</v>
          </cell>
          <cell r="D1672" t="str">
            <v>GEXPENSE</v>
          </cell>
          <cell r="E1672" t="str">
            <v>AMC CHARGES SOFTWARE PAYABLE</v>
          </cell>
          <cell r="F1672" t="str">
            <v>LOLIAB</v>
          </cell>
          <cell r="G1672">
            <v>0</v>
          </cell>
          <cell r="K1672">
            <v>0</v>
          </cell>
        </row>
        <row r="1673">
          <cell r="C1673">
            <v>14890134</v>
          </cell>
          <cell r="D1673" t="str">
            <v>GEXPENSE</v>
          </cell>
          <cell r="E1673" t="str">
            <v>ELECTRICITY EXPENSE PAYABLE</v>
          </cell>
          <cell r="F1673" t="str">
            <v>LOLIAB</v>
          </cell>
          <cell r="G1673">
            <v>0</v>
          </cell>
          <cell r="K1673">
            <v>0</v>
          </cell>
        </row>
        <row r="1674">
          <cell r="C1674">
            <v>14890138</v>
          </cell>
          <cell r="D1674" t="str">
            <v>GEXPENSE</v>
          </cell>
          <cell r="E1674" t="str">
            <v>OFFICE  MAINTENANCE PAYABLE</v>
          </cell>
          <cell r="F1674" t="str">
            <v>LOLIAB</v>
          </cell>
          <cell r="G1674">
            <v>0</v>
          </cell>
          <cell r="K1674">
            <v>0</v>
          </cell>
        </row>
        <row r="1675">
          <cell r="C1675">
            <v>14890364</v>
          </cell>
          <cell r="D1675" t="str">
            <v>GEXPENSE</v>
          </cell>
          <cell r="E1675" t="str">
            <v>AMC CHARGES HARDWARE PAYABLE</v>
          </cell>
          <cell r="F1675" t="str">
            <v>LOLIAB</v>
          </cell>
          <cell r="G1675">
            <v>0</v>
          </cell>
          <cell r="K1675">
            <v>0</v>
          </cell>
        </row>
        <row r="1676">
          <cell r="C1676">
            <v>14890136</v>
          </cell>
          <cell r="D1676" t="str">
            <v>GEXPENSE</v>
          </cell>
          <cell r="E1676" t="str">
            <v>Legal &amp; Professional Expenses Payable</v>
          </cell>
          <cell r="F1676" t="str">
            <v>LOLIAB</v>
          </cell>
          <cell r="G1676">
            <v>0</v>
          </cell>
          <cell r="K1676">
            <v>0</v>
          </cell>
        </row>
        <row r="1677">
          <cell r="C1677">
            <v>14890140</v>
          </cell>
          <cell r="D1677" t="str">
            <v>GEXPENSE</v>
          </cell>
          <cell r="E1677" t="str">
            <v>PRINTING &amp; STATIONERY PAYABLE</v>
          </cell>
          <cell r="F1677" t="str">
            <v>LOLIAB</v>
          </cell>
          <cell r="G1677">
            <v>0</v>
          </cell>
          <cell r="K1677">
            <v>0</v>
          </cell>
        </row>
        <row r="1678">
          <cell r="C1678">
            <v>14890131</v>
          </cell>
          <cell r="D1678" t="str">
            <v>GEXPENSE</v>
          </cell>
          <cell r="E1678" t="str">
            <v>COMMISSION  PAYABLE</v>
          </cell>
          <cell r="F1678" t="str">
            <v>LOLIAB</v>
          </cell>
          <cell r="G1678">
            <v>0</v>
          </cell>
          <cell r="K1678">
            <v>0</v>
          </cell>
        </row>
        <row r="1679">
          <cell r="C1679">
            <v>14890276</v>
          </cell>
          <cell r="D1679" t="str">
            <v>GEXPENSE</v>
          </cell>
          <cell r="E1679" t="str">
            <v>Internet Band Width Payable</v>
          </cell>
          <cell r="F1679" t="str">
            <v>LOLIAB</v>
          </cell>
          <cell r="G1679">
            <v>0</v>
          </cell>
          <cell r="K1679">
            <v>0</v>
          </cell>
        </row>
        <row r="1680">
          <cell r="C1680">
            <v>14890146</v>
          </cell>
          <cell r="D1680" t="str">
            <v>GEXPENSE</v>
          </cell>
          <cell r="E1680" t="str">
            <v>TRAVELLIN EXPENSES PAYABLE</v>
          </cell>
          <cell r="F1680" t="str">
            <v>LOLIAB</v>
          </cell>
          <cell r="G1680">
            <v>0</v>
          </cell>
          <cell r="K1680">
            <v>0</v>
          </cell>
        </row>
        <row r="1681">
          <cell r="C1681">
            <v>14890187</v>
          </cell>
          <cell r="D1681" t="str">
            <v>GEXPENSE</v>
          </cell>
          <cell r="E1681" t="str">
            <v>REPAIR &amp; MAINTENANCE EXPENSES PAYABLE</v>
          </cell>
          <cell r="F1681" t="str">
            <v>LOLIAB</v>
          </cell>
          <cell r="G1681">
            <v>0</v>
          </cell>
          <cell r="K1681">
            <v>0</v>
          </cell>
        </row>
        <row r="1682">
          <cell r="C1682">
            <v>14890144</v>
          </cell>
          <cell r="D1682" t="str">
            <v>GEXPENSE</v>
          </cell>
          <cell r="E1682" t="str">
            <v>STAFF WELFARE EXPENSES PAYABLE</v>
          </cell>
          <cell r="F1682" t="str">
            <v>LOLIAB</v>
          </cell>
          <cell r="G1682">
            <v>0</v>
          </cell>
          <cell r="K1682">
            <v>0</v>
          </cell>
        </row>
        <row r="1683">
          <cell r="C1683">
            <v>14890556</v>
          </cell>
          <cell r="E1683" t="str">
            <v>Rates &amp; Tax Payable</v>
          </cell>
          <cell r="F1683" t="str">
            <v>LOLIAB</v>
          </cell>
          <cell r="G1683">
            <v>0</v>
          </cell>
          <cell r="K1683">
            <v>0</v>
          </cell>
        </row>
        <row r="1684">
          <cell r="C1684">
            <v>14890412</v>
          </cell>
          <cell r="E1684" t="str">
            <v>DMAT Charges Payable</v>
          </cell>
          <cell r="F1684" t="str">
            <v>LOLIAB</v>
          </cell>
          <cell r="G1684">
            <v>0</v>
          </cell>
          <cell r="K1684">
            <v>0</v>
          </cell>
        </row>
        <row r="1685">
          <cell r="C1685">
            <v>14890491</v>
          </cell>
          <cell r="E1685" t="str">
            <v>Interest on Car Loans Payable</v>
          </cell>
          <cell r="F1685" t="str">
            <v>LOLIAB</v>
          </cell>
          <cell r="G1685">
            <v>0</v>
          </cell>
          <cell r="K1685">
            <v>0</v>
          </cell>
        </row>
        <row r="1686">
          <cell r="C1686">
            <v>14890492</v>
          </cell>
          <cell r="E1686" t="str">
            <v>Membership Fees payable</v>
          </cell>
          <cell r="F1686" t="str">
            <v>LOLIAB</v>
          </cell>
          <cell r="G1686">
            <v>0</v>
          </cell>
          <cell r="K1686">
            <v>0</v>
          </cell>
        </row>
        <row r="1687">
          <cell r="C1687">
            <v>13113951</v>
          </cell>
          <cell r="E1687" t="str">
            <v>Interest Payable Hdfc</v>
          </cell>
          <cell r="F1687" t="str">
            <v>LOLIAB</v>
          </cell>
          <cell r="G1687">
            <v>0</v>
          </cell>
          <cell r="K1687">
            <v>0</v>
          </cell>
        </row>
        <row r="1688">
          <cell r="C1688">
            <v>14890374</v>
          </cell>
          <cell r="D1688" t="str">
            <v>GA0366</v>
          </cell>
          <cell r="E1688" t="str">
            <v>NSDL CHARGES PAYABLE</v>
          </cell>
          <cell r="F1688" t="str">
            <v>LOLIAB</v>
          </cell>
          <cell r="G1688">
            <v>0</v>
          </cell>
          <cell r="K1688">
            <v>0</v>
          </cell>
        </row>
        <row r="1689">
          <cell r="C1689">
            <v>14890053</v>
          </cell>
          <cell r="E1689" t="str">
            <v>Rent Expense Payable</v>
          </cell>
          <cell r="F1689" t="str">
            <v>LOLIAB</v>
          </cell>
          <cell r="G1689">
            <v>0</v>
          </cell>
          <cell r="K1689">
            <v>0</v>
          </cell>
        </row>
        <row r="1690">
          <cell r="C1690">
            <v>14890054</v>
          </cell>
          <cell r="E1690" t="str">
            <v>V Sat Charges Payable</v>
          </cell>
          <cell r="F1690" t="str">
            <v>LOLIAB</v>
          </cell>
          <cell r="G1690">
            <v>0</v>
          </cell>
          <cell r="K1690">
            <v>0</v>
          </cell>
        </row>
        <row r="1691">
          <cell r="C1691">
            <v>14890130</v>
          </cell>
          <cell r="D1691" t="str">
            <v>GEXPENSE</v>
          </cell>
          <cell r="E1691" t="str">
            <v>Audit Fees Payable</v>
          </cell>
          <cell r="F1691" t="str">
            <v>LOLIAB</v>
          </cell>
          <cell r="G1691">
            <v>0</v>
          </cell>
          <cell r="K1691">
            <v>0</v>
          </cell>
        </row>
        <row r="1692">
          <cell r="C1692">
            <v>14890132</v>
          </cell>
          <cell r="D1692" t="str">
            <v>GEXPENSE</v>
          </cell>
          <cell r="E1692" t="str">
            <v>CONTENT EXPENSES PAYABLE</v>
          </cell>
          <cell r="F1692" t="str">
            <v>LOLIAB</v>
          </cell>
          <cell r="G1692">
            <v>0</v>
          </cell>
          <cell r="K1692">
            <v>0</v>
          </cell>
        </row>
        <row r="1693">
          <cell r="C1693">
            <v>14890133</v>
          </cell>
          <cell r="D1693" t="str">
            <v>GEXPENSE</v>
          </cell>
          <cell r="E1693" t="str">
            <v>DEPOSITORY CHARGES PAYABLE</v>
          </cell>
          <cell r="F1693" t="str">
            <v>LOLIAB</v>
          </cell>
          <cell r="G1693">
            <v>0</v>
          </cell>
          <cell r="K1693">
            <v>0</v>
          </cell>
        </row>
        <row r="1694">
          <cell r="C1694">
            <v>14890142</v>
          </cell>
          <cell r="D1694" t="str">
            <v>GEXPENSE</v>
          </cell>
          <cell r="E1694" t="str">
            <v>RENT EXPENSE PAYABLE</v>
          </cell>
          <cell r="F1694" t="str">
            <v>LOLIAB</v>
          </cell>
          <cell r="G1694">
            <v>0</v>
          </cell>
          <cell r="K1694">
            <v>0</v>
          </cell>
        </row>
        <row r="1695">
          <cell r="C1695">
            <v>14890143</v>
          </cell>
          <cell r="D1695" t="str">
            <v>GEXPENSE</v>
          </cell>
          <cell r="E1695" t="str">
            <v>SEBI CHARGES PAYABLE</v>
          </cell>
          <cell r="F1695" t="str">
            <v>LOLIAB</v>
          </cell>
          <cell r="G1695">
            <v>0</v>
          </cell>
          <cell r="K1695">
            <v>0</v>
          </cell>
        </row>
        <row r="1696">
          <cell r="C1696">
            <v>14890277</v>
          </cell>
          <cell r="D1696" t="str">
            <v>GCDSP</v>
          </cell>
          <cell r="E1696" t="str">
            <v>CDSL CHARGES PAYABLE</v>
          </cell>
          <cell r="F1696" t="str">
            <v>LOLIAB</v>
          </cell>
          <cell r="G1696">
            <v>0</v>
          </cell>
          <cell r="K1696">
            <v>0</v>
          </cell>
        </row>
        <row r="1697">
          <cell r="C1697">
            <v>14890288</v>
          </cell>
          <cell r="E1697" t="str">
            <v>Recruitment &amp; Training Expenses Payable</v>
          </cell>
          <cell r="F1697" t="str">
            <v>LOLIAB</v>
          </cell>
          <cell r="G1697">
            <v>0</v>
          </cell>
          <cell r="K1697">
            <v>0</v>
          </cell>
        </row>
        <row r="1698">
          <cell r="C1698">
            <v>14890289</v>
          </cell>
          <cell r="D1698" t="str">
            <v>GEXPENSE</v>
          </cell>
          <cell r="E1698" t="str">
            <v>SOFTWARE CHARGES PAYABLE</v>
          </cell>
          <cell r="F1698" t="str">
            <v>LOLIAB</v>
          </cell>
          <cell r="G1698">
            <v>0</v>
          </cell>
          <cell r="K1698">
            <v>0</v>
          </cell>
        </row>
        <row r="1699">
          <cell r="C1699">
            <v>14890360</v>
          </cell>
          <cell r="D1699" t="str">
            <v>GEXPENSE</v>
          </cell>
          <cell r="E1699" t="str">
            <v>TRANSACTION CHARGES PAYABLE</v>
          </cell>
          <cell r="F1699" t="str">
            <v>LOLIAB</v>
          </cell>
          <cell r="G1699">
            <v>0</v>
          </cell>
          <cell r="K1699">
            <v>0</v>
          </cell>
        </row>
        <row r="1700">
          <cell r="C1700">
            <v>14890361</v>
          </cell>
          <cell r="D1700" t="str">
            <v>GEXPENSE</v>
          </cell>
          <cell r="E1700" t="str">
            <v>Interest Payable</v>
          </cell>
          <cell r="F1700" t="str">
            <v>LOLIAB</v>
          </cell>
          <cell r="G1700">
            <v>0</v>
          </cell>
          <cell r="K1700">
            <v>0</v>
          </cell>
        </row>
        <row r="1702">
          <cell r="C1702">
            <v>14890004</v>
          </cell>
          <cell r="E1702" t="str">
            <v>Provision For Electricity Expenses</v>
          </cell>
          <cell r="F1702" t="str">
            <v>LOLIAB</v>
          </cell>
          <cell r="G1702">
            <v>0</v>
          </cell>
          <cell r="K1702">
            <v>0</v>
          </cell>
        </row>
        <row r="1703">
          <cell r="C1703">
            <v>14890006</v>
          </cell>
          <cell r="E1703" t="str">
            <v>Provision For Office Maintenance</v>
          </cell>
          <cell r="F1703" t="str">
            <v>LOLIAB</v>
          </cell>
          <cell r="G1703">
            <v>0</v>
          </cell>
          <cell r="K1703">
            <v>0</v>
          </cell>
        </row>
        <row r="1704">
          <cell r="C1704">
            <v>14890007</v>
          </cell>
          <cell r="E1704" t="str">
            <v>Provision For Postage And Courier</v>
          </cell>
          <cell r="F1704" t="str">
            <v>LOLIAB</v>
          </cell>
          <cell r="G1704">
            <v>0</v>
          </cell>
          <cell r="K1704">
            <v>0</v>
          </cell>
        </row>
        <row r="1705">
          <cell r="C1705">
            <v>14890008</v>
          </cell>
          <cell r="E1705" t="str">
            <v>Provision For Printing</v>
          </cell>
          <cell r="F1705" t="str">
            <v>LOLIAB</v>
          </cell>
          <cell r="G1705">
            <v>0</v>
          </cell>
          <cell r="K1705">
            <v>0</v>
          </cell>
        </row>
        <row r="1706">
          <cell r="C1706">
            <v>14890011</v>
          </cell>
          <cell r="E1706" t="str">
            <v>Provision For Telephone Exp.</v>
          </cell>
          <cell r="F1706" t="str">
            <v>LOLIAB</v>
          </cell>
          <cell r="G1706">
            <v>0</v>
          </cell>
          <cell r="K1706">
            <v>0</v>
          </cell>
        </row>
        <row r="1708">
          <cell r="C1708">
            <v>14890186</v>
          </cell>
          <cell r="D1708" t="str">
            <v>GL01050</v>
          </cell>
          <cell r="E1708" t="str">
            <v>NSE PENALTY CHARGES PAYABLE</v>
          </cell>
          <cell r="F1708" t="str">
            <v>LOLIAB</v>
          </cell>
          <cell r="G1708">
            <v>-616554.6</v>
          </cell>
          <cell r="K1708">
            <v>-616554.6</v>
          </cell>
        </row>
        <row r="1709">
          <cell r="C1709">
            <v>14890183</v>
          </cell>
          <cell r="D1709" t="str">
            <v>GCDP</v>
          </cell>
          <cell r="E1709" t="str">
            <v>INDIABULLS DP</v>
          </cell>
          <cell r="F1709" t="str">
            <v>LOLIAB</v>
          </cell>
          <cell r="G1709">
            <v>3663387.28</v>
          </cell>
          <cell r="K1709">
            <v>3663387.28</v>
          </cell>
        </row>
        <row r="1710">
          <cell r="C1710">
            <v>14890051</v>
          </cell>
          <cell r="D1710" t="str">
            <v>GL01025</v>
          </cell>
          <cell r="E1710" t="str">
            <v>TURNOVER TAX Payable</v>
          </cell>
          <cell r="F1710" t="str">
            <v>LOLIAB</v>
          </cell>
          <cell r="G1710">
            <v>-8738458.1699999999</v>
          </cell>
          <cell r="K1710">
            <v>-8738458.1699999999</v>
          </cell>
        </row>
        <row r="1711">
          <cell r="C1711">
            <v>14890184</v>
          </cell>
          <cell r="D1711" t="str">
            <v>GFAMAR</v>
          </cell>
          <cell r="E1711" t="str">
            <v>NSE ADDITIONAL MARGIN (F&amp;O)</v>
          </cell>
          <cell r="F1711" t="str">
            <v>LOLIAB</v>
          </cell>
          <cell r="G1711">
            <v>0</v>
          </cell>
          <cell r="K1711">
            <v>0</v>
          </cell>
        </row>
        <row r="1712">
          <cell r="C1712">
            <v>14890185</v>
          </cell>
          <cell r="D1712" t="str">
            <v>GI04002</v>
          </cell>
          <cell r="E1712" t="str">
            <v>CH CLEARED IN BANK</v>
          </cell>
          <cell r="F1712" t="str">
            <v>LOLIAB</v>
          </cell>
          <cell r="G1712">
            <v>-3336452.49</v>
          </cell>
          <cell r="K1712">
            <v>-3336452.49</v>
          </cell>
        </row>
        <row r="1713">
          <cell r="C1713">
            <v>14890367</v>
          </cell>
          <cell r="D1713" t="str">
            <v>GI04003</v>
          </cell>
          <cell r="E1713" t="str">
            <v>CHEQUE CLEARED IN BANK</v>
          </cell>
          <cell r="F1713" t="str">
            <v>LOLIAB</v>
          </cell>
          <cell r="G1713">
            <v>-59232</v>
          </cell>
          <cell r="K1713">
            <v>-59232</v>
          </cell>
        </row>
        <row r="1714">
          <cell r="C1714">
            <v>14890368</v>
          </cell>
          <cell r="D1714" t="str">
            <v>GI04006</v>
          </cell>
          <cell r="E1714" t="str">
            <v>CHQ CLEARED IN BANK (SUSPENSE-ONLINE)</v>
          </cell>
          <cell r="F1714" t="str">
            <v>LOLIAB</v>
          </cell>
          <cell r="G1714">
            <v>-372338.12</v>
          </cell>
          <cell r="K1714">
            <v>-372338.12</v>
          </cell>
        </row>
        <row r="1715">
          <cell r="C1715">
            <v>14890370</v>
          </cell>
          <cell r="D1715" t="str">
            <v>GLIPO</v>
          </cell>
          <cell r="E1715" t="str">
            <v>REFUND RECEIVED ON PUBLIC ISSUE</v>
          </cell>
          <cell r="F1715" t="str">
            <v>LOLIAB</v>
          </cell>
          <cell r="G1715">
            <v>-243220.75</v>
          </cell>
          <cell r="K1715">
            <v>-243220.75</v>
          </cell>
        </row>
        <row r="1717">
          <cell r="C1717">
            <v>13113008</v>
          </cell>
          <cell r="E1717" t="str">
            <v>Other Payable</v>
          </cell>
          <cell r="F1717" t="str">
            <v>LOLIAB</v>
          </cell>
          <cell r="G1717">
            <v>-99786643.680000007</v>
          </cell>
          <cell r="K1717">
            <v>-99786643.680000007</v>
          </cell>
        </row>
        <row r="1719">
          <cell r="C1719">
            <v>13113964</v>
          </cell>
          <cell r="D1719" t="str">
            <v>GLAPT</v>
          </cell>
          <cell r="E1719" t="str">
            <v>DEDUCTION FROM SALARIES</v>
          </cell>
          <cell r="F1719" t="str">
            <v>LOLIAB</v>
          </cell>
          <cell r="G1719">
            <v>0</v>
          </cell>
          <cell r="K1719">
            <v>0</v>
          </cell>
        </row>
        <row r="1720">
          <cell r="C1720">
            <v>13114020</v>
          </cell>
          <cell r="D1720" t="str">
            <v>GLPDD</v>
          </cell>
          <cell r="E1720" t="str">
            <v>Laptop Deduction</v>
          </cell>
          <cell r="F1720" t="str">
            <v>LOLIAB</v>
          </cell>
          <cell r="G1720">
            <v>-1451250</v>
          </cell>
          <cell r="K1720">
            <v>-1451250</v>
          </cell>
        </row>
        <row r="1721">
          <cell r="C1721">
            <v>14890387</v>
          </cell>
          <cell r="D1721" t="str">
            <v>GOTH</v>
          </cell>
          <cell r="E1721" t="str">
            <v>Other Deduction</v>
          </cell>
          <cell r="F1721" t="str">
            <v>LOLIAB</v>
          </cell>
          <cell r="G1721">
            <v>-196855</v>
          </cell>
          <cell r="K1721">
            <v>-196855</v>
          </cell>
        </row>
        <row r="1722">
          <cell r="C1722">
            <v>14890019</v>
          </cell>
          <cell r="E1722" t="str">
            <v>Other Deduction</v>
          </cell>
          <cell r="F1722" t="str">
            <v>LOLIAB</v>
          </cell>
          <cell r="G1722">
            <v>25500</v>
          </cell>
          <cell r="K1722">
            <v>25500</v>
          </cell>
        </row>
        <row r="1724">
          <cell r="C1724">
            <v>14890369</v>
          </cell>
          <cell r="D1724" t="str">
            <v>GPRFT</v>
          </cell>
          <cell r="E1724" t="str">
            <v>PROFESSIONAL TAX  PAYABLE</v>
          </cell>
          <cell r="F1724" t="str">
            <v>LOLIAB</v>
          </cell>
          <cell r="G1724">
            <v>-329917.53999999998</v>
          </cell>
          <cell r="K1724">
            <v>-329917.53999999998</v>
          </cell>
        </row>
        <row r="1725">
          <cell r="C1725">
            <v>13113961</v>
          </cell>
          <cell r="D1725" t="str">
            <v>GE0135</v>
          </cell>
          <cell r="E1725" t="str">
            <v>EPF Payable</v>
          </cell>
          <cell r="F1725" t="str">
            <v>LOLIAB</v>
          </cell>
          <cell r="G1725">
            <v>0</v>
          </cell>
          <cell r="K1725">
            <v>0</v>
          </cell>
        </row>
        <row r="1726">
          <cell r="C1726">
            <v>13114006</v>
          </cell>
          <cell r="E1726" t="str">
            <v>EDLI CHARGES PAYABLE</v>
          </cell>
          <cell r="F1726" t="str">
            <v>LOLIAB</v>
          </cell>
          <cell r="G1726">
            <v>0</v>
          </cell>
          <cell r="K1726">
            <v>0</v>
          </cell>
        </row>
        <row r="1728">
          <cell r="C1728">
            <v>14890020</v>
          </cell>
          <cell r="D1728" t="str">
            <v>GL00121</v>
          </cell>
          <cell r="E1728" t="str">
            <v>Stale Cheque Account</v>
          </cell>
          <cell r="F1728" t="str">
            <v>LOLIAB</v>
          </cell>
          <cell r="G1728">
            <v>-15591728.49</v>
          </cell>
          <cell r="K1728">
            <v>-15591728.49</v>
          </cell>
        </row>
        <row r="1729">
          <cell r="C1729">
            <v>14890023</v>
          </cell>
          <cell r="D1729" t="str">
            <v>GLS003</v>
          </cell>
          <cell r="E1729" t="str">
            <v>STAMP DUTY</v>
          </cell>
          <cell r="F1729" t="str">
            <v>LOLIAB</v>
          </cell>
          <cell r="G1729">
            <v>-1261643.6000000001</v>
          </cell>
          <cell r="K1729">
            <v>-1261643.6000000001</v>
          </cell>
        </row>
        <row r="1730">
          <cell r="C1730">
            <v>14890084</v>
          </cell>
          <cell r="E1730" t="str">
            <v>Vendors- Dividend Payable</v>
          </cell>
          <cell r="F1730" t="str">
            <v>LOLIAB</v>
          </cell>
          <cell r="G1730">
            <v>0</v>
          </cell>
          <cell r="K1730">
            <v>0</v>
          </cell>
        </row>
        <row r="1731">
          <cell r="C1731">
            <v>14890151</v>
          </cell>
          <cell r="D1731" t="str">
            <v>GLCP01</v>
          </cell>
          <cell r="E1731" t="str">
            <v>CHARBAK  GADANAYAK</v>
          </cell>
          <cell r="F1731" t="str">
            <v>LOLIAB</v>
          </cell>
          <cell r="G1731">
            <v>-1781</v>
          </cell>
          <cell r="K1731">
            <v>-1781</v>
          </cell>
        </row>
        <row r="1732">
          <cell r="C1732">
            <v>14890152</v>
          </cell>
          <cell r="D1732" t="str">
            <v>GLCP01</v>
          </cell>
          <cell r="E1732" t="str">
            <v>GITA RANI BASU</v>
          </cell>
          <cell r="F1732" t="str">
            <v>LOLIAB</v>
          </cell>
          <cell r="G1732">
            <v>-2074</v>
          </cell>
          <cell r="K1732">
            <v>-2074</v>
          </cell>
        </row>
        <row r="1733">
          <cell r="C1733">
            <v>14890153</v>
          </cell>
          <cell r="D1733" t="str">
            <v>GLCP01</v>
          </cell>
          <cell r="E1733" t="str">
            <v>INVESTWELL</v>
          </cell>
          <cell r="F1733" t="str">
            <v>LOLIAB</v>
          </cell>
          <cell r="G1733">
            <v>-13848</v>
          </cell>
          <cell r="K1733">
            <v>-13848</v>
          </cell>
        </row>
        <row r="1734">
          <cell r="C1734">
            <v>14890154</v>
          </cell>
          <cell r="D1734" t="str">
            <v>GLCP01</v>
          </cell>
          <cell r="E1734" t="str">
            <v>JYOTI ENTERPRISES</v>
          </cell>
          <cell r="F1734" t="str">
            <v>LOLIAB</v>
          </cell>
          <cell r="G1734">
            <v>-541</v>
          </cell>
          <cell r="K1734">
            <v>-541</v>
          </cell>
        </row>
        <row r="1735">
          <cell r="C1735">
            <v>14890155</v>
          </cell>
          <cell r="D1735" t="str">
            <v>GLCP01</v>
          </cell>
          <cell r="E1735" t="str">
            <v>KRISHNARAMSA NIRANJAN</v>
          </cell>
          <cell r="F1735" t="str">
            <v>LOLIAB</v>
          </cell>
          <cell r="G1735">
            <v>-1241</v>
          </cell>
          <cell r="K1735">
            <v>-1241</v>
          </cell>
        </row>
        <row r="1736">
          <cell r="C1736">
            <v>14890156</v>
          </cell>
          <cell r="D1736" t="str">
            <v>GLCP01</v>
          </cell>
          <cell r="E1736" t="str">
            <v>LAKSHMI  SRINIVASA</v>
          </cell>
          <cell r="F1736" t="str">
            <v>LOLIAB</v>
          </cell>
          <cell r="G1736">
            <v>-362</v>
          </cell>
          <cell r="K1736">
            <v>-362</v>
          </cell>
        </row>
        <row r="1737">
          <cell r="C1737">
            <v>14890157</v>
          </cell>
          <cell r="D1737" t="str">
            <v>GLCP01</v>
          </cell>
          <cell r="E1737" t="str">
            <v>LIPIKA DAS</v>
          </cell>
          <cell r="F1737" t="str">
            <v>LOLIAB</v>
          </cell>
          <cell r="G1737">
            <v>-195183</v>
          </cell>
          <cell r="K1737">
            <v>-195183</v>
          </cell>
        </row>
        <row r="1738">
          <cell r="C1738">
            <v>14890158</v>
          </cell>
          <cell r="D1738" t="str">
            <v>GLCP01</v>
          </cell>
          <cell r="E1738" t="str">
            <v>MAHESH PRABHU ATTUR</v>
          </cell>
          <cell r="F1738" t="str">
            <v>LOLIAB</v>
          </cell>
          <cell r="G1738">
            <v>-853</v>
          </cell>
          <cell r="K1738">
            <v>-853</v>
          </cell>
        </row>
        <row r="1739">
          <cell r="C1739">
            <v>14890159</v>
          </cell>
          <cell r="D1739" t="str">
            <v>GLCP01</v>
          </cell>
          <cell r="E1739" t="str">
            <v>MISC. MAS AND OLS WRITTEN OFF</v>
          </cell>
          <cell r="F1739" t="str">
            <v>LOLIAB</v>
          </cell>
          <cell r="G1739">
            <v>0</v>
          </cell>
          <cell r="K1739">
            <v>0</v>
          </cell>
        </row>
        <row r="1740">
          <cell r="C1740">
            <v>14890160</v>
          </cell>
          <cell r="D1740" t="str">
            <v>GLCP01</v>
          </cell>
          <cell r="E1740" t="str">
            <v>MITUL ASHWIN ADHIYA</v>
          </cell>
          <cell r="F1740" t="str">
            <v>LOLIAB</v>
          </cell>
          <cell r="G1740">
            <v>-352</v>
          </cell>
          <cell r="K1740">
            <v>-352</v>
          </cell>
        </row>
        <row r="1741">
          <cell r="C1741">
            <v>14890161</v>
          </cell>
          <cell r="D1741" t="str">
            <v>GLCP01</v>
          </cell>
          <cell r="E1741" t="str">
            <v>MRINAL KUMAR CHAKRABORTTY</v>
          </cell>
          <cell r="F1741" t="str">
            <v>LOLIAB</v>
          </cell>
          <cell r="G1741">
            <v>-515</v>
          </cell>
          <cell r="K1741">
            <v>-515</v>
          </cell>
        </row>
        <row r="1742">
          <cell r="C1742">
            <v>14890162</v>
          </cell>
          <cell r="D1742" t="str">
            <v>GLCP01</v>
          </cell>
          <cell r="E1742" t="str">
            <v>MUKESH DIPCHAND DOSHI</v>
          </cell>
          <cell r="F1742" t="str">
            <v>LOLIAB</v>
          </cell>
          <cell r="G1742">
            <v>-6010</v>
          </cell>
          <cell r="K1742">
            <v>-6010</v>
          </cell>
        </row>
        <row r="1743">
          <cell r="C1743">
            <v>14890163</v>
          </cell>
          <cell r="D1743" t="str">
            <v>GLCP01</v>
          </cell>
          <cell r="E1743" t="str">
            <v>NARENDRA RAJA</v>
          </cell>
          <cell r="F1743" t="str">
            <v>LOLIAB</v>
          </cell>
          <cell r="G1743">
            <v>-2999</v>
          </cell>
          <cell r="K1743">
            <v>-2999</v>
          </cell>
        </row>
        <row r="1744">
          <cell r="C1744">
            <v>14890164</v>
          </cell>
          <cell r="D1744" t="str">
            <v>GLCP01</v>
          </cell>
          <cell r="E1744" t="str">
            <v>NAVIN KUMAR NIGOTIYA</v>
          </cell>
          <cell r="F1744" t="str">
            <v>LOLIAB</v>
          </cell>
          <cell r="G1744">
            <v>-306</v>
          </cell>
          <cell r="K1744">
            <v>-306</v>
          </cell>
        </row>
        <row r="1745">
          <cell r="C1745">
            <v>14890165</v>
          </cell>
          <cell r="D1745" t="str">
            <v>GLCP01</v>
          </cell>
          <cell r="E1745" t="str">
            <v>NEERAJ KUMAR KEDIA</v>
          </cell>
          <cell r="F1745" t="str">
            <v>LOLIAB</v>
          </cell>
          <cell r="G1745">
            <v>-3344</v>
          </cell>
          <cell r="K1745">
            <v>-3344</v>
          </cell>
        </row>
        <row r="1746">
          <cell r="C1746">
            <v>14890166</v>
          </cell>
          <cell r="D1746" t="str">
            <v>GLCP01</v>
          </cell>
          <cell r="E1746" t="str">
            <v>TILAK  WANKHEDKAR</v>
          </cell>
          <cell r="F1746" t="str">
            <v>LOLIAB</v>
          </cell>
          <cell r="G1746">
            <v>-6687</v>
          </cell>
          <cell r="K1746">
            <v>-6687</v>
          </cell>
        </row>
        <row r="1747">
          <cell r="C1747">
            <v>14890168</v>
          </cell>
          <cell r="D1747" t="str">
            <v>GLCP01</v>
          </cell>
          <cell r="E1747" t="str">
            <v>VENKATRAJ INVESTMENTS</v>
          </cell>
          <cell r="F1747" t="str">
            <v>LOLIAB</v>
          </cell>
          <cell r="G1747">
            <v>-0.33</v>
          </cell>
          <cell r="K1747">
            <v>-0.33</v>
          </cell>
        </row>
        <row r="1749">
          <cell r="C1749">
            <v>14890373</v>
          </cell>
          <cell r="D1749" t="str">
            <v>GADVSC</v>
          </cell>
          <cell r="E1749" t="str">
            <v>ADVANCE AGAINST SALE OF CAR</v>
          </cell>
          <cell r="F1749" t="str">
            <v>LOLIAB</v>
          </cell>
          <cell r="G1749">
            <v>-367521</v>
          </cell>
          <cell r="K1749">
            <v>-367521</v>
          </cell>
        </row>
        <row r="1751">
          <cell r="C1751">
            <v>14890532</v>
          </cell>
          <cell r="E1751" t="str">
            <v>FBT_ESOP_IBFSL</v>
          </cell>
          <cell r="F1751" t="str">
            <v>LOLIAB</v>
          </cell>
          <cell r="G1751">
            <v>-13628180.6</v>
          </cell>
          <cell r="K1751">
            <v>-13628180.6</v>
          </cell>
        </row>
        <row r="1752">
          <cell r="C1752">
            <v>14890577</v>
          </cell>
          <cell r="E1752" t="str">
            <v>CALL MONEY NETWORK 18 MEDIA &amp; INVESTMENTS LTD.</v>
          </cell>
          <cell r="F1752" t="str">
            <v>LOLIAB</v>
          </cell>
          <cell r="G1752">
            <v>0</v>
          </cell>
          <cell r="K1752">
            <v>0</v>
          </cell>
        </row>
        <row r="1753">
          <cell r="C1753">
            <v>14890685</v>
          </cell>
          <cell r="E1753" t="str">
            <v>Right Issue Tinplate Company Of India Ltd</v>
          </cell>
          <cell r="F1753" t="str">
            <v>LOLIAB</v>
          </cell>
          <cell r="G1753">
            <v>0</v>
          </cell>
          <cell r="K1753">
            <v>0</v>
          </cell>
        </row>
        <row r="1754">
          <cell r="C1754">
            <v>14890688</v>
          </cell>
          <cell r="E1754" t="str">
            <v>Right Issue Wire &amp; Wireless India Ltd</v>
          </cell>
          <cell r="F1754" t="str">
            <v>LOLIAB</v>
          </cell>
          <cell r="G1754">
            <v>0</v>
          </cell>
          <cell r="K1754">
            <v>0</v>
          </cell>
        </row>
        <row r="1755">
          <cell r="C1755">
            <v>14890689</v>
          </cell>
          <cell r="E1755" t="str">
            <v>RIGHT ISSUE ICCL LTD (IMFA)</v>
          </cell>
          <cell r="F1755" t="str">
            <v>LOLIAB</v>
          </cell>
          <cell r="G1755">
            <v>0</v>
          </cell>
          <cell r="K1755">
            <v>0</v>
          </cell>
        </row>
        <row r="1757">
          <cell r="C1757">
            <v>14890596</v>
          </cell>
          <cell r="E1757" t="str">
            <v>Control a/c(Reimbursement of Expenses)</v>
          </cell>
          <cell r="F1757" t="str">
            <v>LOLIAB</v>
          </cell>
          <cell r="G1757">
            <v>0</v>
          </cell>
          <cell r="K1757">
            <v>0</v>
          </cell>
        </row>
        <row r="1758">
          <cell r="C1758">
            <v>50600000</v>
          </cell>
          <cell r="E1758" t="str">
            <v>Material Overheads(Not invent)-Freight In</v>
          </cell>
          <cell r="F1758" t="str">
            <v>LOLIAB</v>
          </cell>
          <cell r="G1758">
            <v>0</v>
          </cell>
          <cell r="K1758">
            <v>0</v>
          </cell>
        </row>
        <row r="1759">
          <cell r="C1759">
            <v>13112500</v>
          </cell>
          <cell r="E1759" t="str">
            <v>GR/IR-clearing - Octroi</v>
          </cell>
          <cell r="F1759" t="str">
            <v>LOLIAB</v>
          </cell>
          <cell r="G1759">
            <v>-19775</v>
          </cell>
          <cell r="K1759">
            <v>-19775</v>
          </cell>
        </row>
        <row r="1761">
          <cell r="E1761" t="str">
            <v>CURRENT LIABILITIES - UNPAID DIVIDEND</v>
          </cell>
        </row>
        <row r="1762">
          <cell r="C1762">
            <v>14890378</v>
          </cell>
          <cell r="E1762" t="str">
            <v>UNPAID DIVIDEND A/C</v>
          </cell>
          <cell r="F1762" t="str">
            <v>LUDIV</v>
          </cell>
          <cell r="G1762">
            <v>-4376288</v>
          </cell>
          <cell r="K1762">
            <v>-4376288</v>
          </cell>
        </row>
        <row r="1763">
          <cell r="C1763">
            <v>14890687</v>
          </cell>
          <cell r="E1763" t="str">
            <v>ISL Unpaid Equity Dividend Account 2008-09</v>
          </cell>
          <cell r="F1763" t="str">
            <v>LUDIV</v>
          </cell>
          <cell r="G1763">
            <v>-3203172</v>
          </cell>
          <cell r="K1763">
            <v>-3203172</v>
          </cell>
        </row>
        <row r="1765">
          <cell r="E1765" t="str">
            <v>PROVISIONS - GRATUITY &amp; OTHER RETIREMENT BENEFITS</v>
          </cell>
        </row>
        <row r="1766">
          <cell r="C1766">
            <v>13113958</v>
          </cell>
          <cell r="D1766" t="str">
            <v>GGP</v>
          </cell>
          <cell r="E1766" t="str">
            <v>Gratuity Payable</v>
          </cell>
          <cell r="F1766" t="str">
            <v>PGP</v>
          </cell>
          <cell r="G1766">
            <v>-36999121.539999999</v>
          </cell>
          <cell r="K1766">
            <v>-36999121.539999999</v>
          </cell>
        </row>
        <row r="1767">
          <cell r="C1767">
            <v>14890001</v>
          </cell>
          <cell r="D1767" t="str">
            <v>GL0PS</v>
          </cell>
          <cell r="E1767" t="str">
            <v>Provision For Superannuation</v>
          </cell>
          <cell r="F1767" t="str">
            <v>PGP</v>
          </cell>
          <cell r="G1767">
            <v>0</v>
          </cell>
          <cell r="K1767">
            <v>0</v>
          </cell>
        </row>
        <row r="1769">
          <cell r="E1769" t="str">
            <v>PROVISIONS - LEAVE ENCASHMENT</v>
          </cell>
        </row>
        <row r="1770">
          <cell r="C1770">
            <v>14700000</v>
          </cell>
          <cell r="D1770" t="str">
            <v>GLP</v>
          </cell>
          <cell r="E1770" t="str">
            <v>Provision-leave encashment at retirement</v>
          </cell>
          <cell r="F1770" t="str">
            <v>PGL</v>
          </cell>
          <cell r="G1770">
            <v>-21118056</v>
          </cell>
          <cell r="K1770">
            <v>-21118056</v>
          </cell>
        </row>
        <row r="1772">
          <cell r="E1772" t="str">
            <v>PROVISIONS - PREFERENCE DIVIDEND</v>
          </cell>
        </row>
        <row r="1773">
          <cell r="C1773">
            <v>13300002</v>
          </cell>
          <cell r="E1773" t="str">
            <v>Preference Dividend Payable</v>
          </cell>
          <cell r="F1773" t="str">
            <v>PPD</v>
          </cell>
          <cell r="G1773">
            <v>0</v>
          </cell>
          <cell r="K1773">
            <v>0</v>
          </cell>
        </row>
        <row r="1775">
          <cell r="E1775" t="str">
            <v>PROVISIONS - PREFERENCE DIVIDEND TAX</v>
          </cell>
        </row>
        <row r="1776">
          <cell r="C1776">
            <v>14880002</v>
          </cell>
          <cell r="D1776" t="str">
            <v>GLCDP</v>
          </cell>
          <cell r="E1776" t="str">
            <v>Corporate Dividend Tax Payable</v>
          </cell>
          <cell r="F1776" t="str">
            <v>CDT</v>
          </cell>
          <cell r="G1776">
            <v>0</v>
          </cell>
          <cell r="K1776">
            <v>0</v>
          </cell>
        </row>
        <row r="1777">
          <cell r="C1777">
            <v>14890085</v>
          </cell>
          <cell r="E1777" t="str">
            <v>DIVIDEND PAYABLE(INDIABULLS)</v>
          </cell>
          <cell r="F1777" t="str">
            <v>PDIV</v>
          </cell>
          <cell r="G1777">
            <v>0</v>
          </cell>
          <cell r="K1777">
            <v>0</v>
          </cell>
        </row>
        <row r="1779">
          <cell r="E1779" t="str">
            <v>REVENUE - BROKERAGE INCOME</v>
          </cell>
        </row>
        <row r="1780">
          <cell r="C1780">
            <v>44020018</v>
          </cell>
          <cell r="D1780" t="str">
            <v>GBROK</v>
          </cell>
          <cell r="E1780" t="str">
            <v>Brokerage Income</v>
          </cell>
          <cell r="F1780" t="str">
            <v>IGB</v>
          </cell>
          <cell r="G1780">
            <v>-834780699.22000003</v>
          </cell>
          <cell r="K1780">
            <v>-834780699.22000003</v>
          </cell>
        </row>
        <row r="1781">
          <cell r="C1781">
            <v>44020020</v>
          </cell>
          <cell r="D1781" t="str">
            <v>GFBROK</v>
          </cell>
          <cell r="E1781" t="str">
            <v>Brokerage Income F&amp;O</v>
          </cell>
          <cell r="F1781" t="str">
            <v>IGB</v>
          </cell>
          <cell r="G1781">
            <v>-791253284.46000004</v>
          </cell>
          <cell r="K1781">
            <v>-791253284.46000004</v>
          </cell>
        </row>
        <row r="1782">
          <cell r="C1782">
            <v>44020019</v>
          </cell>
          <cell r="D1782" t="str">
            <v>GBBROK</v>
          </cell>
          <cell r="E1782" t="str">
            <v>Brokerage Income Bse</v>
          </cell>
          <cell r="F1782" t="str">
            <v>IGB</v>
          </cell>
          <cell r="G1782">
            <v>-48769061.630000003</v>
          </cell>
          <cell r="K1782">
            <v>-48769061.630000003</v>
          </cell>
        </row>
        <row r="1783">
          <cell r="C1783">
            <v>44020125</v>
          </cell>
          <cell r="D1783" t="str">
            <v>GBROKS</v>
          </cell>
          <cell r="E1783" t="str">
            <v>BROKERAGE &amp; SERVICE CHARGES-SCHEME</v>
          </cell>
          <cell r="F1783" t="str">
            <v>IGB</v>
          </cell>
          <cell r="G1783">
            <v>-41665262.670000002</v>
          </cell>
          <cell r="K1783">
            <v>-41665262.670000002</v>
          </cell>
        </row>
        <row r="1784">
          <cell r="C1784">
            <v>43500002</v>
          </cell>
          <cell r="D1784" t="str">
            <v>GCBROK</v>
          </cell>
          <cell r="E1784" t="str">
            <v>Brokerage Curreny Derivate</v>
          </cell>
          <cell r="F1784" t="str">
            <v>IGB</v>
          </cell>
          <cell r="G1784">
            <v>-8790549.9000000004</v>
          </cell>
          <cell r="K1784">
            <v>-8790549.9000000004</v>
          </cell>
        </row>
        <row r="1785">
          <cell r="C1785">
            <v>44020021</v>
          </cell>
          <cell r="D1785" t="str">
            <v>GIWDM</v>
          </cell>
          <cell r="E1785" t="str">
            <v>Brokerage Wdm</v>
          </cell>
          <cell r="F1785" t="str">
            <v>IGB</v>
          </cell>
          <cell r="G1785">
            <v>-257000</v>
          </cell>
          <cell r="K1785">
            <v>-257000</v>
          </cell>
        </row>
        <row r="1786">
          <cell r="C1786">
            <v>44020124</v>
          </cell>
          <cell r="D1786" t="str">
            <v>GSBROK</v>
          </cell>
          <cell r="E1786" t="str">
            <v>BROKERAGE INCOME - SLBS</v>
          </cell>
          <cell r="F1786" t="str">
            <v>IGB</v>
          </cell>
          <cell r="G1786">
            <v>0</v>
          </cell>
          <cell r="K1786">
            <v>0</v>
          </cell>
        </row>
        <row r="1788">
          <cell r="E1788" t="str">
            <v>REVENUE - INTEREST ON MARGIN FUNDING</v>
          </cell>
        </row>
        <row r="1789">
          <cell r="C1789">
            <v>44020002</v>
          </cell>
          <cell r="D1789" t="str">
            <v>GINT1</v>
          </cell>
          <cell r="E1789" t="str">
            <v>Interest</v>
          </cell>
          <cell r="F1789" t="str">
            <v>IGM</v>
          </cell>
          <cell r="G1789">
            <v>-152164933.18000001</v>
          </cell>
          <cell r="K1789">
            <v>-152164933.18000001</v>
          </cell>
        </row>
        <row r="1790">
          <cell r="C1790">
            <v>44020003</v>
          </cell>
          <cell r="D1790" t="str">
            <v>GINTI</v>
          </cell>
          <cell r="E1790" t="str">
            <v>Interest Income</v>
          </cell>
          <cell r="F1790" t="str">
            <v>IGM</v>
          </cell>
          <cell r="G1790">
            <v>0</v>
          </cell>
          <cell r="K1790">
            <v>0</v>
          </cell>
        </row>
        <row r="1792">
          <cell r="E1792" t="str">
            <v>REVENUE - DEPOSITORY INCOME</v>
          </cell>
        </row>
        <row r="1793">
          <cell r="C1793">
            <v>46000123</v>
          </cell>
          <cell r="D1793" t="str">
            <v>GIDP</v>
          </cell>
          <cell r="E1793" t="str">
            <v>DP INCOME A/C</v>
          </cell>
          <cell r="F1793" t="str">
            <v>IGD</v>
          </cell>
          <cell r="G1793">
            <v>-29530797.710000001</v>
          </cell>
          <cell r="K1793">
            <v>-29530797.710000001</v>
          </cell>
        </row>
        <row r="1795">
          <cell r="E1795" t="str">
            <v>TRANSACTION AND OTHER CHARGES</v>
          </cell>
        </row>
        <row r="1796">
          <cell r="C1796">
            <v>44020032</v>
          </cell>
          <cell r="D1796" t="str">
            <v>GTRANS</v>
          </cell>
          <cell r="E1796" t="str">
            <v>Transaction Charges</v>
          </cell>
          <cell r="F1796" t="str">
            <v>IGT</v>
          </cell>
          <cell r="G1796">
            <v>-73054075.219999999</v>
          </cell>
          <cell r="K1796">
            <v>-73054075.219999999</v>
          </cell>
        </row>
        <row r="1797">
          <cell r="C1797">
            <v>44020035</v>
          </cell>
          <cell r="D1797" t="str">
            <v>GFTRANS</v>
          </cell>
          <cell r="E1797" t="str">
            <v>Transaction Charges F&amp;O</v>
          </cell>
          <cell r="F1797" t="str">
            <v>IGT</v>
          </cell>
          <cell r="G1797">
            <v>-76346856.549999997</v>
          </cell>
          <cell r="K1797">
            <v>-76346856.549999997</v>
          </cell>
        </row>
        <row r="1798">
          <cell r="C1798">
            <v>46000044</v>
          </cell>
          <cell r="D1798" t="str">
            <v>GTRXNCG</v>
          </cell>
          <cell r="E1798" t="str">
            <v>TRANSACTION CHARGES GTRXNCG</v>
          </cell>
          <cell r="F1798" t="str">
            <v>IGT</v>
          </cell>
          <cell r="G1798">
            <v>-76752755.090000004</v>
          </cell>
          <cell r="K1798">
            <v>-76752755.090000004</v>
          </cell>
        </row>
        <row r="1799">
          <cell r="C1799">
            <v>46000137</v>
          </cell>
          <cell r="D1799" t="str">
            <v>GSDT</v>
          </cell>
          <cell r="E1799" t="str">
            <v>CNSDT Income a/c</v>
          </cell>
          <cell r="F1799" t="str">
            <v>IGT</v>
          </cell>
          <cell r="G1799">
            <v>-59476743.590000004</v>
          </cell>
          <cell r="K1799">
            <v>-59476743.590000004</v>
          </cell>
        </row>
        <row r="1800">
          <cell r="C1800">
            <v>44020034</v>
          </cell>
          <cell r="D1800" t="str">
            <v>GBTRANS</v>
          </cell>
          <cell r="E1800" t="str">
            <v>Transaction Charges Bse</v>
          </cell>
          <cell r="F1800" t="str">
            <v>IGT</v>
          </cell>
          <cell r="G1800">
            <v>-4198222.93</v>
          </cell>
          <cell r="K1800">
            <v>-4198222.93</v>
          </cell>
        </row>
        <row r="1801">
          <cell r="C1801">
            <v>46000136</v>
          </cell>
          <cell r="D1801" t="str">
            <v>GSDT</v>
          </cell>
          <cell r="E1801" t="str">
            <v>CBSDT Income a/c</v>
          </cell>
          <cell r="F1801" t="str">
            <v>IGT</v>
          </cell>
          <cell r="G1801">
            <v>-4522459.88</v>
          </cell>
          <cell r="K1801">
            <v>-4522459.88</v>
          </cell>
        </row>
        <row r="1802">
          <cell r="C1802">
            <v>44020028</v>
          </cell>
          <cell r="D1802" t="str">
            <v>GE01080</v>
          </cell>
          <cell r="E1802" t="str">
            <v>Insurance Charges</v>
          </cell>
          <cell r="F1802" t="str">
            <v>IGT</v>
          </cell>
          <cell r="G1802">
            <v>0</v>
          </cell>
          <cell r="K1802">
            <v>0</v>
          </cell>
        </row>
        <row r="1803">
          <cell r="C1803">
            <v>46000134</v>
          </cell>
          <cell r="D1803" t="str">
            <v>GBINSU</v>
          </cell>
          <cell r="E1803" t="str">
            <v>Insurance Charges Bse</v>
          </cell>
          <cell r="F1803" t="str">
            <v>IGT</v>
          </cell>
          <cell r="G1803">
            <v>0</v>
          </cell>
          <cell r="K1803">
            <v>0</v>
          </cell>
        </row>
        <row r="1804">
          <cell r="C1804">
            <v>90000182</v>
          </cell>
          <cell r="D1804" t="str">
            <v>GSDT</v>
          </cell>
          <cell r="E1804" t="str">
            <v>CBSDT</v>
          </cell>
          <cell r="F1804" t="str">
            <v>IGT</v>
          </cell>
          <cell r="G1804">
            <v>0</v>
          </cell>
          <cell r="K1804">
            <v>0</v>
          </cell>
        </row>
        <row r="1805">
          <cell r="C1805">
            <v>90000185</v>
          </cell>
          <cell r="D1805" t="str">
            <v>GSDT</v>
          </cell>
          <cell r="E1805" t="str">
            <v>CNSDT</v>
          </cell>
          <cell r="F1805" t="str">
            <v>IGT</v>
          </cell>
          <cell r="G1805">
            <v>0</v>
          </cell>
          <cell r="K1805">
            <v>0</v>
          </cell>
        </row>
        <row r="1806">
          <cell r="C1806">
            <v>44020036</v>
          </cell>
          <cell r="D1806" t="str">
            <v>GTRAN</v>
          </cell>
          <cell r="E1806" t="str">
            <v>Transaction Charges Refund</v>
          </cell>
          <cell r="F1806" t="str">
            <v>IGT</v>
          </cell>
          <cell r="G1806">
            <v>2964812.76</v>
          </cell>
          <cell r="K1806">
            <v>2964812.76</v>
          </cell>
        </row>
        <row r="1807">
          <cell r="C1807">
            <v>44020077</v>
          </cell>
          <cell r="D1807" t="str">
            <v>GSDTX</v>
          </cell>
          <cell r="E1807" t="str">
            <v>Transaction Charges-Service tax</v>
          </cell>
          <cell r="F1807" t="str">
            <v>IGT</v>
          </cell>
          <cell r="G1807">
            <v>4907178.1100000003</v>
          </cell>
          <cell r="K1807">
            <v>4907178.1100000003</v>
          </cell>
        </row>
        <row r="1808">
          <cell r="C1808">
            <v>46000045</v>
          </cell>
          <cell r="D1808" t="str">
            <v>GL01002</v>
          </cell>
          <cell r="E1808" t="str">
            <v>TRANSACTION CHARGES  GL01002</v>
          </cell>
          <cell r="F1808" t="str">
            <v>IGT</v>
          </cell>
          <cell r="G1808">
            <v>75647914.849999994</v>
          </cell>
          <cell r="K1808">
            <v>75647914.849999994</v>
          </cell>
        </row>
        <row r="1810">
          <cell r="E1810" t="str">
            <v>REVENUE - INTEREST ON DEPOSITS</v>
          </cell>
        </row>
        <row r="1811">
          <cell r="C1811">
            <v>44010001</v>
          </cell>
          <cell r="D1811" t="str">
            <v>GINTR</v>
          </cell>
          <cell r="E1811" t="str">
            <v>Interest On Fdr</v>
          </cell>
          <cell r="F1811" t="str">
            <v>IOI</v>
          </cell>
          <cell r="G1811">
            <v>-213574125.28999999</v>
          </cell>
          <cell r="K1811">
            <v>-213574125.28999999</v>
          </cell>
        </row>
        <row r="1813">
          <cell r="E1813" t="str">
            <v>REVENUE - ADVISORY INCOME</v>
          </cell>
        </row>
        <row r="1814">
          <cell r="C1814">
            <v>44100004</v>
          </cell>
          <cell r="D1814" t="str">
            <v>GIADV</v>
          </cell>
          <cell r="E1814" t="str">
            <v>Advisory Income</v>
          </cell>
          <cell r="F1814" t="str">
            <v>IAI</v>
          </cell>
          <cell r="G1814">
            <v>-7500000</v>
          </cell>
          <cell r="K1814">
            <v>-7500000</v>
          </cell>
        </row>
        <row r="1816">
          <cell r="E1816" t="str">
            <v>REVENUE - INCOME FROM EQUITY ANALYSIS, MUTUAL FUNDS, ACCOUNT OPENING &amp; OTHER CHARGES</v>
          </cell>
        </row>
        <row r="1817">
          <cell r="C1817">
            <v>44020014</v>
          </cell>
          <cell r="D1817" t="str">
            <v>GAOC</v>
          </cell>
          <cell r="E1817" t="str">
            <v>Income from Account Opening Charges</v>
          </cell>
          <cell r="F1817" t="str">
            <v>IOM</v>
          </cell>
          <cell r="G1817">
            <v>-30503830.25</v>
          </cell>
          <cell r="K1817">
            <v>-30503830.25</v>
          </cell>
        </row>
        <row r="1818">
          <cell r="C1818">
            <v>44020025</v>
          </cell>
          <cell r="D1818" t="str">
            <v>GMFB</v>
          </cell>
          <cell r="E1818" t="str">
            <v>Mutual Fund Brokerage</v>
          </cell>
          <cell r="F1818" t="str">
            <v>IOM</v>
          </cell>
          <cell r="G1818">
            <v>-22042451.280000001</v>
          </cell>
          <cell r="K1818">
            <v>-22042451.280000001</v>
          </cell>
        </row>
        <row r="1819">
          <cell r="C1819">
            <v>44020134</v>
          </cell>
          <cell r="E1819" t="str">
            <v>FIXED DEPOSIT BROKERAGE</v>
          </cell>
          <cell r="F1819" t="str">
            <v>IOM</v>
          </cell>
          <cell r="G1819">
            <v>-225617.27</v>
          </cell>
          <cell r="K1819">
            <v>-225617.27</v>
          </cell>
        </row>
        <row r="1820">
          <cell r="C1820">
            <v>44020135</v>
          </cell>
          <cell r="E1820" t="str">
            <v>NCD BROKERAGE</v>
          </cell>
          <cell r="F1820" t="str">
            <v>IOM</v>
          </cell>
          <cell r="G1820">
            <v>-46907</v>
          </cell>
          <cell r="K1820">
            <v>-46907</v>
          </cell>
        </row>
        <row r="1821">
          <cell r="C1821">
            <v>40300000</v>
          </cell>
          <cell r="E1821" t="str">
            <v>Sale of scrap</v>
          </cell>
          <cell r="F1821" t="str">
            <v>IOM</v>
          </cell>
          <cell r="G1821">
            <v>0</v>
          </cell>
          <cell r="K1821">
            <v>0</v>
          </cell>
        </row>
        <row r="1822">
          <cell r="C1822">
            <v>44020043</v>
          </cell>
          <cell r="D1822" t="str">
            <v>GIEA</v>
          </cell>
          <cell r="E1822" t="str">
            <v>Income-Equity Analysis</v>
          </cell>
          <cell r="F1822" t="str">
            <v>IOM</v>
          </cell>
          <cell r="G1822">
            <v>0</v>
          </cell>
          <cell r="K1822">
            <v>0</v>
          </cell>
        </row>
        <row r="1823">
          <cell r="C1823">
            <v>44020078</v>
          </cell>
          <cell r="D1823" t="str">
            <v>GIEAX</v>
          </cell>
          <cell r="E1823" t="str">
            <v>Income-Equity Analysis-Service Tax</v>
          </cell>
          <cell r="F1823" t="str">
            <v>IOM</v>
          </cell>
          <cell r="G1823">
            <v>0</v>
          </cell>
          <cell r="K1823">
            <v>0</v>
          </cell>
        </row>
        <row r="1824">
          <cell r="C1824">
            <v>44020038</v>
          </cell>
          <cell r="D1824" t="str">
            <v>GIPOC</v>
          </cell>
          <cell r="E1824" t="str">
            <v>Ipo Commission Recd</v>
          </cell>
          <cell r="F1824" t="str">
            <v>IOM</v>
          </cell>
          <cell r="G1824">
            <v>-1333223.78</v>
          </cell>
          <cell r="K1824">
            <v>-1333223.78</v>
          </cell>
        </row>
        <row r="1825">
          <cell r="C1825">
            <v>44020041</v>
          </cell>
          <cell r="D1825" t="str">
            <v>GI01010</v>
          </cell>
          <cell r="E1825" t="str">
            <v>Power Activation Charges</v>
          </cell>
          <cell r="F1825" t="str">
            <v>IOM</v>
          </cell>
          <cell r="G1825">
            <v>-7287751.75</v>
          </cell>
          <cell r="K1825">
            <v>-7287751.75</v>
          </cell>
        </row>
        <row r="1827">
          <cell r="E1827" t="str">
            <v>OTHER INCOME - PROFIT ON INVESTMENTS</v>
          </cell>
        </row>
        <row r="1828">
          <cell r="C1828">
            <v>44020050</v>
          </cell>
          <cell r="D1828" t="str">
            <v>GPRO</v>
          </cell>
          <cell r="E1828" t="str">
            <v>PROFIT &amp; LOSS ON SECURITIES/INVESTMENTS</v>
          </cell>
          <cell r="F1828" t="str">
            <v>IOPS</v>
          </cell>
          <cell r="G1828">
            <v>11721837</v>
          </cell>
          <cell r="K1828">
            <v>11721837</v>
          </cell>
        </row>
        <row r="1829">
          <cell r="C1829">
            <v>44020049</v>
          </cell>
          <cell r="E1829" t="str">
            <v>PROFIT &amp; LOSS ON F&amp;O</v>
          </cell>
          <cell r="F1829" t="str">
            <v>IOPS</v>
          </cell>
          <cell r="G1829">
            <v>-16789348.100000001</v>
          </cell>
          <cell r="K1829">
            <v>-16789348.100000001</v>
          </cell>
        </row>
        <row r="1830">
          <cell r="C1830">
            <v>44020116</v>
          </cell>
          <cell r="E1830" t="str">
            <v>Profit/(Loss) on Intra Day Purchase Sale of Shares</v>
          </cell>
          <cell r="F1830" t="str">
            <v>IOPS</v>
          </cell>
          <cell r="G1830">
            <v>1239709.46</v>
          </cell>
          <cell r="K1830">
            <v>1239709.46</v>
          </cell>
        </row>
        <row r="1831">
          <cell r="C1831">
            <v>50100315</v>
          </cell>
          <cell r="E1831" t="str">
            <v>Dimunition in value of Investment provided for</v>
          </cell>
          <cell r="F1831" t="str">
            <v>IOPS</v>
          </cell>
          <cell r="G1831">
            <v>557243</v>
          </cell>
          <cell r="K1831">
            <v>557243</v>
          </cell>
        </row>
        <row r="1832">
          <cell r="C1832">
            <v>50100344</v>
          </cell>
          <cell r="E1832" t="str">
            <v>Stamp Duty Chgs - Pro</v>
          </cell>
          <cell r="F1832" t="str">
            <v>IOPS</v>
          </cell>
          <cell r="G1832">
            <v>208743.9</v>
          </cell>
          <cell r="K1832">
            <v>208743.9</v>
          </cell>
        </row>
        <row r="1836">
          <cell r="E1836" t="str">
            <v>OTHER INCOME - DIVIDEND INCOME</v>
          </cell>
        </row>
        <row r="1837">
          <cell r="C1837">
            <v>46000219</v>
          </cell>
          <cell r="E1837" t="str">
            <v>Dividend Reliance Liquidity Fund.</v>
          </cell>
          <cell r="F1837" t="str">
            <v>IDV</v>
          </cell>
          <cell r="G1837">
            <v>-3905844.66</v>
          </cell>
          <cell r="K1837">
            <v>-3905844.66</v>
          </cell>
        </row>
        <row r="1838">
          <cell r="C1838">
            <v>46000306</v>
          </cell>
          <cell r="E1838" t="str">
            <v>DIVIDEND RELAINCE MEDIUM TERM FUND - DAILY PLAN</v>
          </cell>
          <cell r="F1838" t="str">
            <v>IDV</v>
          </cell>
          <cell r="G1838">
            <v>-1852408.41</v>
          </cell>
          <cell r="K1838">
            <v>-1852408.41</v>
          </cell>
        </row>
        <row r="1839">
          <cell r="C1839">
            <v>44020126</v>
          </cell>
          <cell r="E1839" t="str">
            <v>DIVIDEND LICMF SAVINGS PLUS FUND - DAILY PLAN</v>
          </cell>
          <cell r="F1839" t="str">
            <v>IDV</v>
          </cell>
          <cell r="G1839">
            <v>-811972.9</v>
          </cell>
          <cell r="K1839">
            <v>-811972.9</v>
          </cell>
        </row>
        <row r="1840">
          <cell r="C1840">
            <v>46000228</v>
          </cell>
          <cell r="E1840" t="str">
            <v>Dividend 32ISD ICICI PRUDENTIAL INSTITUTIONAL LIQU</v>
          </cell>
          <cell r="F1840" t="str">
            <v>IDV</v>
          </cell>
          <cell r="G1840">
            <v>-414944.26</v>
          </cell>
          <cell r="K1840">
            <v>-414944.26</v>
          </cell>
        </row>
        <row r="1841">
          <cell r="C1841">
            <v>44020006</v>
          </cell>
          <cell r="D1841" t="str">
            <v>GDIVMF</v>
          </cell>
          <cell r="E1841" t="str">
            <v>Dividend On Mutual Fund</v>
          </cell>
          <cell r="F1841" t="str">
            <v>IDV</v>
          </cell>
          <cell r="G1841">
            <v>-9988569.1300000008</v>
          </cell>
          <cell r="K1841">
            <v>-9988569.1300000008</v>
          </cell>
        </row>
        <row r="1842">
          <cell r="C1842">
            <v>44020115</v>
          </cell>
          <cell r="E1842" t="str">
            <v>DIVIDEND LICMF LIQUID FUND</v>
          </cell>
          <cell r="F1842" t="str">
            <v>IDV</v>
          </cell>
          <cell r="G1842">
            <v>-51383.13</v>
          </cell>
          <cell r="K1842">
            <v>-51383.13</v>
          </cell>
        </row>
        <row r="1843">
          <cell r="C1843">
            <v>44100014</v>
          </cell>
          <cell r="E1843" t="str">
            <v>Dividend Copal Partners Ltd</v>
          </cell>
          <cell r="F1843" t="str">
            <v>IDV</v>
          </cell>
          <cell r="G1843">
            <v>0</v>
          </cell>
          <cell r="K1843">
            <v>0</v>
          </cell>
        </row>
        <row r="1844">
          <cell r="C1844">
            <v>46000221</v>
          </cell>
          <cell r="E1844" t="str">
            <v>Dividend Birla Sun Life Liquid Plus</v>
          </cell>
          <cell r="F1844" t="str">
            <v>IDV</v>
          </cell>
          <cell r="G1844">
            <v>0</v>
          </cell>
          <cell r="K1844">
            <v>0</v>
          </cell>
        </row>
        <row r="1845">
          <cell r="C1845">
            <v>44020015</v>
          </cell>
          <cell r="D1845" t="str">
            <v>GDIVPR</v>
          </cell>
          <cell r="E1845" t="str">
            <v>Dividend Income (Pro Account)</v>
          </cell>
          <cell r="F1845" t="str">
            <v>IDV</v>
          </cell>
          <cell r="G1845">
            <v>-759576</v>
          </cell>
          <cell r="K1845">
            <v>-759576</v>
          </cell>
        </row>
        <row r="1846">
          <cell r="C1846">
            <v>44020118</v>
          </cell>
          <cell r="E1846" t="str">
            <v>DIVIDEND LICMF LIQUID PLUS</v>
          </cell>
          <cell r="F1846" t="str">
            <v>IDV</v>
          </cell>
          <cell r="G1846">
            <v>0</v>
          </cell>
          <cell r="K1846">
            <v>0</v>
          </cell>
        </row>
        <row r="1847">
          <cell r="C1847">
            <v>44020127</v>
          </cell>
          <cell r="E1847" t="str">
            <v>DIVIDEND LICMF SAVINGS PLUS FUND - WEEKLY PLAN</v>
          </cell>
          <cell r="F1847" t="str">
            <v>IDV</v>
          </cell>
          <cell r="G1847">
            <v>0</v>
          </cell>
          <cell r="K1847">
            <v>0</v>
          </cell>
        </row>
        <row r="1848">
          <cell r="C1848">
            <v>46000220</v>
          </cell>
          <cell r="E1848" t="str">
            <v>Dividend Birla Cash Plus -Instt Prem</v>
          </cell>
          <cell r="F1848" t="str">
            <v>IDV</v>
          </cell>
          <cell r="G1848">
            <v>0</v>
          </cell>
          <cell r="K1848">
            <v>0</v>
          </cell>
        </row>
        <row r="1849">
          <cell r="C1849">
            <v>46000218</v>
          </cell>
          <cell r="E1849" t="str">
            <v>Dividend Reliance Liquid Plus Fund-Treasury plan</v>
          </cell>
          <cell r="F1849" t="str">
            <v>IDV</v>
          </cell>
          <cell r="G1849">
            <v>0</v>
          </cell>
          <cell r="K1849">
            <v>0</v>
          </cell>
        </row>
        <row r="1851">
          <cell r="E1851" t="str">
            <v>REVENUE - SUNDRY CREDIT WRITTEN BACK</v>
          </cell>
        </row>
        <row r="1852">
          <cell r="C1852">
            <v>44020040</v>
          </cell>
          <cell r="D1852" t="str">
            <v>GMII</v>
          </cell>
          <cell r="E1852" t="str">
            <v>Miscellanious Income</v>
          </cell>
          <cell r="F1852" t="str">
            <v>IOWB</v>
          </cell>
          <cell r="G1852">
            <v>-205989.74</v>
          </cell>
          <cell r="K1852">
            <v>-205989.74</v>
          </cell>
        </row>
        <row r="1853">
          <cell r="C1853">
            <v>45200000</v>
          </cell>
          <cell r="E1853" t="str">
            <v>Balances written back</v>
          </cell>
          <cell r="F1853" t="str">
            <v>IOWB</v>
          </cell>
          <cell r="G1853">
            <v>-46674165.149999999</v>
          </cell>
          <cell r="K1853">
            <v>-46674165.149999999</v>
          </cell>
        </row>
        <row r="1855">
          <cell r="E1855" t="str">
            <v>OPERATING EXP. - STAMP DUTY</v>
          </cell>
        </row>
        <row r="1856">
          <cell r="C1856">
            <v>50100024</v>
          </cell>
          <cell r="D1856" t="str">
            <v>GSTAM</v>
          </cell>
          <cell r="E1856" t="str">
            <v>Stamp Duty Charges</v>
          </cell>
          <cell r="F1856" t="str">
            <v>EOSD</v>
          </cell>
          <cell r="G1856">
            <v>31337979</v>
          </cell>
          <cell r="K1856">
            <v>31337979</v>
          </cell>
        </row>
        <row r="1857">
          <cell r="C1857">
            <v>58165012</v>
          </cell>
          <cell r="E1857" t="str">
            <v>Stamp Paper/Franking Charges</v>
          </cell>
          <cell r="F1857" t="str">
            <v>EOSD</v>
          </cell>
          <cell r="G1857">
            <v>26234859</v>
          </cell>
          <cell r="K1857">
            <v>26234859</v>
          </cell>
        </row>
        <row r="1858">
          <cell r="C1858">
            <v>50100023</v>
          </cell>
          <cell r="D1858" t="str">
            <v>GSTMP</v>
          </cell>
          <cell r="E1858" t="str">
            <v>Stamp Paper Expenses</v>
          </cell>
          <cell r="F1858" t="str">
            <v>EOSD</v>
          </cell>
          <cell r="G1858">
            <v>355729.3</v>
          </cell>
          <cell r="K1858">
            <v>355729.3</v>
          </cell>
        </row>
        <row r="1860">
          <cell r="E1860" t="str">
            <v>OPERATING EXP. - DMAT CHARGES</v>
          </cell>
        </row>
        <row r="1861">
          <cell r="C1861">
            <v>58242025</v>
          </cell>
          <cell r="E1861" t="str">
            <v>DEMAT Charges</v>
          </cell>
          <cell r="F1861" t="str">
            <v>EODC</v>
          </cell>
          <cell r="G1861">
            <v>0</v>
          </cell>
          <cell r="K1861">
            <v>0</v>
          </cell>
        </row>
        <row r="1863">
          <cell r="E1863" t="str">
            <v>OPERATING EXP. - SEBI CHARGES</v>
          </cell>
        </row>
        <row r="1864">
          <cell r="C1864">
            <v>50100055</v>
          </cell>
          <cell r="E1864" t="str">
            <v>Sebi Turnover Fee</v>
          </cell>
          <cell r="F1864" t="str">
            <v>EOSC</v>
          </cell>
          <cell r="G1864">
            <v>2714129</v>
          </cell>
          <cell r="K1864">
            <v>2714129</v>
          </cell>
        </row>
        <row r="1865">
          <cell r="C1865">
            <v>56000166</v>
          </cell>
          <cell r="D1865" t="str">
            <v>GEPM</v>
          </cell>
          <cell r="E1865" t="str">
            <v>SEBI FEES FOR PORTFLIO MANAGEMENT</v>
          </cell>
          <cell r="F1865" t="str">
            <v>EOSC</v>
          </cell>
          <cell r="G1865">
            <v>221098.73</v>
          </cell>
          <cell r="K1865">
            <v>221098.73</v>
          </cell>
        </row>
        <row r="1866">
          <cell r="C1866">
            <v>50100068</v>
          </cell>
          <cell r="E1866" t="str">
            <v>SEBI Fees for Renewal of Reg. as Merchant Banker</v>
          </cell>
          <cell r="F1866" t="str">
            <v>EOSC</v>
          </cell>
          <cell r="G1866">
            <v>111310.66</v>
          </cell>
          <cell r="K1866">
            <v>111310.66</v>
          </cell>
        </row>
        <row r="1867">
          <cell r="C1867">
            <v>50100054</v>
          </cell>
          <cell r="D1867" t="str">
            <v>GSEBI</v>
          </cell>
          <cell r="E1867" t="str">
            <v>Sebi Charges</v>
          </cell>
          <cell r="F1867" t="str">
            <v>EOSC</v>
          </cell>
          <cell r="G1867">
            <v>21000</v>
          </cell>
          <cell r="K1867">
            <v>21000</v>
          </cell>
        </row>
        <row r="1868">
          <cell r="C1868">
            <v>50100053</v>
          </cell>
          <cell r="D1868" t="str">
            <v>GE01110</v>
          </cell>
          <cell r="E1868" t="str">
            <v>Sebi Registration Fees</v>
          </cell>
          <cell r="F1868" t="str">
            <v>EOSC</v>
          </cell>
          <cell r="G1868">
            <v>0</v>
          </cell>
          <cell r="K1868">
            <v>0</v>
          </cell>
        </row>
        <row r="1870">
          <cell r="E1870" t="str">
            <v>OPERATING EXP. - COMMISSION</v>
          </cell>
        </row>
        <row r="1871">
          <cell r="C1871">
            <v>50100065</v>
          </cell>
          <cell r="D1871" t="str">
            <v>GCOB</v>
          </cell>
          <cell r="E1871" t="str">
            <v>Commision</v>
          </cell>
          <cell r="F1871" t="str">
            <v>EOCB</v>
          </cell>
          <cell r="G1871">
            <v>3360854</v>
          </cell>
          <cell r="K1871">
            <v>3360854</v>
          </cell>
        </row>
        <row r="1872">
          <cell r="C1872">
            <v>50100012</v>
          </cell>
          <cell r="D1872" t="str">
            <v>GCOMMB</v>
          </cell>
          <cell r="E1872" t="str">
            <v>Commission &amp; Brokerage (Rent)</v>
          </cell>
          <cell r="F1872" t="str">
            <v>EOCB</v>
          </cell>
          <cell r="G1872">
            <v>190000</v>
          </cell>
          <cell r="K1872">
            <v>190000</v>
          </cell>
        </row>
        <row r="1873">
          <cell r="C1873">
            <v>50100304</v>
          </cell>
          <cell r="E1873" t="str">
            <v>Commission for Distribution</v>
          </cell>
          <cell r="F1873" t="str">
            <v>EOCB</v>
          </cell>
          <cell r="G1873">
            <v>531945.05000000005</v>
          </cell>
          <cell r="K1873">
            <v>531945.05000000005</v>
          </cell>
        </row>
        <row r="1875">
          <cell r="E1875" t="str">
            <v>OPERATING EXP. - DEPOSITORY CHARGES</v>
          </cell>
        </row>
        <row r="1876">
          <cell r="C1876">
            <v>56000164</v>
          </cell>
          <cell r="D1876" t="str">
            <v>GDEPO</v>
          </cell>
          <cell r="E1876" t="str">
            <v>Depository Charges</v>
          </cell>
          <cell r="F1876" t="str">
            <v>EONS</v>
          </cell>
          <cell r="G1876">
            <v>11683741.710000001</v>
          </cell>
          <cell r="K1876">
            <v>11683741.710000001</v>
          </cell>
        </row>
        <row r="1878">
          <cell r="E1878" t="str">
            <v>OPERATING EXP. - TRANSACTION CHARGES</v>
          </cell>
        </row>
        <row r="1879">
          <cell r="C1879">
            <v>50100011</v>
          </cell>
          <cell r="D1879" t="str">
            <v>GL00117</v>
          </cell>
          <cell r="E1879" t="str">
            <v>Nse Transaction Charges  (Exp. )</v>
          </cell>
          <cell r="F1879" t="str">
            <v>EOTC</v>
          </cell>
          <cell r="G1879">
            <v>55756990.170000002</v>
          </cell>
          <cell r="K1879">
            <v>55756990.170000002</v>
          </cell>
        </row>
        <row r="1880">
          <cell r="C1880">
            <v>50100026</v>
          </cell>
          <cell r="D1880" t="str">
            <v>GL00118</v>
          </cell>
          <cell r="E1880" t="str">
            <v>Bse Transaction Charges (Exp)</v>
          </cell>
          <cell r="F1880" t="str">
            <v>EOTC</v>
          </cell>
          <cell r="G1880">
            <v>1782570</v>
          </cell>
          <cell r="K1880">
            <v>1782570</v>
          </cell>
        </row>
        <row r="1882">
          <cell r="E1882" t="str">
            <v>OPERATING EXP. - MEMBERSHIP FEES</v>
          </cell>
        </row>
        <row r="1883">
          <cell r="C1883">
            <v>50100020</v>
          </cell>
          <cell r="D1883" t="str">
            <v>GMEMB</v>
          </cell>
          <cell r="E1883" t="str">
            <v>Membership Fees</v>
          </cell>
          <cell r="F1883" t="str">
            <v>EOM</v>
          </cell>
          <cell r="G1883">
            <v>1189536.54</v>
          </cell>
          <cell r="K1883">
            <v>1189536.54</v>
          </cell>
        </row>
        <row r="1885">
          <cell r="E1885" t="str">
            <v>OPERATING EXP. - WEBHOSTING EXPENSES</v>
          </cell>
        </row>
        <row r="1886">
          <cell r="C1886">
            <v>50100111</v>
          </cell>
          <cell r="D1886" t="str">
            <v>GWEBH</v>
          </cell>
          <cell r="E1886" t="str">
            <v>Web Hosting Charges</v>
          </cell>
          <cell r="F1886" t="str">
            <v>EOW</v>
          </cell>
          <cell r="G1886">
            <v>12225558.75</v>
          </cell>
          <cell r="K1886">
            <v>12225558.75</v>
          </cell>
        </row>
        <row r="1888">
          <cell r="E1888" t="str">
            <v>OPERATING EXP. - VSAT CHARGES</v>
          </cell>
        </row>
        <row r="1889">
          <cell r="C1889">
            <v>50100010</v>
          </cell>
          <cell r="D1889" t="str">
            <v>GVSAT</v>
          </cell>
          <cell r="E1889" t="str">
            <v>Vsat Charges</v>
          </cell>
          <cell r="F1889" t="str">
            <v>EOVC</v>
          </cell>
          <cell r="G1889">
            <v>3916111.68</v>
          </cell>
          <cell r="K1889">
            <v>3916111.68</v>
          </cell>
        </row>
        <row r="1891">
          <cell r="E1891" t="str">
            <v>OPERATING EXP. - LEASED LINE EXPENSES</v>
          </cell>
        </row>
        <row r="1892">
          <cell r="C1892">
            <v>58040009</v>
          </cell>
          <cell r="D1892" t="str">
            <v>GLEAS</v>
          </cell>
          <cell r="E1892" t="str">
            <v>Lease Line Charges</v>
          </cell>
          <cell r="F1892" t="str">
            <v>EOLL</v>
          </cell>
          <cell r="G1892">
            <v>6947144.8300000001</v>
          </cell>
          <cell r="K1892">
            <v>6947144.8300000001</v>
          </cell>
        </row>
        <row r="1893">
          <cell r="C1893">
            <v>58040008</v>
          </cell>
          <cell r="D1893" t="str">
            <v>GINTN</v>
          </cell>
          <cell r="E1893" t="str">
            <v>Internet Band Width Cost</v>
          </cell>
          <cell r="F1893" t="str">
            <v>EOLL</v>
          </cell>
          <cell r="G1893">
            <v>9644777.9000000004</v>
          </cell>
          <cell r="K1893">
            <v>9644777.9000000004</v>
          </cell>
        </row>
        <row r="1894">
          <cell r="C1894">
            <v>55230001</v>
          </cell>
          <cell r="E1894" t="str">
            <v>MPLS Charges</v>
          </cell>
          <cell r="F1894" t="str">
            <v>EOLL</v>
          </cell>
          <cell r="G1894">
            <v>4219376.67</v>
          </cell>
          <cell r="K1894">
            <v>4219376.67</v>
          </cell>
        </row>
        <row r="1896">
          <cell r="E1896" t="str">
            <v>OPERATING EXP. - CONTENT EXPENSES</v>
          </cell>
        </row>
        <row r="1897">
          <cell r="C1897">
            <v>62100010</v>
          </cell>
          <cell r="D1897" t="str">
            <v>GCONT</v>
          </cell>
          <cell r="E1897" t="str">
            <v>Content Expenses</v>
          </cell>
          <cell r="F1897" t="str">
            <v>EOCE</v>
          </cell>
          <cell r="G1897">
            <v>2057264.66</v>
          </cell>
          <cell r="K1897">
            <v>2057264.66</v>
          </cell>
        </row>
        <row r="1899">
          <cell r="E1899" t="str">
            <v>OPERATING EXP. - SOFTWARE CHARGES</v>
          </cell>
        </row>
        <row r="1900">
          <cell r="C1900">
            <v>50100025</v>
          </cell>
          <cell r="D1900" t="str">
            <v>GSOFT</v>
          </cell>
          <cell r="E1900" t="str">
            <v>Software Charges</v>
          </cell>
          <cell r="F1900" t="str">
            <v>EOSE</v>
          </cell>
          <cell r="G1900">
            <v>3757502.38</v>
          </cell>
          <cell r="K1900">
            <v>3757502.38</v>
          </cell>
        </row>
        <row r="1902">
          <cell r="E1902" t="str">
            <v>PERSONNEL COST - SALARIES</v>
          </cell>
        </row>
        <row r="1903">
          <cell r="C1903">
            <v>50100004</v>
          </cell>
          <cell r="D1903" t="str">
            <v>GSALA</v>
          </cell>
          <cell r="E1903" t="str">
            <v>Salary Expenses</v>
          </cell>
          <cell r="F1903" t="str">
            <v>EESE</v>
          </cell>
          <cell r="G1903">
            <v>611188680.70000005</v>
          </cell>
          <cell r="K1903">
            <v>611188680.70000005</v>
          </cell>
        </row>
        <row r="1904">
          <cell r="C1904">
            <v>50100002</v>
          </cell>
          <cell r="D1904" t="str">
            <v>GINCE</v>
          </cell>
          <cell r="E1904" t="str">
            <v>Incentive Expenses</v>
          </cell>
          <cell r="F1904" t="str">
            <v>EESE</v>
          </cell>
          <cell r="G1904">
            <v>134683488.66999999</v>
          </cell>
          <cell r="K1904">
            <v>134683488.66999999</v>
          </cell>
        </row>
        <row r="1905">
          <cell r="C1905">
            <v>50100102</v>
          </cell>
          <cell r="E1905" t="str">
            <v>Exgratia Expense</v>
          </cell>
          <cell r="F1905" t="str">
            <v>EESE</v>
          </cell>
          <cell r="G1905">
            <v>1256618.27</v>
          </cell>
          <cell r="K1905">
            <v>1256618.27</v>
          </cell>
        </row>
        <row r="1906">
          <cell r="C1906">
            <v>62100009</v>
          </cell>
          <cell r="D1906" t="str">
            <v>GSTIP</v>
          </cell>
          <cell r="E1906" t="str">
            <v>Stipend Expenses</v>
          </cell>
          <cell r="F1906" t="str">
            <v>EESE</v>
          </cell>
          <cell r="G1906">
            <v>10000</v>
          </cell>
          <cell r="K1906">
            <v>10000</v>
          </cell>
        </row>
        <row r="1907">
          <cell r="C1907">
            <v>50100104</v>
          </cell>
          <cell r="E1907" t="str">
            <v>Joining Bonus</v>
          </cell>
          <cell r="F1907" t="str">
            <v>EESE</v>
          </cell>
          <cell r="G1907">
            <v>0</v>
          </cell>
          <cell r="K1907">
            <v>0</v>
          </cell>
        </row>
        <row r="1909">
          <cell r="E1909" t="str">
            <v>PERSONNEL COST - CONTRIBUTION TO P.F. &amp; OTHER FUNDS</v>
          </cell>
        </row>
        <row r="1910">
          <cell r="C1910">
            <v>58030018</v>
          </cell>
          <cell r="E1910" t="str">
            <v>EPF Expenses Employer Contribution</v>
          </cell>
          <cell r="F1910" t="str">
            <v>EEPF</v>
          </cell>
          <cell r="G1910">
            <v>604227</v>
          </cell>
          <cell r="K1910">
            <v>604227</v>
          </cell>
        </row>
        <row r="1911">
          <cell r="C1911">
            <v>50100208</v>
          </cell>
          <cell r="E1911" t="str">
            <v>Labour Welfare Fund expenses</v>
          </cell>
          <cell r="F1911" t="str">
            <v>EEPF</v>
          </cell>
          <cell r="G1911">
            <v>68728.5</v>
          </cell>
          <cell r="K1911">
            <v>68728.5</v>
          </cell>
        </row>
        <row r="1912">
          <cell r="C1912">
            <v>58242032</v>
          </cell>
          <cell r="E1912" t="str">
            <v>EPF Admin &amp; EDLI Charges</v>
          </cell>
          <cell r="F1912" t="str">
            <v>EEPF</v>
          </cell>
          <cell r="G1912">
            <v>81067.740000000005</v>
          </cell>
          <cell r="K1912">
            <v>81067.740000000005</v>
          </cell>
        </row>
        <row r="1913">
          <cell r="C1913">
            <v>58030008</v>
          </cell>
          <cell r="D1913" t="str">
            <v>GEPFE</v>
          </cell>
          <cell r="E1913" t="str">
            <v>Epf Expenses</v>
          </cell>
          <cell r="F1913" t="str">
            <v>EEPF</v>
          </cell>
          <cell r="G1913">
            <v>0</v>
          </cell>
          <cell r="K1913">
            <v>0</v>
          </cell>
        </row>
        <row r="1914">
          <cell r="C1914">
            <v>58030020</v>
          </cell>
          <cell r="E1914" t="str">
            <v>EDLI Charges</v>
          </cell>
          <cell r="F1914" t="str">
            <v>EEPF</v>
          </cell>
          <cell r="G1914">
            <v>0</v>
          </cell>
          <cell r="K1914">
            <v>0</v>
          </cell>
        </row>
        <row r="1915">
          <cell r="C1915">
            <v>50100001</v>
          </cell>
          <cell r="D1915" t="str">
            <v>GGRAT</v>
          </cell>
          <cell r="E1915" t="str">
            <v>Gratuity Expenses</v>
          </cell>
          <cell r="F1915" t="str">
            <v>EEGC</v>
          </cell>
          <cell r="G1915">
            <v>0</v>
          </cell>
          <cell r="K1915">
            <v>0</v>
          </cell>
        </row>
        <row r="1916">
          <cell r="C1916">
            <v>50100003</v>
          </cell>
          <cell r="D1916" t="str">
            <v>GLEAV</v>
          </cell>
          <cell r="E1916" t="str">
            <v>Leave Encashment Expenses</v>
          </cell>
          <cell r="F1916" t="str">
            <v>EEGC</v>
          </cell>
          <cell r="G1916">
            <v>0</v>
          </cell>
          <cell r="K1916">
            <v>0</v>
          </cell>
        </row>
        <row r="1918">
          <cell r="E1918" t="str">
            <v>PERSONNEL COST - STAFF WELFARE EXPENSES</v>
          </cell>
        </row>
        <row r="1919">
          <cell r="C1919">
            <v>50100032</v>
          </cell>
          <cell r="D1919" t="str">
            <v>GSTAF</v>
          </cell>
          <cell r="E1919" t="str">
            <v>Staff Welfare Expenses</v>
          </cell>
          <cell r="F1919" t="str">
            <v>EESW</v>
          </cell>
          <cell r="G1919">
            <v>8368214.3099999996</v>
          </cell>
          <cell r="K1919">
            <v>8368214.3099999996</v>
          </cell>
        </row>
        <row r="1920">
          <cell r="C1920">
            <v>58163000</v>
          </cell>
          <cell r="E1920" t="str">
            <v>Donations and Contributions</v>
          </cell>
          <cell r="F1920" t="str">
            <v>EESW</v>
          </cell>
          <cell r="G1920">
            <v>150000</v>
          </cell>
          <cell r="K1920">
            <v>150000</v>
          </cell>
        </row>
        <row r="1921">
          <cell r="C1921">
            <v>59999994</v>
          </cell>
          <cell r="E1921" t="str">
            <v>Reimbursment of MEDICAL EXPENSES</v>
          </cell>
          <cell r="F1921" t="str">
            <v>EESW</v>
          </cell>
          <cell r="G1921">
            <v>91553</v>
          </cell>
          <cell r="K1921">
            <v>91553</v>
          </cell>
        </row>
        <row r="1922">
          <cell r="C1922">
            <v>50100204</v>
          </cell>
          <cell r="E1922" t="str">
            <v>MEDICAL EXPENSES</v>
          </cell>
          <cell r="F1922" t="str">
            <v>EESW</v>
          </cell>
          <cell r="G1922">
            <v>20000</v>
          </cell>
          <cell r="K1922">
            <v>20000</v>
          </cell>
        </row>
        <row r="1923">
          <cell r="C1923">
            <v>50100035</v>
          </cell>
          <cell r="D1923" t="str">
            <v>GEMEDI</v>
          </cell>
          <cell r="E1923" t="str">
            <v>Mediclaim Expenses</v>
          </cell>
          <cell r="F1923" t="str">
            <v>EESW</v>
          </cell>
          <cell r="G1923">
            <v>0</v>
          </cell>
          <cell r="K1923">
            <v>0</v>
          </cell>
        </row>
        <row r="1924">
          <cell r="C1924">
            <v>50100034</v>
          </cell>
          <cell r="D1924" t="str">
            <v>GDIWA</v>
          </cell>
          <cell r="E1924" t="str">
            <v>Diwali Expenses</v>
          </cell>
          <cell r="F1924" t="str">
            <v>EESW</v>
          </cell>
          <cell r="G1924">
            <v>322562</v>
          </cell>
          <cell r="K1924">
            <v>322562</v>
          </cell>
        </row>
        <row r="1925">
          <cell r="C1925">
            <v>58040027</v>
          </cell>
          <cell r="E1925" t="str">
            <v>Water Expenses</v>
          </cell>
          <cell r="F1925" t="str">
            <v>EESW</v>
          </cell>
          <cell r="G1925">
            <v>0</v>
          </cell>
          <cell r="K1925">
            <v>0</v>
          </cell>
        </row>
        <row r="1926">
          <cell r="C1926">
            <v>58040039</v>
          </cell>
          <cell r="E1926" t="str">
            <v>Relocation Expenses</v>
          </cell>
          <cell r="F1926" t="str">
            <v>EESW</v>
          </cell>
          <cell r="G1926">
            <v>0</v>
          </cell>
          <cell r="K1926">
            <v>0</v>
          </cell>
        </row>
        <row r="1927">
          <cell r="C1927">
            <v>50100008</v>
          </cell>
          <cell r="D1927" t="str">
            <v>GSTAF</v>
          </cell>
          <cell r="E1927" t="str">
            <v>Staff Welfare Expenses liable to FBT</v>
          </cell>
          <cell r="F1927" t="str">
            <v>EESW</v>
          </cell>
          <cell r="G1927">
            <v>0</v>
          </cell>
          <cell r="K1927">
            <v>0</v>
          </cell>
        </row>
        <row r="1928">
          <cell r="C1928">
            <v>58040021</v>
          </cell>
          <cell r="E1928" t="str">
            <v>WATER EXPENSES</v>
          </cell>
          <cell r="F1928" t="str">
            <v>EESW</v>
          </cell>
          <cell r="G1928">
            <v>58500</v>
          </cell>
          <cell r="K1928">
            <v>58500</v>
          </cell>
        </row>
        <row r="1930">
          <cell r="E1930" t="str">
            <v>ADM. &amp; OTHER EXP. - LEASE RENT</v>
          </cell>
        </row>
        <row r="1931">
          <cell r="C1931">
            <v>58040002</v>
          </cell>
          <cell r="D1931" t="str">
            <v>GRENT</v>
          </cell>
          <cell r="E1931" t="str">
            <v>Rent Expenses</v>
          </cell>
          <cell r="F1931" t="str">
            <v>EARE</v>
          </cell>
          <cell r="G1931">
            <v>72060729.489999995</v>
          </cell>
          <cell r="K1931">
            <v>72060729.489999995</v>
          </cell>
        </row>
        <row r="1932">
          <cell r="C1932">
            <v>50100038</v>
          </cell>
          <cell r="D1932" t="str">
            <v>GSERV</v>
          </cell>
          <cell r="E1932" t="str">
            <v>Service Charges</v>
          </cell>
          <cell r="F1932" t="str">
            <v>EARE</v>
          </cell>
          <cell r="G1932">
            <v>11406242.02</v>
          </cell>
          <cell r="K1932">
            <v>11406242.02</v>
          </cell>
        </row>
        <row r="1934">
          <cell r="E1934" t="str">
            <v>ADM. &amp; OTHER EXP. - RECRUITMENT EXPENSES</v>
          </cell>
        </row>
        <row r="1935">
          <cell r="C1935">
            <v>50100007</v>
          </cell>
          <cell r="D1935" t="str">
            <v>GRECR</v>
          </cell>
          <cell r="E1935" t="str">
            <v>Recruitment &amp; Training Expenses</v>
          </cell>
          <cell r="F1935" t="str">
            <v>EAREC</v>
          </cell>
          <cell r="G1935">
            <v>156665.16</v>
          </cell>
          <cell r="K1935">
            <v>156665.16</v>
          </cell>
        </row>
        <row r="1936">
          <cell r="C1936">
            <v>50100033</v>
          </cell>
          <cell r="E1936" t="str">
            <v>Training Expenses A/C</v>
          </cell>
          <cell r="F1936" t="str">
            <v>EAREC</v>
          </cell>
          <cell r="G1936">
            <v>0</v>
          </cell>
          <cell r="K1936">
            <v>0</v>
          </cell>
        </row>
        <row r="1938">
          <cell r="E1938" t="str">
            <v>ADM. &amp; OTHER EXP. - RATES &amp; TAXES</v>
          </cell>
        </row>
        <row r="1939">
          <cell r="C1939">
            <v>50100305</v>
          </cell>
          <cell r="E1939" t="str">
            <v>Buy Back Expenses</v>
          </cell>
          <cell r="F1939" t="str">
            <v>EART</v>
          </cell>
          <cell r="G1939">
            <v>1896465.39</v>
          </cell>
          <cell r="K1939">
            <v>1896465.39</v>
          </cell>
        </row>
        <row r="1940">
          <cell r="C1940">
            <v>58030004</v>
          </cell>
          <cell r="D1940" t="str">
            <v>GRATE</v>
          </cell>
          <cell r="E1940" t="str">
            <v>Rates &amp; Taxes</v>
          </cell>
          <cell r="F1940" t="str">
            <v>EART</v>
          </cell>
          <cell r="G1940">
            <v>908199.77</v>
          </cell>
          <cell r="K1940">
            <v>908199.77</v>
          </cell>
        </row>
        <row r="1941">
          <cell r="C1941">
            <v>58030029</v>
          </cell>
          <cell r="E1941" t="str">
            <v>Profession Tax</v>
          </cell>
          <cell r="F1941" t="str">
            <v>EART</v>
          </cell>
          <cell r="G1941">
            <v>6478.94</v>
          </cell>
          <cell r="K1941">
            <v>6478.94</v>
          </cell>
        </row>
        <row r="1942">
          <cell r="C1942">
            <v>58030003</v>
          </cell>
          <cell r="E1942" t="str">
            <v>Listing Charges</v>
          </cell>
          <cell r="F1942" t="str">
            <v>EART</v>
          </cell>
          <cell r="G1942">
            <v>140154.38</v>
          </cell>
          <cell r="K1942">
            <v>140154.38</v>
          </cell>
        </row>
        <row r="1943">
          <cell r="C1943">
            <v>58030002</v>
          </cell>
          <cell r="E1943" t="str">
            <v>Filing Fees</v>
          </cell>
          <cell r="F1943" t="str">
            <v>EART</v>
          </cell>
          <cell r="G1943">
            <v>9626</v>
          </cell>
          <cell r="K1943">
            <v>9626</v>
          </cell>
        </row>
        <row r="1944">
          <cell r="C1944">
            <v>58242024</v>
          </cell>
          <cell r="D1944" t="str">
            <v>GSERT</v>
          </cell>
          <cell r="E1944" t="str">
            <v>Service Tax - WDM</v>
          </cell>
          <cell r="F1944" t="str">
            <v>EART</v>
          </cell>
          <cell r="G1944">
            <v>22196.5</v>
          </cell>
          <cell r="K1944">
            <v>22196.5</v>
          </cell>
        </row>
        <row r="1945">
          <cell r="C1945">
            <v>50100080</v>
          </cell>
          <cell r="E1945" t="str">
            <v>Registration Charges</v>
          </cell>
          <cell r="F1945" t="str">
            <v>EART</v>
          </cell>
          <cell r="G1945">
            <v>0</v>
          </cell>
          <cell r="K1945">
            <v>0</v>
          </cell>
        </row>
        <row r="1946">
          <cell r="C1946">
            <v>58030001</v>
          </cell>
          <cell r="E1946" t="str">
            <v>Annual Listing Fees</v>
          </cell>
          <cell r="F1946" t="str">
            <v>EART</v>
          </cell>
          <cell r="G1946">
            <v>0</v>
          </cell>
          <cell r="K1946">
            <v>0</v>
          </cell>
        </row>
        <row r="1947">
          <cell r="C1947">
            <v>58242002</v>
          </cell>
          <cell r="E1947" t="str">
            <v>Registration Exp.</v>
          </cell>
          <cell r="F1947" t="str">
            <v>EART</v>
          </cell>
          <cell r="G1947">
            <v>0</v>
          </cell>
          <cell r="K1947">
            <v>0</v>
          </cell>
        </row>
        <row r="1949">
          <cell r="E1949" t="str">
            <v>ADM. &amp; OTHER EXP. - ELECTRICITY EXPENSES</v>
          </cell>
        </row>
        <row r="1950">
          <cell r="C1950">
            <v>58030016</v>
          </cell>
          <cell r="D1950" t="str">
            <v>GELEC</v>
          </cell>
          <cell r="E1950" t="str">
            <v>Electricity Expenses</v>
          </cell>
          <cell r="F1950" t="str">
            <v>EAEE</v>
          </cell>
          <cell r="G1950">
            <v>14650757.34</v>
          </cell>
          <cell r="K1950">
            <v>14650757.34</v>
          </cell>
        </row>
        <row r="1952">
          <cell r="E1952" t="str">
            <v>ADM. &amp; OTHER EXP. -  INSURANCE</v>
          </cell>
        </row>
        <row r="1953">
          <cell r="C1953">
            <v>50100058</v>
          </cell>
          <cell r="D1953" t="str">
            <v>GINSV</v>
          </cell>
          <cell r="E1953" t="str">
            <v>Insurance Expenses Vehicles</v>
          </cell>
          <cell r="F1953" t="str">
            <v>EAIC</v>
          </cell>
          <cell r="G1953">
            <v>338626.29</v>
          </cell>
          <cell r="K1953">
            <v>338626.29</v>
          </cell>
        </row>
        <row r="1954">
          <cell r="C1954">
            <v>50100061</v>
          </cell>
          <cell r="E1954" t="str">
            <v>Insurance Expenses Stock Broker Policy</v>
          </cell>
          <cell r="F1954" t="str">
            <v>EAIC</v>
          </cell>
          <cell r="G1954">
            <v>10059.030000000001</v>
          </cell>
          <cell r="K1954">
            <v>10059.030000000001</v>
          </cell>
        </row>
        <row r="1955">
          <cell r="C1955">
            <v>58165023</v>
          </cell>
          <cell r="E1955" t="str">
            <v>INSURANCE EXPENSES - EXCHANGE</v>
          </cell>
          <cell r="F1955" t="str">
            <v>EAIC</v>
          </cell>
          <cell r="G1955">
            <v>0</v>
          </cell>
          <cell r="K1955">
            <v>0</v>
          </cell>
        </row>
        <row r="1956">
          <cell r="C1956">
            <v>50100060</v>
          </cell>
          <cell r="E1956" t="str">
            <v>Insurance Expenses General</v>
          </cell>
          <cell r="F1956" t="str">
            <v>EAIC</v>
          </cell>
          <cell r="G1956">
            <v>833.7</v>
          </cell>
          <cell r="K1956">
            <v>833.7</v>
          </cell>
        </row>
        <row r="1957">
          <cell r="C1957">
            <v>58242056</v>
          </cell>
          <cell r="E1957" t="str">
            <v>Insurance Expenses- Depository</v>
          </cell>
          <cell r="F1957" t="str">
            <v>EAIC</v>
          </cell>
          <cell r="G1957">
            <v>3443</v>
          </cell>
          <cell r="K1957">
            <v>3443</v>
          </cell>
        </row>
        <row r="1959">
          <cell r="E1959" t="str">
            <v>ADM. &amp; OTHER EXP. - COMMUNICATION EXPENSES</v>
          </cell>
        </row>
        <row r="1960">
          <cell r="C1960">
            <v>58040007</v>
          </cell>
          <cell r="D1960" t="str">
            <v>GTELE</v>
          </cell>
          <cell r="E1960" t="str">
            <v>Telephone Expenses(Fixed Line)</v>
          </cell>
          <cell r="F1960" t="str">
            <v>EACE</v>
          </cell>
          <cell r="G1960">
            <v>23129608.16</v>
          </cell>
          <cell r="K1960">
            <v>23129608.16</v>
          </cell>
        </row>
        <row r="1961">
          <cell r="C1961">
            <v>50100057</v>
          </cell>
          <cell r="D1961" t="str">
            <v>GPOST</v>
          </cell>
          <cell r="E1961" t="str">
            <v>Postage &amp; Courier Charges</v>
          </cell>
          <cell r="F1961" t="str">
            <v>EACE</v>
          </cell>
          <cell r="G1961">
            <v>21657574.370000001</v>
          </cell>
          <cell r="K1961">
            <v>21657574.370000001</v>
          </cell>
        </row>
        <row r="1962">
          <cell r="C1962">
            <v>58040006</v>
          </cell>
          <cell r="D1962" t="str">
            <v>GMOBI</v>
          </cell>
          <cell r="E1962" t="str">
            <v>Telephone Exp.(Mobile)</v>
          </cell>
          <cell r="F1962" t="str">
            <v>EACE</v>
          </cell>
          <cell r="G1962">
            <v>1043617.33</v>
          </cell>
          <cell r="K1962">
            <v>1043617.33</v>
          </cell>
        </row>
        <row r="1963">
          <cell r="C1963">
            <v>58242031</v>
          </cell>
          <cell r="D1963" t="str">
            <v>GTELE</v>
          </cell>
          <cell r="E1963" t="str">
            <v>Telephone Expenses -PRI Lines</v>
          </cell>
          <cell r="F1963" t="str">
            <v>EACE</v>
          </cell>
          <cell r="G1963">
            <v>420487.45</v>
          </cell>
          <cell r="K1963">
            <v>420487.45</v>
          </cell>
        </row>
        <row r="1964">
          <cell r="C1964">
            <v>59999993</v>
          </cell>
          <cell r="D1964" t="str">
            <v>GTELE</v>
          </cell>
          <cell r="E1964" t="str">
            <v>Staff Welfare Reimbursement Of Telephone Expenses</v>
          </cell>
          <cell r="F1964" t="str">
            <v>EACE</v>
          </cell>
          <cell r="G1964">
            <v>23480</v>
          </cell>
          <cell r="K1964">
            <v>23480</v>
          </cell>
        </row>
        <row r="1965">
          <cell r="C1965">
            <v>58040005</v>
          </cell>
          <cell r="D1965" t="str">
            <v>GPOST</v>
          </cell>
          <cell r="E1965" t="str">
            <v>Postage &amp; Courier Charges</v>
          </cell>
          <cell r="F1965" t="str">
            <v>EACE</v>
          </cell>
          <cell r="G1965">
            <v>0</v>
          </cell>
          <cell r="K1965">
            <v>0</v>
          </cell>
        </row>
        <row r="1967">
          <cell r="E1967" t="str">
            <v>ADM. &amp; OTHER EXP. - PROFESSIONAL CHARGES</v>
          </cell>
        </row>
        <row r="1968">
          <cell r="C1968">
            <v>58040013</v>
          </cell>
          <cell r="D1968" t="str">
            <v>GLEGAL</v>
          </cell>
          <cell r="E1968" t="str">
            <v>Legal Expenses</v>
          </cell>
          <cell r="F1968" t="str">
            <v>EAPC</v>
          </cell>
          <cell r="G1968">
            <v>1955908.56</v>
          </cell>
          <cell r="K1968">
            <v>1955908.56</v>
          </cell>
        </row>
        <row r="1969">
          <cell r="C1969">
            <v>46000043</v>
          </cell>
          <cell r="E1969" t="str">
            <v>Technical Charge Fees</v>
          </cell>
          <cell r="F1969" t="str">
            <v>EAPC</v>
          </cell>
          <cell r="G1969">
            <v>433475</v>
          </cell>
          <cell r="K1969">
            <v>433475</v>
          </cell>
        </row>
        <row r="1970">
          <cell r="C1970">
            <v>58040015</v>
          </cell>
          <cell r="D1970" t="str">
            <v>GPROF</v>
          </cell>
          <cell r="E1970" t="str">
            <v>Professional Charges</v>
          </cell>
          <cell r="F1970" t="str">
            <v>EAPC</v>
          </cell>
          <cell r="G1970">
            <v>0</v>
          </cell>
          <cell r="K1970">
            <v>0</v>
          </cell>
        </row>
        <row r="1971">
          <cell r="C1971">
            <v>58040014</v>
          </cell>
          <cell r="D1971" t="str">
            <v>GCONS</v>
          </cell>
          <cell r="E1971" t="str">
            <v>Consultancy Charges</v>
          </cell>
          <cell r="F1971" t="str">
            <v>EAPC</v>
          </cell>
          <cell r="G1971">
            <v>0</v>
          </cell>
          <cell r="K1971">
            <v>0</v>
          </cell>
        </row>
        <row r="1972">
          <cell r="C1972">
            <v>58040016</v>
          </cell>
          <cell r="D1972" t="str">
            <v>GPROI</v>
          </cell>
          <cell r="E1972" t="str">
            <v>Professional &amp; Consultancy Charges</v>
          </cell>
          <cell r="F1972" t="str">
            <v>EAPC</v>
          </cell>
          <cell r="G1972">
            <v>33042855.16</v>
          </cell>
          <cell r="K1972">
            <v>33042855.16</v>
          </cell>
        </row>
        <row r="1973">
          <cell r="C1973">
            <v>58241023</v>
          </cell>
          <cell r="E1973" t="str">
            <v>Technical Support Expense</v>
          </cell>
          <cell r="F1973" t="str">
            <v>EAPC</v>
          </cell>
          <cell r="G1973">
            <v>1396500</v>
          </cell>
          <cell r="K1973">
            <v>1396500</v>
          </cell>
        </row>
        <row r="1975">
          <cell r="E1975" t="str">
            <v>ADM. &amp; OTHER EXP. - TRAVELLING &amp; CONVEYANCE</v>
          </cell>
        </row>
        <row r="1976">
          <cell r="C1976">
            <v>58040003</v>
          </cell>
          <cell r="D1976" t="str">
            <v>GCONV</v>
          </cell>
          <cell r="E1976" t="str">
            <v>Conveyance Expenses</v>
          </cell>
          <cell r="F1976" t="str">
            <v>EATC</v>
          </cell>
          <cell r="G1976">
            <v>3411560.2</v>
          </cell>
          <cell r="K1976">
            <v>3411560.2</v>
          </cell>
        </row>
        <row r="1977">
          <cell r="C1977">
            <v>58040004</v>
          </cell>
          <cell r="D1977" t="str">
            <v>GTRAV</v>
          </cell>
          <cell r="E1977" t="str">
            <v>Travelling Expenses</v>
          </cell>
          <cell r="F1977" t="str">
            <v>EATC</v>
          </cell>
          <cell r="G1977">
            <v>2277878.4300000002</v>
          </cell>
          <cell r="K1977">
            <v>2277878.4300000002</v>
          </cell>
        </row>
        <row r="1978">
          <cell r="C1978">
            <v>50100172</v>
          </cell>
          <cell r="E1978" t="str">
            <v>Travelling-Lodging &amp; Boarding</v>
          </cell>
          <cell r="F1978" t="str">
            <v>EATC</v>
          </cell>
          <cell r="G1978">
            <v>712237</v>
          </cell>
          <cell r="K1978">
            <v>712237</v>
          </cell>
        </row>
        <row r="1979">
          <cell r="C1979">
            <v>50100077</v>
          </cell>
          <cell r="E1979" t="str">
            <v>TRANSPORT CHARGES</v>
          </cell>
          <cell r="F1979" t="str">
            <v>EATC</v>
          </cell>
          <cell r="G1979">
            <v>297493.5</v>
          </cell>
          <cell r="K1979">
            <v>297493.5</v>
          </cell>
        </row>
        <row r="1980">
          <cell r="C1980">
            <v>59999995</v>
          </cell>
          <cell r="E1980" t="str">
            <v>Reimbursement of LEAVE TRAVEL ALLOWANCE</v>
          </cell>
          <cell r="F1980" t="str">
            <v>EATC</v>
          </cell>
          <cell r="G1980">
            <v>50368</v>
          </cell>
          <cell r="K1980">
            <v>50368</v>
          </cell>
        </row>
        <row r="1981">
          <cell r="C1981">
            <v>59999996</v>
          </cell>
          <cell r="E1981" t="str">
            <v>Staff Welfare Reimbursement Of Fuel Charges</v>
          </cell>
          <cell r="F1981" t="str">
            <v>EATC</v>
          </cell>
          <cell r="G1981">
            <v>461011</v>
          </cell>
          <cell r="K1981">
            <v>461011</v>
          </cell>
        </row>
        <row r="1982">
          <cell r="C1982">
            <v>59999998</v>
          </cell>
          <cell r="D1982" t="str">
            <v>GTRAV</v>
          </cell>
          <cell r="E1982" t="str">
            <v>Staff Welfare Reimbursement Agst. Domestic Travel</v>
          </cell>
          <cell r="F1982" t="str">
            <v>EATC</v>
          </cell>
          <cell r="G1982">
            <v>161252</v>
          </cell>
          <cell r="K1982">
            <v>161252</v>
          </cell>
        </row>
        <row r="1983">
          <cell r="C1983">
            <v>59999997</v>
          </cell>
          <cell r="D1983" t="str">
            <v>GTRAV</v>
          </cell>
          <cell r="E1983" t="str">
            <v>REIMBURSEMENT AGAINST FOREIGN TRAVEL</v>
          </cell>
          <cell r="F1983" t="str">
            <v>EATC</v>
          </cell>
          <cell r="G1983">
            <v>0</v>
          </cell>
          <cell r="K1983">
            <v>0</v>
          </cell>
        </row>
        <row r="1984">
          <cell r="C1984">
            <v>50100056</v>
          </cell>
          <cell r="D1984" t="str">
            <v>GLOCA</v>
          </cell>
          <cell r="E1984" t="str">
            <v>Local Conveyance</v>
          </cell>
          <cell r="F1984" t="str">
            <v>EATC</v>
          </cell>
          <cell r="G1984">
            <v>0</v>
          </cell>
          <cell r="K1984">
            <v>0</v>
          </cell>
        </row>
        <row r="1986">
          <cell r="E1986" t="str">
            <v>ADM. &amp; OTHER EXP. - PRINTING &amp; STATIONERY</v>
          </cell>
        </row>
        <row r="1987">
          <cell r="C1987">
            <v>58040011</v>
          </cell>
          <cell r="E1987" t="str">
            <v>Printing &amp; Stationery</v>
          </cell>
          <cell r="F1987" t="str">
            <v>EAPS</v>
          </cell>
          <cell r="G1987">
            <v>14683886.810000001</v>
          </cell>
          <cell r="K1987">
            <v>14683886.810000001</v>
          </cell>
        </row>
        <row r="1988">
          <cell r="C1988">
            <v>50100062</v>
          </cell>
          <cell r="D1988" t="str">
            <v>GPRIN</v>
          </cell>
          <cell r="E1988" t="str">
            <v>Printing &amp; Stationery</v>
          </cell>
          <cell r="F1988" t="str">
            <v>EAPS</v>
          </cell>
          <cell r="G1988">
            <v>0</v>
          </cell>
          <cell r="K1988">
            <v>0</v>
          </cell>
        </row>
        <row r="1989">
          <cell r="C1989">
            <v>50100063</v>
          </cell>
          <cell r="D1989" t="str">
            <v>GBOOK</v>
          </cell>
          <cell r="E1989" t="str">
            <v>Books &amp; Periodical</v>
          </cell>
          <cell r="F1989" t="str">
            <v>EAPS</v>
          </cell>
          <cell r="G1989">
            <v>193401.61</v>
          </cell>
          <cell r="K1989">
            <v>193401.61</v>
          </cell>
        </row>
        <row r="1990">
          <cell r="C1990">
            <v>59999999</v>
          </cell>
          <cell r="E1990" t="str">
            <v>Staff Welfare Reimbursement Of Books &amp; Periodicals</v>
          </cell>
          <cell r="F1990" t="str">
            <v>EAPS</v>
          </cell>
          <cell r="G1990">
            <v>115572</v>
          </cell>
          <cell r="K1990">
            <v>115572</v>
          </cell>
        </row>
        <row r="1991">
          <cell r="C1991">
            <v>62000026</v>
          </cell>
          <cell r="E1991" t="str">
            <v>Raw Material Consumed</v>
          </cell>
          <cell r="F1991" t="str">
            <v>EAPS</v>
          </cell>
          <cell r="G1991">
            <v>0</v>
          </cell>
          <cell r="K1991">
            <v>0</v>
          </cell>
        </row>
        <row r="1993">
          <cell r="E1993" t="str">
            <v>ADM. &amp; OTHER EXP. - REPAIR &amp; MAINTENANCE</v>
          </cell>
        </row>
        <row r="1994">
          <cell r="C1994">
            <v>50100048</v>
          </cell>
          <cell r="D1994" t="str">
            <v>GAMCA</v>
          </cell>
          <cell r="E1994" t="str">
            <v>Amc Air Conditioners</v>
          </cell>
          <cell r="F1994" t="str">
            <v>EARM</v>
          </cell>
          <cell r="G1994">
            <v>47965</v>
          </cell>
          <cell r="K1994">
            <v>47965</v>
          </cell>
        </row>
        <row r="1995">
          <cell r="C1995">
            <v>50100050</v>
          </cell>
          <cell r="E1995" t="str">
            <v>Amc Charges Epabx</v>
          </cell>
          <cell r="F1995" t="str">
            <v>EARM</v>
          </cell>
          <cell r="G1995">
            <v>5636.44</v>
          </cell>
          <cell r="K1995">
            <v>5636.44</v>
          </cell>
        </row>
        <row r="1996">
          <cell r="C1996">
            <v>50100045</v>
          </cell>
          <cell r="D1996" t="str">
            <v>GAMCC</v>
          </cell>
          <cell r="E1996" t="str">
            <v>Amc Hardware Computer</v>
          </cell>
          <cell r="F1996" t="str">
            <v>EARM</v>
          </cell>
          <cell r="G1996">
            <v>10184027.699999999</v>
          </cell>
          <cell r="K1996">
            <v>10184027.699999999</v>
          </cell>
        </row>
        <row r="1997">
          <cell r="C1997">
            <v>50100043</v>
          </cell>
          <cell r="D1997" t="str">
            <v>GAMCH</v>
          </cell>
          <cell r="E1997" t="str">
            <v>Amc Hardware Expenses</v>
          </cell>
          <cell r="F1997" t="str">
            <v>EARM</v>
          </cell>
          <cell r="G1997">
            <v>1330617.31</v>
          </cell>
          <cell r="K1997">
            <v>1330617.31</v>
          </cell>
        </row>
        <row r="1998">
          <cell r="C1998">
            <v>50100047</v>
          </cell>
          <cell r="D1998" t="str">
            <v>GAMCG</v>
          </cell>
          <cell r="E1998" t="str">
            <v>Amc Hardware Generators</v>
          </cell>
          <cell r="F1998" t="str">
            <v>EARM</v>
          </cell>
          <cell r="G1998">
            <v>926</v>
          </cell>
          <cell r="K1998">
            <v>926</v>
          </cell>
        </row>
        <row r="1999">
          <cell r="C1999">
            <v>50100046</v>
          </cell>
          <cell r="D1999" t="str">
            <v>GAMCU</v>
          </cell>
          <cell r="E1999" t="str">
            <v>Amc Hardware Ups</v>
          </cell>
          <cell r="F1999" t="str">
            <v>EARM</v>
          </cell>
          <cell r="G1999">
            <v>615770.39</v>
          </cell>
          <cell r="K1999">
            <v>615770.39</v>
          </cell>
        </row>
        <row r="2000">
          <cell r="C2000">
            <v>50100044</v>
          </cell>
          <cell r="D2000" t="str">
            <v>GAMCS</v>
          </cell>
          <cell r="E2000" t="str">
            <v>Amc Software Expenses</v>
          </cell>
          <cell r="F2000" t="str">
            <v>EARM</v>
          </cell>
          <cell r="G2000">
            <v>2668113.58</v>
          </cell>
          <cell r="K2000">
            <v>2668113.58</v>
          </cell>
        </row>
        <row r="2001">
          <cell r="C2001">
            <v>50100101</v>
          </cell>
          <cell r="E2001" t="str">
            <v>Computer Hardware Expense</v>
          </cell>
          <cell r="F2001" t="str">
            <v>EARM</v>
          </cell>
          <cell r="G2001">
            <v>1462119.98</v>
          </cell>
          <cell r="K2001">
            <v>1462119.98</v>
          </cell>
        </row>
        <row r="2002">
          <cell r="C2002">
            <v>50100049</v>
          </cell>
          <cell r="D2002" t="str">
            <v>GGENE</v>
          </cell>
          <cell r="E2002" t="str">
            <v>Generator Expenses</v>
          </cell>
          <cell r="F2002" t="str">
            <v>EARM</v>
          </cell>
          <cell r="G2002">
            <v>2924090.41</v>
          </cell>
          <cell r="K2002">
            <v>2924090.41</v>
          </cell>
        </row>
        <row r="2003">
          <cell r="C2003">
            <v>58040001</v>
          </cell>
          <cell r="E2003" t="str">
            <v>Generator Expenses</v>
          </cell>
          <cell r="F2003" t="str">
            <v>EARM</v>
          </cell>
          <cell r="G2003">
            <v>0</v>
          </cell>
          <cell r="K2003">
            <v>0</v>
          </cell>
        </row>
        <row r="2004">
          <cell r="C2004">
            <v>62000003</v>
          </cell>
          <cell r="E2004" t="str">
            <v>Generator Fuel Expenses</v>
          </cell>
          <cell r="F2004" t="str">
            <v>EARM</v>
          </cell>
          <cell r="G2004">
            <v>0</v>
          </cell>
          <cell r="K2004">
            <v>0</v>
          </cell>
        </row>
        <row r="2005">
          <cell r="C2005">
            <v>16000001</v>
          </cell>
          <cell r="E2005" t="str">
            <v>Machinery Spares</v>
          </cell>
          <cell r="F2005" t="str">
            <v>EARM</v>
          </cell>
          <cell r="G2005">
            <v>0</v>
          </cell>
          <cell r="K2005">
            <v>0</v>
          </cell>
        </row>
        <row r="2006">
          <cell r="C2006">
            <v>50100051</v>
          </cell>
          <cell r="D2006" t="str">
            <v>GREPA</v>
          </cell>
          <cell r="E2006" t="str">
            <v>Repair &amp; Maintenance</v>
          </cell>
          <cell r="F2006" t="str">
            <v>EARM</v>
          </cell>
          <cell r="G2006">
            <v>5124086.59</v>
          </cell>
          <cell r="K2006">
            <v>5124086.59</v>
          </cell>
        </row>
        <row r="2007">
          <cell r="C2007">
            <v>58022000</v>
          </cell>
          <cell r="E2007" t="str">
            <v>Repairs and maintenance - Others</v>
          </cell>
          <cell r="F2007" t="str">
            <v>EARM</v>
          </cell>
          <cell r="G2007">
            <v>0</v>
          </cell>
          <cell r="K2007">
            <v>0</v>
          </cell>
        </row>
        <row r="2008">
          <cell r="C2008">
            <v>58021100</v>
          </cell>
          <cell r="E2008" t="str">
            <v>Repairs&amp;maintenance-Mach(Spares)</v>
          </cell>
          <cell r="F2008" t="str">
            <v>EARM</v>
          </cell>
          <cell r="G2008">
            <v>0</v>
          </cell>
          <cell r="K2008">
            <v>0</v>
          </cell>
        </row>
        <row r="2009">
          <cell r="C2009">
            <v>50100078</v>
          </cell>
          <cell r="E2009" t="str">
            <v>VEHICLE REPAIR AND MAINTENANCE</v>
          </cell>
          <cell r="F2009" t="str">
            <v>EARM</v>
          </cell>
          <cell r="G2009">
            <v>869732.47</v>
          </cell>
          <cell r="K2009">
            <v>869732.47</v>
          </cell>
        </row>
        <row r="2011">
          <cell r="E2011" t="str">
            <v>ADM. &amp; OTHER EXP. - BUSINESS PROMOTION</v>
          </cell>
        </row>
        <row r="2012">
          <cell r="C2012">
            <v>50100013</v>
          </cell>
          <cell r="D2012" t="str">
            <v>GBUSI</v>
          </cell>
          <cell r="E2012" t="str">
            <v>Business Promotion Expenses</v>
          </cell>
          <cell r="F2012" t="str">
            <v>EABP</v>
          </cell>
          <cell r="G2012">
            <v>648596.82999999996</v>
          </cell>
          <cell r="K2012">
            <v>648596.82999999996</v>
          </cell>
        </row>
        <row r="2013">
          <cell r="C2013">
            <v>50100019</v>
          </cell>
          <cell r="D2013" t="str">
            <v>GSUBS</v>
          </cell>
          <cell r="E2013" t="str">
            <v>Subscription Charges</v>
          </cell>
          <cell r="F2013" t="str">
            <v>EABP</v>
          </cell>
          <cell r="G2013">
            <v>110853</v>
          </cell>
          <cell r="K2013">
            <v>110853</v>
          </cell>
        </row>
        <row r="2014">
          <cell r="C2014">
            <v>50100015</v>
          </cell>
          <cell r="E2014" t="str">
            <v>Conference Expenses</v>
          </cell>
          <cell r="F2014" t="str">
            <v>EABP</v>
          </cell>
          <cell r="G2014">
            <v>0</v>
          </cell>
          <cell r="K2014">
            <v>0</v>
          </cell>
        </row>
        <row r="2015">
          <cell r="C2015">
            <v>58165005</v>
          </cell>
          <cell r="E2015" t="str">
            <v>Egm Expenses</v>
          </cell>
          <cell r="F2015" t="str">
            <v>EABP</v>
          </cell>
          <cell r="G2015">
            <v>8500</v>
          </cell>
          <cell r="K2015">
            <v>8500</v>
          </cell>
        </row>
        <row r="2017">
          <cell r="E2017" t="str">
            <v>ADM. &amp; OTHER EXP. - ADVERTISEMENT</v>
          </cell>
        </row>
        <row r="2018">
          <cell r="C2018">
            <v>58040017</v>
          </cell>
          <cell r="E2018" t="str">
            <v>Advertisement Expenses</v>
          </cell>
          <cell r="F2018" t="str">
            <v>EAAE</v>
          </cell>
          <cell r="G2018">
            <v>17400</v>
          </cell>
          <cell r="K2018">
            <v>17400</v>
          </cell>
        </row>
        <row r="2020">
          <cell r="E2020" t="str">
            <v>ADM. &amp; OTHER EXP. - OFFICE MAINTENANCE</v>
          </cell>
        </row>
        <row r="2021">
          <cell r="C2021">
            <v>58165006</v>
          </cell>
          <cell r="D2021" t="str">
            <v>GOFFI</v>
          </cell>
          <cell r="E2021" t="str">
            <v>Office Maintenance</v>
          </cell>
          <cell r="F2021" t="str">
            <v>EAOM</v>
          </cell>
          <cell r="G2021">
            <v>11046066</v>
          </cell>
          <cell r="K2021">
            <v>11046066</v>
          </cell>
        </row>
        <row r="2022">
          <cell r="C2022">
            <v>50100231</v>
          </cell>
          <cell r="E2022" t="str">
            <v>Security Guard Expenses</v>
          </cell>
          <cell r="F2022" t="str">
            <v>EAOM</v>
          </cell>
          <cell r="G2022">
            <v>4775891.9000000004</v>
          </cell>
          <cell r="K2022">
            <v>4775891.9000000004</v>
          </cell>
        </row>
        <row r="2023">
          <cell r="C2023">
            <v>50100040</v>
          </cell>
          <cell r="D2023" t="str">
            <v>GSHIF</v>
          </cell>
          <cell r="E2023" t="str">
            <v>Shifting Charges</v>
          </cell>
          <cell r="F2023" t="str">
            <v>EAOM</v>
          </cell>
          <cell r="G2023">
            <v>168948</v>
          </cell>
          <cell r="K2023">
            <v>168948</v>
          </cell>
        </row>
        <row r="2024">
          <cell r="C2024">
            <v>50100041</v>
          </cell>
          <cell r="D2024" t="str">
            <v>GSCSE</v>
          </cell>
          <cell r="E2024" t="str">
            <v>Service Charges - Security</v>
          </cell>
          <cell r="F2024" t="str">
            <v>EAOM</v>
          </cell>
          <cell r="G2024">
            <v>0</v>
          </cell>
          <cell r="K2024">
            <v>0</v>
          </cell>
        </row>
        <row r="2025">
          <cell r="C2025">
            <v>50100000</v>
          </cell>
          <cell r="E2025" t="str">
            <v>Semi finished (stock change)</v>
          </cell>
          <cell r="F2025" t="str">
            <v>EAOM</v>
          </cell>
          <cell r="G2025">
            <v>0</v>
          </cell>
          <cell r="K2025">
            <v>0</v>
          </cell>
        </row>
        <row r="2026">
          <cell r="C2026">
            <v>50100039</v>
          </cell>
          <cell r="E2026" t="str">
            <v>Office Shifting Charges</v>
          </cell>
          <cell r="F2026" t="str">
            <v>EAOM</v>
          </cell>
          <cell r="G2026">
            <v>0</v>
          </cell>
          <cell r="K2026">
            <v>0</v>
          </cell>
        </row>
        <row r="2028">
          <cell r="E2028" t="str">
            <v>ADM. &amp; OTHER EXP. - AUDITOR'S REMUNERATION</v>
          </cell>
        </row>
        <row r="2029">
          <cell r="C2029">
            <v>58165008</v>
          </cell>
          <cell r="E2029" t="str">
            <v>Audit Fee</v>
          </cell>
          <cell r="F2029" t="str">
            <v>EAUD</v>
          </cell>
          <cell r="G2029">
            <v>0</v>
          </cell>
          <cell r="K2029">
            <v>0</v>
          </cell>
        </row>
        <row r="2031">
          <cell r="E2031" t="str">
            <v>ADM. &amp; OTHER EXP. - LOSS ON ERRONEOUS TRANSACTIONS</v>
          </cell>
        </row>
        <row r="2034">
          <cell r="E2034" t="str">
            <v>ADM. &amp; OTHER EXP. - LOSS ON SALE OF FIXED ASSETS</v>
          </cell>
        </row>
        <row r="2035">
          <cell r="C2035">
            <v>58190000</v>
          </cell>
          <cell r="D2035" t="str">
            <v>GELOS</v>
          </cell>
          <cell r="E2035" t="str">
            <v>Loss on sale of fixed assets</v>
          </cell>
          <cell r="F2035" t="str">
            <v>EAFA</v>
          </cell>
          <cell r="G2035">
            <v>3895947.85</v>
          </cell>
          <cell r="K2035">
            <v>3895947.85</v>
          </cell>
        </row>
        <row r="2036">
          <cell r="C2036">
            <v>45100000</v>
          </cell>
          <cell r="D2036" t="str">
            <v>GEPOS</v>
          </cell>
          <cell r="E2036" t="str">
            <v>Profit on sale of fixed assets</v>
          </cell>
          <cell r="F2036" t="str">
            <v>EAFA</v>
          </cell>
          <cell r="G2036">
            <v>-550755.28</v>
          </cell>
          <cell r="K2036">
            <v>-550755.28</v>
          </cell>
        </row>
        <row r="2037">
          <cell r="C2037">
            <v>50100137</v>
          </cell>
          <cell r="D2037" t="str">
            <v>GELOS</v>
          </cell>
          <cell r="E2037" t="str">
            <v>Loss on Assets Written off</v>
          </cell>
          <cell r="F2037" t="str">
            <v>EAFA</v>
          </cell>
          <cell r="G2037">
            <v>9878624.4100000001</v>
          </cell>
          <cell r="K2037">
            <v>9878624.4100000001</v>
          </cell>
        </row>
        <row r="2039">
          <cell r="E2039" t="str">
            <v>ADM. &amp; OTHER EXP. - BAD DEBT WRITTEN OFF</v>
          </cell>
        </row>
        <row r="2040">
          <cell r="C2040">
            <v>58210000</v>
          </cell>
          <cell r="D2040" t="str">
            <v>GE0056</v>
          </cell>
          <cell r="E2040" t="str">
            <v>Bad debts</v>
          </cell>
          <cell r="F2040" t="str">
            <v>EBD</v>
          </cell>
          <cell r="G2040">
            <v>682283</v>
          </cell>
          <cell r="K2040">
            <v>682283</v>
          </cell>
        </row>
        <row r="2042">
          <cell r="E2042" t="str">
            <v>ADM. &amp; OTHER EXP. - PROVISION FOR DOUBTFUL DEBTS</v>
          </cell>
        </row>
        <row r="2045">
          <cell r="E2045" t="str">
            <v>ADM. &amp; OTHER EXP. - PROVISION FOR CONTINGENCIES</v>
          </cell>
        </row>
        <row r="2046">
          <cell r="C2046">
            <v>62000017</v>
          </cell>
          <cell r="E2046" t="str">
            <v>Contingency expense provided for</v>
          </cell>
          <cell r="F2046" t="str">
            <v>ECONTI</v>
          </cell>
          <cell r="G2046">
            <v>6364848.5800000001</v>
          </cell>
          <cell r="K2046">
            <v>6364848.5800000001</v>
          </cell>
        </row>
        <row r="2048">
          <cell r="E2048" t="str">
            <v>ADM. &amp; OTHER EXP. - BUYBACK EXPENESES</v>
          </cell>
        </row>
        <row r="2051">
          <cell r="E2051" t="str">
            <v>ADM. &amp; OTHER EXP. - MISCELLANEOUS EXPENSES</v>
          </cell>
        </row>
        <row r="2052">
          <cell r="C2052">
            <v>58040031</v>
          </cell>
          <cell r="E2052" t="str">
            <v>Miscellaneous Expenses</v>
          </cell>
          <cell r="F2052" t="str">
            <v>EAME</v>
          </cell>
          <cell r="G2052">
            <v>72781.440000000002</v>
          </cell>
          <cell r="K2052">
            <v>72781.440000000002</v>
          </cell>
        </row>
        <row r="2053">
          <cell r="C2053">
            <v>58242011</v>
          </cell>
          <cell r="D2053" t="str">
            <v>GNSEP</v>
          </cell>
          <cell r="E2053" t="str">
            <v>NSE PENALTY CHARGES</v>
          </cell>
          <cell r="F2053" t="str">
            <v>EAME</v>
          </cell>
          <cell r="G2053">
            <v>3714.22</v>
          </cell>
          <cell r="K2053">
            <v>3714.22</v>
          </cell>
        </row>
        <row r="2054">
          <cell r="C2054">
            <v>50100081</v>
          </cell>
          <cell r="D2054" t="str">
            <v>GNSE</v>
          </cell>
          <cell r="E2054" t="str">
            <v>NSE Expenses</v>
          </cell>
          <cell r="F2054" t="str">
            <v>EAME</v>
          </cell>
          <cell r="G2054">
            <v>-42795</v>
          </cell>
          <cell r="K2054">
            <v>-42795</v>
          </cell>
        </row>
        <row r="2055">
          <cell r="C2055">
            <v>50100176</v>
          </cell>
          <cell r="E2055" t="str">
            <v>Penalty Charges CDSL</v>
          </cell>
          <cell r="F2055" t="str">
            <v>EAME</v>
          </cell>
          <cell r="G2055">
            <v>0</v>
          </cell>
          <cell r="K2055">
            <v>0</v>
          </cell>
        </row>
        <row r="2056">
          <cell r="C2056">
            <v>50100029</v>
          </cell>
          <cell r="E2056" t="str">
            <v>Other Charges Bse</v>
          </cell>
          <cell r="F2056" t="str">
            <v>EAME</v>
          </cell>
          <cell r="G2056">
            <v>49718.5</v>
          </cell>
          <cell r="K2056">
            <v>49718.5</v>
          </cell>
        </row>
        <row r="2057">
          <cell r="C2057">
            <v>56000073</v>
          </cell>
          <cell r="D2057" t="str">
            <v>GNCFM</v>
          </cell>
          <cell r="E2057" t="str">
            <v>NCFM Exam Fees</v>
          </cell>
          <cell r="F2057" t="str">
            <v>EAME</v>
          </cell>
          <cell r="G2057">
            <v>111300</v>
          </cell>
          <cell r="K2057">
            <v>111300</v>
          </cell>
        </row>
        <row r="2058">
          <cell r="C2058">
            <v>58242004</v>
          </cell>
          <cell r="D2058" t="str">
            <v>GASE</v>
          </cell>
          <cell r="E2058" t="str">
            <v>Shorts &amp; Excess-GASE</v>
          </cell>
          <cell r="F2058" t="str">
            <v>EAME</v>
          </cell>
          <cell r="G2058">
            <v>358.24</v>
          </cell>
          <cell r="K2058">
            <v>358.24</v>
          </cell>
        </row>
        <row r="2059">
          <cell r="C2059">
            <v>46000003</v>
          </cell>
          <cell r="E2059" t="str">
            <v>Short &amp; Excess A/C</v>
          </cell>
          <cell r="F2059" t="str">
            <v>EAME</v>
          </cell>
          <cell r="G2059">
            <v>31.21</v>
          </cell>
          <cell r="K2059">
            <v>31.21</v>
          </cell>
        </row>
        <row r="2060">
          <cell r="C2060">
            <v>45600000</v>
          </cell>
          <cell r="E2060" t="str">
            <v>Other transaction gains</v>
          </cell>
          <cell r="F2060" t="str">
            <v>EAME</v>
          </cell>
          <cell r="G2060">
            <v>-20.71</v>
          </cell>
          <cell r="K2060">
            <v>-20.71</v>
          </cell>
        </row>
        <row r="2061">
          <cell r="C2061">
            <v>58013000</v>
          </cell>
          <cell r="E2061" t="str">
            <v>Other transaction losses</v>
          </cell>
          <cell r="F2061" t="str">
            <v>EAME</v>
          </cell>
          <cell r="G2061">
            <v>9.4</v>
          </cell>
          <cell r="K2061">
            <v>9.4</v>
          </cell>
        </row>
        <row r="2062">
          <cell r="C2062">
            <v>58165000</v>
          </cell>
          <cell r="E2062" t="str">
            <v>Other expenses</v>
          </cell>
          <cell r="F2062" t="str">
            <v>EAME</v>
          </cell>
          <cell r="G2062">
            <v>0</v>
          </cell>
          <cell r="K2062">
            <v>0</v>
          </cell>
        </row>
        <row r="2064">
          <cell r="E2064" t="str">
            <v>INTEREST AND FINANCE CHARGES - BANK CHARGES</v>
          </cell>
        </row>
        <row r="2065">
          <cell r="C2065">
            <v>58165015</v>
          </cell>
          <cell r="D2065" t="str">
            <v>GBGPC</v>
          </cell>
          <cell r="E2065" t="str">
            <v>Bank Guarantee Charges</v>
          </cell>
          <cell r="F2065" t="str">
            <v>EIBC</v>
          </cell>
          <cell r="G2065">
            <v>37731571.530000001</v>
          </cell>
          <cell r="K2065">
            <v>37731571.530000001</v>
          </cell>
        </row>
        <row r="2066">
          <cell r="C2066">
            <v>58165007</v>
          </cell>
          <cell r="D2066" t="str">
            <v>GBANK</v>
          </cell>
          <cell r="E2066" t="str">
            <v>Bank Charges</v>
          </cell>
          <cell r="F2066" t="str">
            <v>EIBC</v>
          </cell>
          <cell r="G2066">
            <v>335352.59999999998</v>
          </cell>
          <cell r="K2066">
            <v>335352.59999999998</v>
          </cell>
        </row>
        <row r="2067">
          <cell r="C2067">
            <v>24710802</v>
          </cell>
          <cell r="E2067" t="str">
            <v>UTI BANK (INTEGRATION CHARGES)</v>
          </cell>
          <cell r="F2067" t="str">
            <v>EIBC</v>
          </cell>
          <cell r="G2067">
            <v>0</v>
          </cell>
          <cell r="K2067">
            <v>0</v>
          </cell>
        </row>
        <row r="2069">
          <cell r="E2069" t="str">
            <v>INTEREST ON INTER CORPORATE DEPOSIT</v>
          </cell>
        </row>
        <row r="2070">
          <cell r="C2070">
            <v>56000003</v>
          </cell>
          <cell r="E2070" t="str">
            <v>Interest On Corporate Deposits</v>
          </cell>
          <cell r="F2070" t="str">
            <v>EIICD</v>
          </cell>
          <cell r="G2070">
            <v>7738735</v>
          </cell>
          <cell r="K2070">
            <v>7738735</v>
          </cell>
        </row>
        <row r="2072">
          <cell r="E2072" t="str">
            <v>INTERETS ON OTHER LOANS</v>
          </cell>
        </row>
        <row r="2073">
          <cell r="C2073">
            <v>50100213</v>
          </cell>
          <cell r="E2073" t="str">
            <v>Interest on CitiCorp Finance Ltd.</v>
          </cell>
          <cell r="F2073" t="str">
            <v>EIOL</v>
          </cell>
          <cell r="G2073">
            <v>0</v>
          </cell>
          <cell r="K2073">
            <v>0</v>
          </cell>
        </row>
        <row r="2076">
          <cell r="E2076" t="str">
            <v>INTEREST ON TAXES</v>
          </cell>
        </row>
        <row r="2077">
          <cell r="C2077">
            <v>56000015</v>
          </cell>
          <cell r="E2077" t="str">
            <v>Interest On Income Tax</v>
          </cell>
          <cell r="F2077" t="str">
            <v>EIIT</v>
          </cell>
          <cell r="G2077">
            <v>0</v>
          </cell>
          <cell r="K2077">
            <v>0</v>
          </cell>
        </row>
        <row r="2078">
          <cell r="C2078">
            <v>56000108</v>
          </cell>
          <cell r="E2078" t="str">
            <v>Interest On FBT</v>
          </cell>
          <cell r="F2078" t="str">
            <v>EIIT</v>
          </cell>
          <cell r="G2078">
            <v>0</v>
          </cell>
          <cell r="K2078">
            <v>0</v>
          </cell>
        </row>
        <row r="2080">
          <cell r="E2080" t="str">
            <v>INTEREST ON BANK OVERDRAFT</v>
          </cell>
        </row>
        <row r="2081">
          <cell r="C2081">
            <v>58242016</v>
          </cell>
          <cell r="E2081" t="str">
            <v>Interest on Bank OD</v>
          </cell>
          <cell r="F2081" t="str">
            <v>EIBOD</v>
          </cell>
          <cell r="G2081">
            <v>3342390.34</v>
          </cell>
          <cell r="K2081">
            <v>3342390.34</v>
          </cell>
        </row>
        <row r="2083">
          <cell r="E2083" t="str">
            <v>INTEREST ON WORKING CAPITAL LOAN</v>
          </cell>
        </row>
        <row r="2084">
          <cell r="C2084">
            <v>56000017</v>
          </cell>
          <cell r="D2084" t="str">
            <v>GE0015</v>
          </cell>
          <cell r="E2084" t="str">
            <v>Interest Paid</v>
          </cell>
          <cell r="F2084" t="str">
            <v>EIWCL</v>
          </cell>
          <cell r="G2084">
            <v>30493446.68</v>
          </cell>
          <cell r="K2084">
            <v>30493446.68</v>
          </cell>
        </row>
        <row r="2086">
          <cell r="E2086" t="str">
            <v>INTEREST ON VEHICLE LOANS</v>
          </cell>
        </row>
        <row r="2087">
          <cell r="C2087">
            <v>56000176</v>
          </cell>
          <cell r="E2087" t="str">
            <v>INTEREST RAJIV RATTAN MERCEDES -S</v>
          </cell>
          <cell r="F2087" t="str">
            <v>EIVL</v>
          </cell>
          <cell r="G2087">
            <v>136140</v>
          </cell>
          <cell r="K2087">
            <v>136140</v>
          </cell>
        </row>
        <row r="2088">
          <cell r="C2088">
            <v>56000187</v>
          </cell>
          <cell r="E2088" t="str">
            <v>INTEREST GURBANS SINGH MERCEDES -C</v>
          </cell>
          <cell r="F2088" t="str">
            <v>EIVL</v>
          </cell>
          <cell r="G2088">
            <v>85138</v>
          </cell>
          <cell r="K2088">
            <v>85138</v>
          </cell>
        </row>
        <row r="2089">
          <cell r="C2089">
            <v>56000169</v>
          </cell>
          <cell r="E2089" t="str">
            <v>INTEREST MERCEDES C TEJINDERPAL SINGH MIGLANI</v>
          </cell>
          <cell r="F2089" t="str">
            <v>EIVL</v>
          </cell>
          <cell r="G2089">
            <v>60173</v>
          </cell>
          <cell r="K2089">
            <v>60173</v>
          </cell>
        </row>
        <row r="2090">
          <cell r="C2090">
            <v>56000154</v>
          </cell>
          <cell r="E2090" t="str">
            <v>INTEREST MERCEDES NEW DIVYESH SHAH</v>
          </cell>
          <cell r="F2090" t="str">
            <v>EIVL</v>
          </cell>
          <cell r="G2090">
            <v>40017</v>
          </cell>
          <cell r="K2090">
            <v>40017</v>
          </cell>
        </row>
        <row r="2091">
          <cell r="C2091">
            <v>50100216</v>
          </cell>
          <cell r="E2091" t="str">
            <v>INTEREST ANURAG OHRI HONDA CIVIC</v>
          </cell>
          <cell r="F2091" t="str">
            <v>EIVL</v>
          </cell>
          <cell r="G2091">
            <v>39724</v>
          </cell>
          <cell r="K2091">
            <v>39724</v>
          </cell>
        </row>
        <row r="2092">
          <cell r="C2092">
            <v>56000041</v>
          </cell>
          <cell r="D2092" t="str">
            <v>GINT06</v>
          </cell>
          <cell r="E2092" t="str">
            <v>Interest Rajiv Rattan Mercedez</v>
          </cell>
          <cell r="F2092" t="str">
            <v>EIVL</v>
          </cell>
          <cell r="G2092">
            <v>30441</v>
          </cell>
          <cell r="K2092">
            <v>30441</v>
          </cell>
        </row>
        <row r="2093">
          <cell r="C2093">
            <v>56000184</v>
          </cell>
          <cell r="E2093" t="str">
            <v>INTEREST RITESH BHARGAVA HONDA CIVIC</v>
          </cell>
          <cell r="F2093" t="str">
            <v>EIVL</v>
          </cell>
          <cell r="G2093">
            <v>34202</v>
          </cell>
          <cell r="K2093">
            <v>34202</v>
          </cell>
        </row>
        <row r="2094">
          <cell r="C2094">
            <v>56000175</v>
          </cell>
          <cell r="E2094" t="str">
            <v>INTEREST MANOJ SRIVASTAVA/HEEMANSU KAMDAR HONDA CI</v>
          </cell>
          <cell r="F2094" t="str">
            <v>EIVL</v>
          </cell>
          <cell r="G2094">
            <v>30762</v>
          </cell>
          <cell r="K2094">
            <v>30762</v>
          </cell>
        </row>
        <row r="2095">
          <cell r="C2095">
            <v>50100124</v>
          </cell>
          <cell r="E2095" t="str">
            <v>INTEREST HONDA CIVIC VIKAS SAXENA</v>
          </cell>
          <cell r="F2095" t="str">
            <v>EIVL</v>
          </cell>
          <cell r="G2095">
            <v>28656</v>
          </cell>
          <cell r="K2095">
            <v>28656</v>
          </cell>
        </row>
        <row r="2096">
          <cell r="C2096">
            <v>56000018</v>
          </cell>
          <cell r="D2096" t="str">
            <v>GINTME</v>
          </cell>
          <cell r="E2096" t="str">
            <v>Interest Divyesh Shah Mercedez</v>
          </cell>
          <cell r="F2096" t="str">
            <v>EIVL</v>
          </cell>
          <cell r="G2096">
            <v>27167</v>
          </cell>
          <cell r="K2096">
            <v>27167</v>
          </cell>
        </row>
        <row r="2097">
          <cell r="C2097">
            <v>56000091</v>
          </cell>
          <cell r="E2097" t="str">
            <v>Interest Ashok Sharma Honda Civic</v>
          </cell>
          <cell r="F2097" t="str">
            <v>EIVL</v>
          </cell>
          <cell r="G2097">
            <v>22640</v>
          </cell>
          <cell r="K2097">
            <v>22640</v>
          </cell>
        </row>
        <row r="2098">
          <cell r="C2098">
            <v>50100225</v>
          </cell>
          <cell r="E2098" t="str">
            <v>INTEREST HONDA CITY TEJINDERPAL SINGH MIGLANI</v>
          </cell>
          <cell r="F2098" t="str">
            <v>EIVL</v>
          </cell>
          <cell r="G2098">
            <v>26055</v>
          </cell>
          <cell r="K2098">
            <v>26055</v>
          </cell>
        </row>
        <row r="2099">
          <cell r="C2099">
            <v>50100188</v>
          </cell>
          <cell r="E2099" t="str">
            <v>INTEREST VIKAS SACHDEVA HONDA CITY</v>
          </cell>
          <cell r="F2099" t="str">
            <v>EIVL</v>
          </cell>
          <cell r="G2099">
            <v>24496</v>
          </cell>
          <cell r="K2099">
            <v>24496</v>
          </cell>
        </row>
        <row r="2100">
          <cell r="C2100">
            <v>50100214</v>
          </cell>
          <cell r="E2100" t="str">
            <v>INTEREST KUNAL NAGPAL HONDA CITY</v>
          </cell>
          <cell r="F2100" t="str">
            <v>EIVL</v>
          </cell>
          <cell r="G2100">
            <v>24901</v>
          </cell>
          <cell r="K2100">
            <v>24901</v>
          </cell>
        </row>
        <row r="2101">
          <cell r="C2101">
            <v>50100186</v>
          </cell>
          <cell r="E2101" t="str">
            <v>INTEREST SANJEEV KASHYAP HONDA CITY</v>
          </cell>
          <cell r="F2101" t="str">
            <v>EIVL</v>
          </cell>
          <cell r="G2101">
            <v>23619</v>
          </cell>
          <cell r="K2101">
            <v>23619</v>
          </cell>
        </row>
        <row r="2102">
          <cell r="C2102">
            <v>50100210</v>
          </cell>
          <cell r="E2102" t="str">
            <v>INTEREST KARTIK BHATT FORD FIESTA</v>
          </cell>
          <cell r="F2102" t="str">
            <v>EIVL</v>
          </cell>
          <cell r="G2102">
            <v>20513</v>
          </cell>
          <cell r="K2102">
            <v>20513</v>
          </cell>
        </row>
        <row r="2103">
          <cell r="C2103">
            <v>58242026</v>
          </cell>
          <cell r="E2103" t="str">
            <v>INTEREST HONDA CITY SHWETA KAJARIA</v>
          </cell>
          <cell r="F2103" t="str">
            <v>EIVL</v>
          </cell>
          <cell r="G2103">
            <v>18251</v>
          </cell>
          <cell r="K2103">
            <v>18251</v>
          </cell>
        </row>
        <row r="2104">
          <cell r="C2104">
            <v>58242028</v>
          </cell>
          <cell r="E2104" t="str">
            <v>INTEREST FORD FIESTA SANJAY GROVER</v>
          </cell>
          <cell r="F2104" t="str">
            <v>EIVL</v>
          </cell>
          <cell r="G2104">
            <v>17183</v>
          </cell>
          <cell r="K2104">
            <v>17183</v>
          </cell>
        </row>
        <row r="2105">
          <cell r="C2105">
            <v>56000161</v>
          </cell>
          <cell r="E2105" t="str">
            <v>INTEREST YASHWINDER SINGH HONDA CITY</v>
          </cell>
          <cell r="F2105" t="str">
            <v>EIVL</v>
          </cell>
          <cell r="G2105">
            <v>5638</v>
          </cell>
          <cell r="K2105">
            <v>5638</v>
          </cell>
        </row>
        <row r="2106">
          <cell r="C2106">
            <v>56000197</v>
          </cell>
          <cell r="E2106" t="str">
            <v>INTEREST HYUNDAI I 10 NIRDOSH GAUR</v>
          </cell>
          <cell r="F2106" t="str">
            <v>EIVL</v>
          </cell>
          <cell r="G2106">
            <v>18536</v>
          </cell>
          <cell r="K2106">
            <v>18536</v>
          </cell>
        </row>
        <row r="2107">
          <cell r="C2107">
            <v>58242005</v>
          </cell>
          <cell r="E2107" t="str">
            <v>Interest Honda City Ashu Khanna</v>
          </cell>
          <cell r="F2107" t="str">
            <v>EIVL</v>
          </cell>
          <cell r="G2107">
            <v>15079</v>
          </cell>
          <cell r="K2107">
            <v>15079</v>
          </cell>
        </row>
        <row r="2108">
          <cell r="C2108">
            <v>56000160</v>
          </cell>
          <cell r="E2108" t="str">
            <v>INTEREST SACHIN JAIN AVEO</v>
          </cell>
          <cell r="F2108" t="str">
            <v>EIVL</v>
          </cell>
          <cell r="G2108">
            <v>12791</v>
          </cell>
          <cell r="K2108">
            <v>12791</v>
          </cell>
        </row>
        <row r="2109">
          <cell r="C2109">
            <v>56000104</v>
          </cell>
          <cell r="D2109" t="str">
            <v>GIN73</v>
          </cell>
          <cell r="E2109" t="str">
            <v>Interest Sonata Parsenjit Mukharjee</v>
          </cell>
          <cell r="F2109" t="str">
            <v>EIVL</v>
          </cell>
          <cell r="G2109">
            <v>7496</v>
          </cell>
          <cell r="K2109">
            <v>7496</v>
          </cell>
        </row>
        <row r="2110">
          <cell r="C2110">
            <v>56000101</v>
          </cell>
          <cell r="D2110" t="str">
            <v>GIN82</v>
          </cell>
          <cell r="E2110" t="str">
            <v>Interest Sudhir Kumar Jha Honda Civic</v>
          </cell>
          <cell r="F2110" t="str">
            <v>EIVL</v>
          </cell>
          <cell r="G2110">
            <v>8130</v>
          </cell>
          <cell r="K2110">
            <v>8130</v>
          </cell>
        </row>
        <row r="2111">
          <cell r="C2111">
            <v>56000142</v>
          </cell>
          <cell r="D2111" t="str">
            <v>GIN91</v>
          </cell>
          <cell r="E2111" t="str">
            <v>INTEREST HONDA CITY MANOJ SRIVASTAVA</v>
          </cell>
          <cell r="F2111" t="str">
            <v>EIVL</v>
          </cell>
          <cell r="G2111">
            <v>8713</v>
          </cell>
          <cell r="K2111">
            <v>8713</v>
          </cell>
        </row>
        <row r="2112">
          <cell r="C2112">
            <v>56000182</v>
          </cell>
          <cell r="E2112" t="str">
            <v>INTEREST JEETENDRA SHARMA SANTRO</v>
          </cell>
          <cell r="F2112" t="str">
            <v>EIVL</v>
          </cell>
          <cell r="G2112">
            <v>9743</v>
          </cell>
          <cell r="K2112">
            <v>9743</v>
          </cell>
        </row>
        <row r="2113">
          <cell r="C2113">
            <v>56000062</v>
          </cell>
          <cell r="D2113" t="str">
            <v>GINT71</v>
          </cell>
          <cell r="E2113" t="str">
            <v>Interest Rajat Sharma Honda Civic</v>
          </cell>
          <cell r="F2113" t="str">
            <v>EIVL</v>
          </cell>
          <cell r="G2113">
            <v>4405</v>
          </cell>
          <cell r="K2113">
            <v>4405</v>
          </cell>
        </row>
        <row r="2114">
          <cell r="C2114">
            <v>56000143</v>
          </cell>
          <cell r="D2114" t="str">
            <v>GINT58</v>
          </cell>
          <cell r="E2114" t="str">
            <v>INTEREST VANESH PANCHAL HONDA CIVIC</v>
          </cell>
          <cell r="F2114" t="str">
            <v>EIVL</v>
          </cell>
          <cell r="G2114">
            <v>4645</v>
          </cell>
          <cell r="K2114">
            <v>4645</v>
          </cell>
        </row>
        <row r="2115">
          <cell r="C2115">
            <v>56000063</v>
          </cell>
          <cell r="D2115" t="str">
            <v>GINT70</v>
          </cell>
          <cell r="E2115" t="str">
            <v>Interest Ravi Ayier Honda Civic</v>
          </cell>
          <cell r="F2115" t="str">
            <v>EIVL</v>
          </cell>
          <cell r="G2115">
            <v>4368</v>
          </cell>
          <cell r="K2115">
            <v>4368</v>
          </cell>
        </row>
        <row r="2116">
          <cell r="C2116">
            <v>56000162</v>
          </cell>
          <cell r="E2116" t="str">
            <v>INTEREST SEEMA SHUKLA WAGON R</v>
          </cell>
          <cell r="F2116" t="str">
            <v>EIVL</v>
          </cell>
          <cell r="G2116">
            <v>7693</v>
          </cell>
          <cell r="K2116">
            <v>7693</v>
          </cell>
        </row>
        <row r="2117">
          <cell r="C2117">
            <v>56000155</v>
          </cell>
          <cell r="E2117" t="str">
            <v>INTEREST FORD ICON ANSHUL AGARWAL</v>
          </cell>
          <cell r="F2117" t="str">
            <v>EIVL</v>
          </cell>
          <cell r="G2117">
            <v>7272</v>
          </cell>
          <cell r="K2117">
            <v>7272</v>
          </cell>
        </row>
        <row r="2118">
          <cell r="C2118">
            <v>56000158</v>
          </cell>
          <cell r="E2118" t="str">
            <v>INTEREST SWIFT SOURAV AGRWAL</v>
          </cell>
          <cell r="F2118" t="str">
            <v>EIVL</v>
          </cell>
          <cell r="G2118">
            <v>7171</v>
          </cell>
          <cell r="K2118">
            <v>7171</v>
          </cell>
        </row>
        <row r="2119">
          <cell r="C2119">
            <v>56000146</v>
          </cell>
          <cell r="D2119" t="str">
            <v>GIN86</v>
          </cell>
          <cell r="E2119" t="str">
            <v>INTEREST FORD ICON BHAVIK SHAH</v>
          </cell>
          <cell r="F2119" t="str">
            <v>EIVL</v>
          </cell>
          <cell r="G2119">
            <v>6379</v>
          </cell>
          <cell r="K2119">
            <v>6379</v>
          </cell>
        </row>
        <row r="2120">
          <cell r="C2120">
            <v>58242006</v>
          </cell>
          <cell r="E2120" t="str">
            <v>Interest Zen Estilo Ajay Nishant</v>
          </cell>
          <cell r="F2120" t="str">
            <v>EIVL</v>
          </cell>
          <cell r="G2120">
            <v>7474</v>
          </cell>
          <cell r="K2120">
            <v>7474</v>
          </cell>
        </row>
        <row r="2121">
          <cell r="C2121">
            <v>56000165</v>
          </cell>
          <cell r="E2121" t="str">
            <v>INTEREST SANTRO RAJESH TALWAR</v>
          </cell>
          <cell r="F2121" t="str">
            <v>EIVL</v>
          </cell>
          <cell r="G2121">
            <v>7357</v>
          </cell>
          <cell r="K2121">
            <v>7357</v>
          </cell>
        </row>
        <row r="2122">
          <cell r="C2122">
            <v>56000100</v>
          </cell>
          <cell r="E2122" t="str">
            <v>Interest Anil Mittal Honda City</v>
          </cell>
          <cell r="F2122" t="str">
            <v>EIVL</v>
          </cell>
          <cell r="G2122">
            <v>5606</v>
          </cell>
          <cell r="K2122">
            <v>5606</v>
          </cell>
        </row>
        <row r="2123">
          <cell r="C2123">
            <v>56000159</v>
          </cell>
          <cell r="E2123" t="str">
            <v>INTEREST WAGON R SACHIN MAHESWARI</v>
          </cell>
          <cell r="F2123" t="str">
            <v>EIVL</v>
          </cell>
          <cell r="G2123">
            <v>6316</v>
          </cell>
          <cell r="K2123">
            <v>6316</v>
          </cell>
        </row>
        <row r="2124">
          <cell r="C2124">
            <v>56000157</v>
          </cell>
          <cell r="E2124" t="str">
            <v>INTEREST ZEN VXI SANJEEV KUMAR CHAUBEY</v>
          </cell>
          <cell r="F2124" t="str">
            <v>EIVL</v>
          </cell>
          <cell r="G2124">
            <v>6211</v>
          </cell>
          <cell r="K2124">
            <v>6211</v>
          </cell>
        </row>
        <row r="2125">
          <cell r="C2125">
            <v>56000153</v>
          </cell>
          <cell r="E2125" t="str">
            <v>INTEREST SWIFT RITESH BUDDHDEV</v>
          </cell>
          <cell r="F2125" t="str">
            <v>EIVL</v>
          </cell>
          <cell r="G2125">
            <v>5443</v>
          </cell>
          <cell r="K2125">
            <v>5443</v>
          </cell>
        </row>
        <row r="2126">
          <cell r="C2126">
            <v>56000150</v>
          </cell>
          <cell r="D2126" t="str">
            <v>GIN95</v>
          </cell>
          <cell r="E2126" t="str">
            <v>INTEREST SWIFT REEMA KAPOOR</v>
          </cell>
          <cell r="F2126" t="str">
            <v>EIVL</v>
          </cell>
          <cell r="G2126">
            <v>5091</v>
          </cell>
          <cell r="K2126">
            <v>5091</v>
          </cell>
        </row>
        <row r="2127">
          <cell r="C2127">
            <v>56000102</v>
          </cell>
          <cell r="D2127" t="str">
            <v>GIN85</v>
          </cell>
          <cell r="E2127" t="str">
            <v>Interest Subhkanta Mohanty Accent</v>
          </cell>
          <cell r="F2127" t="str">
            <v>EIVL</v>
          </cell>
          <cell r="G2127">
            <v>4047</v>
          </cell>
          <cell r="K2127">
            <v>4047</v>
          </cell>
        </row>
        <row r="2128">
          <cell r="C2128">
            <v>56000149</v>
          </cell>
          <cell r="D2128" t="str">
            <v>GIN90</v>
          </cell>
          <cell r="E2128" t="str">
            <v>INTEREST SANTRO PARTH RAJPUT</v>
          </cell>
          <cell r="F2128" t="str">
            <v>EIVL</v>
          </cell>
          <cell r="G2128">
            <v>4560</v>
          </cell>
          <cell r="K2128">
            <v>4560</v>
          </cell>
        </row>
        <row r="2129">
          <cell r="C2129">
            <v>56000148</v>
          </cell>
          <cell r="D2129" t="str">
            <v>GIN87</v>
          </cell>
          <cell r="E2129" t="str">
            <v>INTEREST WAGON R SUJEET RAY CHOWDHURY</v>
          </cell>
          <cell r="F2129" t="str">
            <v>EIVL</v>
          </cell>
          <cell r="G2129">
            <v>4560</v>
          </cell>
          <cell r="K2129">
            <v>4560</v>
          </cell>
        </row>
        <row r="2130">
          <cell r="C2130">
            <v>56000074</v>
          </cell>
          <cell r="D2130" t="str">
            <v>GINT72</v>
          </cell>
          <cell r="E2130" t="str">
            <v>Interest Arjun Mehra Honda City</v>
          </cell>
          <cell r="F2130" t="str">
            <v>EIVL</v>
          </cell>
          <cell r="G2130">
            <v>3087</v>
          </cell>
          <cell r="K2130">
            <v>3087</v>
          </cell>
        </row>
        <row r="2131">
          <cell r="C2131">
            <v>56000145</v>
          </cell>
          <cell r="D2131" t="str">
            <v>GIN88</v>
          </cell>
          <cell r="E2131" t="str">
            <v>INTEREST SANTRO PATHIK CHOKSHI</v>
          </cell>
          <cell r="F2131" t="str">
            <v>EIVL</v>
          </cell>
          <cell r="G2131">
            <v>4508</v>
          </cell>
          <cell r="K2131">
            <v>4508</v>
          </cell>
        </row>
        <row r="2132">
          <cell r="C2132">
            <v>56000037</v>
          </cell>
          <cell r="D2132" t="str">
            <v>GINT02</v>
          </cell>
          <cell r="E2132" t="str">
            <v>Interest Vipul Sharma Optra</v>
          </cell>
          <cell r="F2132" t="str">
            <v>EIVL</v>
          </cell>
          <cell r="G2132">
            <v>4894</v>
          </cell>
          <cell r="K2132">
            <v>4894</v>
          </cell>
        </row>
        <row r="2133">
          <cell r="C2133">
            <v>56000090</v>
          </cell>
          <cell r="D2133" t="str">
            <v>GINT78</v>
          </cell>
          <cell r="E2133" t="str">
            <v>Interest Deepak Singh Ford Icon</v>
          </cell>
          <cell r="F2133" t="str">
            <v>EIVL</v>
          </cell>
          <cell r="G2133">
            <v>3569</v>
          </cell>
          <cell r="K2133">
            <v>3569</v>
          </cell>
        </row>
        <row r="2134">
          <cell r="C2134">
            <v>56000152</v>
          </cell>
          <cell r="D2134" t="str">
            <v>GIN93</v>
          </cell>
          <cell r="E2134" t="str">
            <v>INTEREST TATA INDICA NEERAJ BAJAJ</v>
          </cell>
          <cell r="F2134" t="str">
            <v>EIVL</v>
          </cell>
          <cell r="G2134">
            <v>4318</v>
          </cell>
          <cell r="K2134">
            <v>4318</v>
          </cell>
        </row>
        <row r="2135">
          <cell r="C2135">
            <v>56000042</v>
          </cell>
          <cell r="D2135" t="str">
            <v>GINT07</v>
          </cell>
          <cell r="E2135" t="str">
            <v>Interest Honda City Vijay Babbar</v>
          </cell>
          <cell r="F2135" t="str">
            <v>EIVL</v>
          </cell>
          <cell r="G2135">
            <v>3647</v>
          </cell>
          <cell r="K2135">
            <v>3647</v>
          </cell>
        </row>
        <row r="2136">
          <cell r="C2136">
            <v>56000052</v>
          </cell>
          <cell r="D2136" t="str">
            <v>GINIF</v>
          </cell>
          <cell r="E2136" t="str">
            <v>Interest Sudhir Kumar Ford Icon</v>
          </cell>
          <cell r="F2136" t="str">
            <v>EIVL</v>
          </cell>
          <cell r="G2136">
            <v>4106</v>
          </cell>
          <cell r="K2136">
            <v>4106</v>
          </cell>
        </row>
        <row r="2137">
          <cell r="C2137">
            <v>56000043</v>
          </cell>
          <cell r="D2137" t="str">
            <v>GINT08</v>
          </cell>
          <cell r="E2137" t="str">
            <v>Interest Prasenjeet Mukherjee Honda City</v>
          </cell>
          <cell r="F2137" t="str">
            <v>EIVL</v>
          </cell>
          <cell r="G2137">
            <v>3487</v>
          </cell>
          <cell r="K2137">
            <v>3487</v>
          </cell>
        </row>
        <row r="2138">
          <cell r="C2138">
            <v>56000040</v>
          </cell>
          <cell r="D2138" t="str">
            <v>GINT05</v>
          </cell>
          <cell r="E2138" t="str">
            <v>Interest Nirdosh Gaur Honda City</v>
          </cell>
          <cell r="F2138" t="str">
            <v>EIVL</v>
          </cell>
          <cell r="G2138">
            <v>3002</v>
          </cell>
          <cell r="K2138">
            <v>3002</v>
          </cell>
        </row>
        <row r="2139">
          <cell r="C2139">
            <v>56000038</v>
          </cell>
          <cell r="D2139" t="str">
            <v>GINT03</v>
          </cell>
          <cell r="E2139" t="str">
            <v>Interest Gupta Maruti Esteem</v>
          </cell>
          <cell r="F2139" t="str">
            <v>EIVL</v>
          </cell>
          <cell r="G2139">
            <v>3051</v>
          </cell>
          <cell r="K2139">
            <v>3051</v>
          </cell>
        </row>
        <row r="2140">
          <cell r="C2140">
            <v>56000105</v>
          </cell>
          <cell r="D2140" t="str">
            <v>GIN76</v>
          </cell>
          <cell r="E2140" t="str">
            <v>Interest Wagon R Govind Parjapati</v>
          </cell>
          <cell r="F2140" t="str">
            <v>EIVL</v>
          </cell>
          <cell r="G2140">
            <v>2019</v>
          </cell>
          <cell r="K2140">
            <v>2019</v>
          </cell>
        </row>
        <row r="2141">
          <cell r="C2141">
            <v>56000039</v>
          </cell>
          <cell r="D2141" t="str">
            <v>GINT04</v>
          </cell>
          <cell r="E2141" t="str">
            <v>Interest Heemanshu Kamdar Hyundai Accent</v>
          </cell>
          <cell r="F2141" t="str">
            <v>EIVL</v>
          </cell>
          <cell r="G2141">
            <v>2697</v>
          </cell>
          <cell r="K2141">
            <v>2697</v>
          </cell>
        </row>
        <row r="2142">
          <cell r="C2142">
            <v>56000099</v>
          </cell>
          <cell r="D2142" t="str">
            <v>GIN79</v>
          </cell>
          <cell r="E2142" t="str">
            <v>Interest Dashmeet Bhatia Wagon R</v>
          </cell>
          <cell r="F2142" t="str">
            <v>EIVL</v>
          </cell>
          <cell r="G2142">
            <v>811</v>
          </cell>
          <cell r="K2142">
            <v>811</v>
          </cell>
        </row>
        <row r="2143">
          <cell r="C2143">
            <v>56000144</v>
          </cell>
          <cell r="D2143" t="str">
            <v>GIN74</v>
          </cell>
          <cell r="E2143" t="str">
            <v>INTEREST ALTO LX J.S. DINESH</v>
          </cell>
          <cell r="F2143" t="str">
            <v>EIVL</v>
          </cell>
          <cell r="G2143">
            <v>1520</v>
          </cell>
          <cell r="K2143">
            <v>1520</v>
          </cell>
        </row>
        <row r="2144">
          <cell r="C2144">
            <v>56000055</v>
          </cell>
          <cell r="D2144" t="str">
            <v>GINT47</v>
          </cell>
          <cell r="E2144" t="str">
            <v>Interest Manish Sahijwani Honda City</v>
          </cell>
          <cell r="F2144" t="str">
            <v>EIVL</v>
          </cell>
          <cell r="G2144">
            <v>623</v>
          </cell>
          <cell r="K2144">
            <v>623</v>
          </cell>
        </row>
        <row r="2145">
          <cell r="C2145">
            <v>56000057</v>
          </cell>
          <cell r="D2145" t="str">
            <v>GINT54</v>
          </cell>
          <cell r="E2145" t="str">
            <v>Interest Harshvardhan Honda City</v>
          </cell>
          <cell r="F2145" t="str">
            <v>EIVL</v>
          </cell>
          <cell r="G2145">
            <v>673</v>
          </cell>
          <cell r="K2145">
            <v>673</v>
          </cell>
        </row>
        <row r="2146">
          <cell r="C2146">
            <v>56000058</v>
          </cell>
          <cell r="D2146" t="str">
            <v>GINT55</v>
          </cell>
          <cell r="E2146" t="str">
            <v>Interest Mumbai Office Accent</v>
          </cell>
          <cell r="F2146" t="str">
            <v>EIVL</v>
          </cell>
          <cell r="G2146">
            <v>564</v>
          </cell>
          <cell r="K2146">
            <v>564</v>
          </cell>
        </row>
        <row r="2147">
          <cell r="C2147">
            <v>56000093</v>
          </cell>
          <cell r="D2147" t="str">
            <v>GIOO46</v>
          </cell>
          <cell r="E2147" t="str">
            <v>Interest Malay Shah Accent</v>
          </cell>
          <cell r="F2147" t="str">
            <v>EIVL</v>
          </cell>
          <cell r="G2147">
            <v>170</v>
          </cell>
          <cell r="K2147">
            <v>170</v>
          </cell>
        </row>
        <row r="2148">
          <cell r="C2148">
            <v>56000089</v>
          </cell>
          <cell r="D2148" t="str">
            <v>GINT44</v>
          </cell>
          <cell r="E2148" t="str">
            <v>Interest Mukul Mahajan Tata Safari</v>
          </cell>
          <cell r="F2148" t="str">
            <v>EIVL</v>
          </cell>
          <cell r="G2148">
            <v>66</v>
          </cell>
          <cell r="K2148">
            <v>66</v>
          </cell>
        </row>
        <row r="2149">
          <cell r="C2149">
            <v>56000077</v>
          </cell>
          <cell r="D2149" t="str">
            <v>GINT43</v>
          </cell>
          <cell r="E2149" t="str">
            <v>Interest Ravichandran Accent Gle</v>
          </cell>
          <cell r="F2149" t="str">
            <v>EIVL</v>
          </cell>
          <cell r="G2149">
            <v>44</v>
          </cell>
          <cell r="K2149">
            <v>44</v>
          </cell>
        </row>
        <row r="2150">
          <cell r="C2150">
            <v>56000019</v>
          </cell>
          <cell r="D2150" t="str">
            <v>GI0039</v>
          </cell>
          <cell r="E2150" t="str">
            <v>Interest Joseph P. Abraham Aveo</v>
          </cell>
          <cell r="F2150" t="str">
            <v>EIVL</v>
          </cell>
          <cell r="G2150">
            <v>19</v>
          </cell>
          <cell r="K2150">
            <v>19</v>
          </cell>
        </row>
        <row r="2151">
          <cell r="C2151">
            <v>56000080</v>
          </cell>
          <cell r="D2151" t="str">
            <v>GINT38</v>
          </cell>
          <cell r="E2151" t="str">
            <v>Interest Ujjwal Das Santro Xo</v>
          </cell>
          <cell r="F2151" t="str">
            <v>EIVL</v>
          </cell>
          <cell r="G2151">
            <v>15</v>
          </cell>
          <cell r="K2151">
            <v>15</v>
          </cell>
        </row>
        <row r="2152">
          <cell r="C2152">
            <v>56000075</v>
          </cell>
          <cell r="D2152" t="str">
            <v>GINT51</v>
          </cell>
          <cell r="E2152" t="str">
            <v>Interest Binay Santro Xo</v>
          </cell>
          <cell r="F2152" t="str">
            <v>EIVL</v>
          </cell>
          <cell r="G2152">
            <v>13</v>
          </cell>
          <cell r="K2152">
            <v>13</v>
          </cell>
        </row>
        <row r="2153">
          <cell r="C2153">
            <v>56000072</v>
          </cell>
          <cell r="D2153" t="str">
            <v>GIN37</v>
          </cell>
          <cell r="E2153" t="str">
            <v>Interest Dharmendra Sethia Santro</v>
          </cell>
          <cell r="F2153" t="str">
            <v>EIVL</v>
          </cell>
          <cell r="G2153">
            <v>13</v>
          </cell>
          <cell r="K2153">
            <v>13</v>
          </cell>
        </row>
        <row r="2154">
          <cell r="C2154">
            <v>56000076</v>
          </cell>
          <cell r="D2154" t="str">
            <v>GINT50</v>
          </cell>
          <cell r="E2154" t="str">
            <v>Interest Manoj Bajaj Santro</v>
          </cell>
          <cell r="F2154" t="str">
            <v>EIVL</v>
          </cell>
          <cell r="G2154">
            <v>13</v>
          </cell>
          <cell r="K2154">
            <v>13</v>
          </cell>
        </row>
        <row r="2155">
          <cell r="C2155">
            <v>62100061</v>
          </cell>
          <cell r="E2155" t="str">
            <v>Interest on Car Loans</v>
          </cell>
          <cell r="F2155" t="str">
            <v>EIVL</v>
          </cell>
          <cell r="G2155">
            <v>0</v>
          </cell>
          <cell r="K2155">
            <v>0</v>
          </cell>
        </row>
        <row r="2157">
          <cell r="E2157" t="str">
            <v>DISCOUNT ON COMMERCIAL PAPER</v>
          </cell>
        </row>
        <row r="2158">
          <cell r="C2158">
            <v>56000002</v>
          </cell>
          <cell r="E2158" t="str">
            <v>Interest On Commercial Paper</v>
          </cell>
          <cell r="F2158" t="str">
            <v>EICP</v>
          </cell>
          <cell r="G2158">
            <v>34237936</v>
          </cell>
          <cell r="K2158">
            <v>34237936</v>
          </cell>
        </row>
        <row r="2160">
          <cell r="E2160" t="str">
            <v>BS - DEFERRED TAX</v>
          </cell>
        </row>
        <row r="2161">
          <cell r="C2161">
            <v>14890384</v>
          </cell>
          <cell r="D2161" t="str">
            <v>GA1112</v>
          </cell>
          <cell r="E2161" t="str">
            <v>DEFFERED TAX-Liablities</v>
          </cell>
          <cell r="F2161" t="str">
            <v>DEXP</v>
          </cell>
          <cell r="G2161">
            <v>-11020599</v>
          </cell>
          <cell r="K2161">
            <v>-11020599</v>
          </cell>
        </row>
        <row r="2163">
          <cell r="E2163" t="str">
            <v>P&amp; L - DEPRECIATION</v>
          </cell>
        </row>
        <row r="2164">
          <cell r="C2164">
            <v>57200001</v>
          </cell>
          <cell r="E2164" t="str">
            <v>Depreciation - Computers</v>
          </cell>
          <cell r="F2164" t="str">
            <v>EDEP</v>
          </cell>
          <cell r="G2164">
            <v>40334099.439999998</v>
          </cell>
          <cell r="K2164">
            <v>40334099.439999998</v>
          </cell>
        </row>
        <row r="2165">
          <cell r="C2165">
            <v>57200002</v>
          </cell>
          <cell r="E2165" t="str">
            <v>Depreciation - Office Equipment</v>
          </cell>
          <cell r="F2165" t="str">
            <v>EDEP</v>
          </cell>
          <cell r="G2165">
            <v>7040453.46</v>
          </cell>
          <cell r="K2165">
            <v>7040453.46</v>
          </cell>
        </row>
        <row r="2166">
          <cell r="C2166">
            <v>57200003</v>
          </cell>
          <cell r="E2166" t="str">
            <v>Depreciation - Furnitures &amp; Fixtures</v>
          </cell>
          <cell r="F2166" t="str">
            <v>EDEP</v>
          </cell>
          <cell r="G2166">
            <v>7692080.0099999998</v>
          </cell>
          <cell r="K2166">
            <v>7692080.0099999998</v>
          </cell>
        </row>
        <row r="2167">
          <cell r="C2167">
            <v>57200004</v>
          </cell>
          <cell r="E2167" t="str">
            <v>Depreciation - Vehicles</v>
          </cell>
          <cell r="F2167" t="str">
            <v>EDEP</v>
          </cell>
          <cell r="G2167">
            <v>5202754.99</v>
          </cell>
          <cell r="K2167">
            <v>5202754.99</v>
          </cell>
        </row>
        <row r="2168">
          <cell r="C2168">
            <v>57200010</v>
          </cell>
          <cell r="E2168" t="str">
            <v>Depreciation - Software</v>
          </cell>
          <cell r="F2168" t="str">
            <v>EDEP</v>
          </cell>
          <cell r="G2168">
            <v>66695735.530000001</v>
          </cell>
          <cell r="K2168">
            <v>66695735.530000001</v>
          </cell>
        </row>
        <row r="2169">
          <cell r="C2169">
            <v>57200011</v>
          </cell>
          <cell r="E2169" t="str">
            <v>Depreciation - Membership Rights</v>
          </cell>
          <cell r="F2169" t="str">
            <v>EDEP</v>
          </cell>
          <cell r="G2169">
            <v>352073.97</v>
          </cell>
          <cell r="K2169">
            <v>352073.97</v>
          </cell>
        </row>
        <row r="2171">
          <cell r="E2171" t="str">
            <v>P&amp; L - CURRENT TAX</v>
          </cell>
        </row>
        <row r="2172">
          <cell r="C2172">
            <v>58030006</v>
          </cell>
          <cell r="D2172" t="str">
            <v>GETAX</v>
          </cell>
          <cell r="E2172" t="str">
            <v>Current Tax Exp</v>
          </cell>
          <cell r="F2172" t="str">
            <v>ECTAX</v>
          </cell>
          <cell r="G2172">
            <v>0</v>
          </cell>
          <cell r="K2172">
            <v>0</v>
          </cell>
        </row>
        <row r="2173">
          <cell r="C2173">
            <v>56000185</v>
          </cell>
          <cell r="E2173" t="str">
            <v>Wealth Tax Expenditure FY 2007-08</v>
          </cell>
          <cell r="F2173" t="str">
            <v>ECTAX</v>
          </cell>
          <cell r="G2173">
            <v>0</v>
          </cell>
          <cell r="K2173">
            <v>0</v>
          </cell>
        </row>
        <row r="2175">
          <cell r="E2175" t="str">
            <v>P&amp; L - DEFERRED TAX EXPENSE</v>
          </cell>
        </row>
        <row r="2176">
          <cell r="C2176">
            <v>50100275</v>
          </cell>
          <cell r="D2176" t="str">
            <v>GA1113</v>
          </cell>
          <cell r="E2176" t="str">
            <v>Deffered Tax FY (2008-09)</v>
          </cell>
          <cell r="F2176" t="str">
            <v>DTAX</v>
          </cell>
          <cell r="G2176">
            <v>0</v>
          </cell>
          <cell r="K2176">
            <v>0</v>
          </cell>
        </row>
        <row r="2177">
          <cell r="C2177">
            <v>58030023</v>
          </cell>
          <cell r="D2177" t="str">
            <v>GA1113</v>
          </cell>
          <cell r="E2177" t="str">
            <v>Deffered Tax FY (2007-08)</v>
          </cell>
          <cell r="F2177" t="str">
            <v>DTAX</v>
          </cell>
          <cell r="G2177">
            <v>0</v>
          </cell>
          <cell r="K2177">
            <v>0</v>
          </cell>
        </row>
        <row r="2179">
          <cell r="E2179" t="str">
            <v>P&amp; L - FRINGE BENEFIT TAX</v>
          </cell>
        </row>
        <row r="2180">
          <cell r="C2180">
            <v>50100274</v>
          </cell>
          <cell r="E2180" t="str">
            <v>FBT paid F.Y.08-09</v>
          </cell>
          <cell r="F2180" t="str">
            <v>FBT</v>
          </cell>
          <cell r="G2180">
            <v>0</v>
          </cell>
          <cell r="K2180">
            <v>0</v>
          </cell>
        </row>
        <row r="2181">
          <cell r="C2181">
            <v>58030009</v>
          </cell>
          <cell r="E2181" t="str">
            <v>Fringe Benifit Tax</v>
          </cell>
          <cell r="F2181" t="str">
            <v>FBT</v>
          </cell>
          <cell r="G2181">
            <v>0</v>
          </cell>
          <cell r="K2181">
            <v>0</v>
          </cell>
        </row>
        <row r="2183">
          <cell r="E2183" t="str">
            <v>PRIOR PERIOD ADJ. - TAXATION</v>
          </cell>
        </row>
        <row r="2184">
          <cell r="C2184">
            <v>58030026</v>
          </cell>
          <cell r="E2184" t="str">
            <v>TAX EXPENSES EARLIER YEARS</v>
          </cell>
          <cell r="F2184" t="str">
            <v>PTAXWB</v>
          </cell>
          <cell r="G2184">
            <v>0</v>
          </cell>
          <cell r="K2184">
            <v>0</v>
          </cell>
        </row>
        <row r="2186">
          <cell r="E2186" t="str">
            <v>APPROPRIATION - PREFERENCE DIVIDEND</v>
          </cell>
        </row>
        <row r="2187">
          <cell r="C2187">
            <v>61000001</v>
          </cell>
          <cell r="E2187" t="str">
            <v>Preference Dividend</v>
          </cell>
          <cell r="F2187" t="str">
            <v>EPD</v>
          </cell>
          <cell r="G2187">
            <v>1548328</v>
          </cell>
          <cell r="K2187">
            <v>1548328</v>
          </cell>
        </row>
        <row r="2190">
          <cell r="C2190">
            <v>58030010</v>
          </cell>
          <cell r="D2190" t="str">
            <v>GECDT</v>
          </cell>
          <cell r="E2190" t="str">
            <v>Corporate Dividend Tax</v>
          </cell>
          <cell r="F2190" t="str">
            <v>CDT</v>
          </cell>
          <cell r="G2190">
            <v>263139</v>
          </cell>
          <cell r="K2190">
            <v>263139</v>
          </cell>
        </row>
        <row r="2193">
          <cell r="C2193">
            <v>90000553</v>
          </cell>
          <cell r="E2193" t="str">
            <v>Initial Margin - F&amp;O - PRO</v>
          </cell>
          <cell r="F2193" t="str">
            <v>ADVAN</v>
          </cell>
          <cell r="G2193">
            <v>100000000</v>
          </cell>
          <cell r="K2193">
            <v>100000000</v>
          </cell>
        </row>
        <row r="2194">
          <cell r="C2194">
            <v>90000554</v>
          </cell>
          <cell r="E2194" t="str">
            <v>M to M Margin - ESF - PRO</v>
          </cell>
          <cell r="F2194" t="str">
            <v>ADVAN</v>
          </cell>
          <cell r="G2194">
            <v>890062.54</v>
          </cell>
          <cell r="K2194">
            <v>890062.54</v>
          </cell>
        </row>
        <row r="2195">
          <cell r="C2195">
            <v>24710828</v>
          </cell>
          <cell r="E2195" t="str">
            <v>BED Modvatable 8%</v>
          </cell>
          <cell r="F2195" t="str">
            <v>ADVAN</v>
          </cell>
          <cell r="G2195">
            <v>0</v>
          </cell>
          <cell r="K2195">
            <v>0</v>
          </cell>
        </row>
        <row r="2196">
          <cell r="C2196">
            <v>90000555</v>
          </cell>
          <cell r="E2196" t="str">
            <v>TATA Mutual Fund</v>
          </cell>
          <cell r="F2196" t="str">
            <v>ADEBT</v>
          </cell>
          <cell r="G2196">
            <v>0</v>
          </cell>
          <cell r="K2196">
            <v>0</v>
          </cell>
        </row>
        <row r="2207">
          <cell r="G2207">
            <v>0</v>
          </cell>
          <cell r="K2207">
            <v>1.0216608643531799E-6</v>
          </cell>
        </row>
      </sheetData>
      <sheetData sheetId="9"/>
      <sheetData sheetId="10" refreshError="1">
        <row r="1">
          <cell r="A1" t="str">
            <v>IBHFL - Employees Welfare Trust</v>
          </cell>
          <cell r="B1">
            <v>40155</v>
          </cell>
        </row>
        <row r="2">
          <cell r="A2" t="str">
            <v>Group Code</v>
          </cell>
          <cell r="B2" t="str">
            <v>Amount (Rs.)</v>
          </cell>
        </row>
        <row r="3">
          <cell r="A3" t="str">
            <v>Total</v>
          </cell>
          <cell r="B3">
            <v>1.4007091522216797E-6</v>
          </cell>
        </row>
        <row r="4">
          <cell r="A4" t="str">
            <v/>
          </cell>
          <cell r="B4" t="str">
            <v/>
          </cell>
        </row>
        <row r="5">
          <cell r="A5" t="str">
            <v>ABANK</v>
          </cell>
          <cell r="B5">
            <v>-186505910.30999997</v>
          </cell>
        </row>
        <row r="6">
          <cell r="A6" t="str">
            <v>ABANKC</v>
          </cell>
          <cell r="B6">
            <v>767192.8400000073</v>
          </cell>
        </row>
        <row r="7">
          <cell r="A7" t="str">
            <v>ABANKED</v>
          </cell>
          <cell r="B7">
            <v>4824990</v>
          </cell>
        </row>
        <row r="8">
          <cell r="A8" t="str">
            <v>ABANKS</v>
          </cell>
          <cell r="B8">
            <v>73262727.909999996</v>
          </cell>
        </row>
        <row r="9">
          <cell r="A9" t="str">
            <v>ACASH</v>
          </cell>
          <cell r="B9">
            <v>524107.60000000003</v>
          </cell>
        </row>
        <row r="10">
          <cell r="A10" t="str">
            <v>ADEBT</v>
          </cell>
          <cell r="B10">
            <v>-1841905860.2900002</v>
          </cell>
        </row>
        <row r="11">
          <cell r="A11" t="str">
            <v>ADEPO</v>
          </cell>
          <cell r="B11">
            <v>49768463</v>
          </cell>
        </row>
        <row r="12">
          <cell r="A12" t="str">
            <v>ADVAN</v>
          </cell>
          <cell r="B12">
            <v>216573033.78999999</v>
          </cell>
        </row>
        <row r="13">
          <cell r="A13" t="str">
            <v>AFDR</v>
          </cell>
          <cell r="B13">
            <v>4753620941.75</v>
          </cell>
        </row>
        <row r="14">
          <cell r="A14" t="str">
            <v>AINTA</v>
          </cell>
          <cell r="B14">
            <v>55993436.57</v>
          </cell>
        </row>
        <row r="15">
          <cell r="A15" t="str">
            <v>ASECO</v>
          </cell>
          <cell r="B15">
            <v>159478695.75</v>
          </cell>
        </row>
        <row r="16">
          <cell r="A16" t="str">
            <v>ASECUE</v>
          </cell>
          <cell r="B16">
            <v>1436404</v>
          </cell>
        </row>
        <row r="17">
          <cell r="A17" t="str">
            <v>ATDSA</v>
          </cell>
          <cell r="B17">
            <v>2432543783.5799999</v>
          </cell>
        </row>
        <row r="18">
          <cell r="A18" t="str">
            <v>AWIP</v>
          </cell>
          <cell r="B18">
            <v>0</v>
          </cell>
        </row>
        <row r="19">
          <cell r="A19" t="str">
            <v>CEQ</v>
          </cell>
          <cell r="B19">
            <v>-506839436</v>
          </cell>
        </row>
        <row r="20">
          <cell r="A20" t="str">
            <v>CPREF</v>
          </cell>
          <cell r="B20">
            <v>0</v>
          </cell>
        </row>
        <row r="21">
          <cell r="A21" t="str">
            <v>CDT</v>
          </cell>
          <cell r="B21">
            <v>263139</v>
          </cell>
        </row>
        <row r="22">
          <cell r="A22" t="str">
            <v>CRR</v>
          </cell>
          <cell r="B22">
            <v>-313078044</v>
          </cell>
        </row>
        <row r="23">
          <cell r="A23" t="str">
            <v>DEXP</v>
          </cell>
          <cell r="B23">
            <v>-11020599</v>
          </cell>
        </row>
        <row r="24">
          <cell r="A24" t="str">
            <v>DTAX</v>
          </cell>
          <cell r="B24">
            <v>0</v>
          </cell>
        </row>
        <row r="25">
          <cell r="A25" t="str">
            <v>EBD</v>
          </cell>
          <cell r="B25">
            <v>682283</v>
          </cell>
        </row>
        <row r="26">
          <cell r="A26" t="str">
            <v>EAAE</v>
          </cell>
          <cell r="B26">
            <v>17400</v>
          </cell>
        </row>
        <row r="27">
          <cell r="A27" t="str">
            <v>EABP</v>
          </cell>
          <cell r="B27">
            <v>767949.83</v>
          </cell>
        </row>
        <row r="28">
          <cell r="A28" t="str">
            <v>EACE</v>
          </cell>
          <cell r="B28">
            <v>46274767.310000002</v>
          </cell>
        </row>
        <row r="29">
          <cell r="A29" t="str">
            <v>ECONTI</v>
          </cell>
          <cell r="B29">
            <v>6364848.5800000001</v>
          </cell>
        </row>
        <row r="30">
          <cell r="A30" t="str">
            <v>EAEE</v>
          </cell>
          <cell r="B30">
            <v>14650757.34</v>
          </cell>
        </row>
        <row r="31">
          <cell r="A31" t="str">
            <v>EAFA</v>
          </cell>
          <cell r="B31">
            <v>13223816.98</v>
          </cell>
        </row>
        <row r="32">
          <cell r="A32" t="str">
            <v>EAIC</v>
          </cell>
          <cell r="B32">
            <v>352962.02</v>
          </cell>
        </row>
        <row r="33">
          <cell r="A33" t="str">
            <v>EAME</v>
          </cell>
          <cell r="B33">
            <v>195097.3</v>
          </cell>
        </row>
        <row r="34">
          <cell r="A34" t="str">
            <v>EAOM</v>
          </cell>
          <cell r="B34">
            <v>15990905.9</v>
          </cell>
        </row>
        <row r="35">
          <cell r="A35" t="str">
            <v>EAPC</v>
          </cell>
          <cell r="B35">
            <v>36828738.719999999</v>
          </cell>
        </row>
        <row r="36">
          <cell r="A36" t="str">
            <v>EAPS</v>
          </cell>
          <cell r="B36">
            <v>14992860.42</v>
          </cell>
        </row>
        <row r="37">
          <cell r="A37" t="str">
            <v>EARE</v>
          </cell>
          <cell r="B37">
            <v>83466971.50999999</v>
          </cell>
        </row>
        <row r="38">
          <cell r="A38" t="str">
            <v>EAREC</v>
          </cell>
          <cell r="B38">
            <v>156665.16</v>
          </cell>
        </row>
        <row r="39">
          <cell r="A39" t="str">
            <v>EARM</v>
          </cell>
          <cell r="B39">
            <v>25233085.870000001</v>
          </cell>
        </row>
        <row r="40">
          <cell r="A40" t="str">
            <v>EART</v>
          </cell>
          <cell r="B40">
            <v>2983120.98</v>
          </cell>
        </row>
        <row r="41">
          <cell r="A41" t="str">
            <v>EATC</v>
          </cell>
          <cell r="B41">
            <v>7371800.1300000008</v>
          </cell>
        </row>
        <row r="42">
          <cell r="A42" t="str">
            <v>ECTAX</v>
          </cell>
          <cell r="B42">
            <v>0</v>
          </cell>
        </row>
        <row r="43">
          <cell r="A43" t="str">
            <v>EDEP</v>
          </cell>
          <cell r="B43">
            <v>127317197.40000001</v>
          </cell>
        </row>
        <row r="44">
          <cell r="A44" t="str">
            <v>EEPF</v>
          </cell>
          <cell r="B44">
            <v>754023.24</v>
          </cell>
        </row>
        <row r="45">
          <cell r="A45" t="str">
            <v>EESE</v>
          </cell>
          <cell r="B45">
            <v>747138787.63999999</v>
          </cell>
        </row>
        <row r="46">
          <cell r="A46" t="str">
            <v>EESW</v>
          </cell>
          <cell r="B46">
            <v>9010829.3099999987</v>
          </cell>
        </row>
        <row r="47">
          <cell r="A47" t="str">
            <v>EIBC</v>
          </cell>
          <cell r="B47">
            <v>38066924.130000003</v>
          </cell>
        </row>
        <row r="48">
          <cell r="A48" t="str">
            <v>EIBOD</v>
          </cell>
          <cell r="B48">
            <v>3342390.34</v>
          </cell>
        </row>
        <row r="49">
          <cell r="A49" t="str">
            <v>EICP</v>
          </cell>
          <cell r="B49">
            <v>34237936</v>
          </cell>
        </row>
        <row r="50">
          <cell r="A50" t="str">
            <v>EIICD</v>
          </cell>
          <cell r="B50">
            <v>7738735</v>
          </cell>
        </row>
        <row r="51">
          <cell r="A51" t="str">
            <v>EIIT</v>
          </cell>
          <cell r="B51">
            <v>0</v>
          </cell>
        </row>
        <row r="52">
          <cell r="A52" t="str">
            <v>EIOL</v>
          </cell>
          <cell r="B52">
            <v>0</v>
          </cell>
        </row>
        <row r="53">
          <cell r="A53" t="str">
            <v>EIVL</v>
          </cell>
          <cell r="B53">
            <v>921731</v>
          </cell>
        </row>
        <row r="54">
          <cell r="A54" t="str">
            <v>EIWCL</v>
          </cell>
          <cell r="B54">
            <v>30493446.68</v>
          </cell>
        </row>
        <row r="55">
          <cell r="A55" t="str">
            <v>EOCB</v>
          </cell>
          <cell r="B55">
            <v>4082799.05</v>
          </cell>
        </row>
        <row r="56">
          <cell r="A56" t="str">
            <v>EOCE</v>
          </cell>
          <cell r="B56">
            <v>2057264.66</v>
          </cell>
        </row>
        <row r="57">
          <cell r="A57" t="str">
            <v>EODC</v>
          </cell>
          <cell r="B57">
            <v>0</v>
          </cell>
        </row>
        <row r="58">
          <cell r="A58" t="str">
            <v>EOLL</v>
          </cell>
          <cell r="B58">
            <v>20811299.399999999</v>
          </cell>
        </row>
        <row r="59">
          <cell r="A59" t="str">
            <v>EOM</v>
          </cell>
          <cell r="B59">
            <v>1189536.54</v>
          </cell>
        </row>
        <row r="60">
          <cell r="A60" t="str">
            <v>EONS</v>
          </cell>
          <cell r="B60">
            <v>11683741.710000001</v>
          </cell>
        </row>
        <row r="61">
          <cell r="A61" t="str">
            <v>EAUD</v>
          </cell>
          <cell r="B61">
            <v>0</v>
          </cell>
        </row>
        <row r="62">
          <cell r="A62" t="str">
            <v>EOSC</v>
          </cell>
          <cell r="B62">
            <v>3067538.39</v>
          </cell>
        </row>
        <row r="63">
          <cell r="A63" t="str">
            <v>EOSD</v>
          </cell>
          <cell r="B63">
            <v>57928567.299999997</v>
          </cell>
        </row>
        <row r="64">
          <cell r="A64" t="str">
            <v>EOSE</v>
          </cell>
          <cell r="B64">
            <v>3757502.38</v>
          </cell>
        </row>
        <row r="65">
          <cell r="A65" t="str">
            <v>EOTC</v>
          </cell>
          <cell r="B65">
            <v>57539560.170000002</v>
          </cell>
        </row>
        <row r="66">
          <cell r="A66" t="str">
            <v>EOVC</v>
          </cell>
          <cell r="B66">
            <v>3916111.68</v>
          </cell>
        </row>
        <row r="67">
          <cell r="A67" t="str">
            <v>EOW</v>
          </cell>
          <cell r="B67">
            <v>12225558.75</v>
          </cell>
        </row>
        <row r="68">
          <cell r="A68" t="str">
            <v>EPD</v>
          </cell>
          <cell r="B68">
            <v>1548328</v>
          </cell>
        </row>
        <row r="69">
          <cell r="A69" t="str">
            <v>LUDIV</v>
          </cell>
          <cell r="B69">
            <v>-7579460</v>
          </cell>
        </row>
        <row r="70">
          <cell r="A70" t="str">
            <v>FASSET</v>
          </cell>
          <cell r="B70">
            <v>1606276383.8900001</v>
          </cell>
        </row>
        <row r="71">
          <cell r="A71" t="str">
            <v>FBT</v>
          </cell>
          <cell r="B71">
            <v>0</v>
          </cell>
        </row>
        <row r="72">
          <cell r="A72" t="str">
            <v>FDEP</v>
          </cell>
          <cell r="B72">
            <v>-829986035.25999999</v>
          </cell>
        </row>
        <row r="73">
          <cell r="A73" t="str">
            <v>IAI</v>
          </cell>
          <cell r="B73">
            <v>-7500000</v>
          </cell>
        </row>
        <row r="74">
          <cell r="A74" t="str">
            <v>IDV</v>
          </cell>
          <cell r="B74">
            <v>-17784698.489999998</v>
          </cell>
        </row>
        <row r="75">
          <cell r="A75" t="str">
            <v>IGB</v>
          </cell>
          <cell r="B75">
            <v>-1725515857.8800004</v>
          </cell>
        </row>
        <row r="76">
          <cell r="A76" t="str">
            <v>IGD</v>
          </cell>
          <cell r="B76">
            <v>-29530797.710000001</v>
          </cell>
        </row>
        <row r="77">
          <cell r="A77" t="str">
            <v>IGM</v>
          </cell>
          <cell r="B77">
            <v>-152164933.18000001</v>
          </cell>
        </row>
        <row r="78">
          <cell r="A78" t="str">
            <v>IGT</v>
          </cell>
          <cell r="B78">
            <v>-210831207.53999999</v>
          </cell>
        </row>
        <row r="79">
          <cell r="A79" t="str">
            <v>INVES</v>
          </cell>
          <cell r="B79">
            <v>574967884.89999998</v>
          </cell>
        </row>
        <row r="80">
          <cell r="A80" t="str">
            <v>INVESMF</v>
          </cell>
          <cell r="B80">
            <v>0</v>
          </cell>
        </row>
        <row r="81">
          <cell r="A81" t="str">
            <v>INVESSC</v>
          </cell>
          <cell r="B81">
            <v>41500000</v>
          </cell>
        </row>
        <row r="82">
          <cell r="A82" t="str">
            <v>IOI</v>
          </cell>
          <cell r="B82">
            <v>-213574125.28999999</v>
          </cell>
        </row>
        <row r="83">
          <cell r="A83" t="str">
            <v>IOM</v>
          </cell>
          <cell r="B83">
            <v>-61439781.330000006</v>
          </cell>
        </row>
        <row r="84">
          <cell r="A84" t="str">
            <v>IOPS</v>
          </cell>
          <cell r="B84">
            <v>-3061814.7400000016</v>
          </cell>
        </row>
        <row r="85">
          <cell r="A85" t="str">
            <v>IOWB</v>
          </cell>
          <cell r="B85">
            <v>-46880154.890000001</v>
          </cell>
        </row>
        <row r="86">
          <cell r="A86" t="str">
            <v>LDIV</v>
          </cell>
          <cell r="B86">
            <v>21153.67</v>
          </cell>
        </row>
        <row r="87">
          <cell r="A87" t="str">
            <v>LMAR</v>
          </cell>
          <cell r="B87">
            <v>-1361000</v>
          </cell>
        </row>
        <row r="88">
          <cell r="A88" t="str">
            <v>LOLIAB</v>
          </cell>
          <cell r="B88">
            <v>-198319700.37</v>
          </cell>
        </row>
        <row r="89">
          <cell r="A89" t="str">
            <v>LSCRED</v>
          </cell>
          <cell r="B89">
            <v>-33230186.350000005</v>
          </cell>
        </row>
        <row r="90">
          <cell r="A90" t="str">
            <v>PDIV</v>
          </cell>
          <cell r="B90">
            <v>0</v>
          </cell>
        </row>
        <row r="91">
          <cell r="A91" t="str">
            <v>PGL</v>
          </cell>
          <cell r="B91">
            <v>-21118056</v>
          </cell>
        </row>
        <row r="92">
          <cell r="A92" t="str">
            <v>PGP</v>
          </cell>
          <cell r="B92">
            <v>-36999121.539999999</v>
          </cell>
        </row>
        <row r="93">
          <cell r="A93" t="str">
            <v>PPD</v>
          </cell>
          <cell r="B93">
            <v>0</v>
          </cell>
        </row>
        <row r="94">
          <cell r="A94" t="str">
            <v>PREM</v>
          </cell>
          <cell r="B94">
            <v>-40000</v>
          </cell>
        </row>
        <row r="95">
          <cell r="A95" t="str">
            <v>PTAX</v>
          </cell>
          <cell r="B95">
            <v>-1831501984.8399999</v>
          </cell>
        </row>
        <row r="96">
          <cell r="A96" t="str">
            <v>PTAXWB</v>
          </cell>
          <cell r="B96">
            <v>0</v>
          </cell>
        </row>
        <row r="97">
          <cell r="A97" t="str">
            <v>RGRES</v>
          </cell>
          <cell r="B97">
            <v>-498822915.37</v>
          </cell>
        </row>
        <row r="98">
          <cell r="A98" t="str">
            <v>RPLAC</v>
          </cell>
          <cell r="B98">
            <v>-1548130421.6500001</v>
          </cell>
        </row>
        <row r="99">
          <cell r="A99" t="str">
            <v>SLBANK</v>
          </cell>
          <cell r="B99">
            <v>-500000000</v>
          </cell>
        </row>
        <row r="100">
          <cell r="A100" t="str">
            <v>SLBANKVL</v>
          </cell>
          <cell r="B100">
            <v>-7762439</v>
          </cell>
        </row>
        <row r="101">
          <cell r="A101" t="str">
            <v>ULOANICD</v>
          </cell>
          <cell r="B101">
            <v>-350000000</v>
          </cell>
        </row>
        <row r="102">
          <cell r="A102" t="str">
            <v>ULOANCP</v>
          </cell>
          <cell r="B102">
            <v>-500000000</v>
          </cell>
        </row>
        <row r="103">
          <cell r="A103" t="str">
            <v>CR</v>
          </cell>
          <cell r="B103">
            <v>0</v>
          </cell>
        </row>
        <row r="104">
          <cell r="A104" t="str">
            <v>ASECULL</v>
          </cell>
          <cell r="B104">
            <v>4581482</v>
          </cell>
        </row>
        <row r="105">
          <cell r="A105" t="str">
            <v>ASECUR</v>
          </cell>
          <cell r="B105">
            <v>67378477.809999987</v>
          </cell>
        </row>
        <row r="106">
          <cell r="A106" t="str">
            <v>ASECUT</v>
          </cell>
          <cell r="B106">
            <v>543062.77</v>
          </cell>
        </row>
        <row r="107">
          <cell r="A107" t="str">
            <v>ASECUV</v>
          </cell>
          <cell r="B107">
            <v>181666.67</v>
          </cell>
        </row>
        <row r="108">
          <cell r="A108" t="str">
            <v>STOCK</v>
          </cell>
          <cell r="B108">
            <v>199593673.71000001</v>
          </cell>
        </row>
        <row r="109">
          <cell r="A109" t="str">
            <v>EEGC</v>
          </cell>
          <cell r="B109">
            <v>0</v>
          </cell>
        </row>
      </sheetData>
      <sheetData sheetId="11" refreshError="1">
        <row r="1">
          <cell r="C1">
            <v>40155</v>
          </cell>
        </row>
        <row r="2">
          <cell r="B2">
            <v>31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2"/>
      <sheetName val="Sheet1"/>
      <sheetName val="Sheet3"/>
      <sheetName val="F2ACS"/>
      <sheetName val="F1ACS"/>
      <sheetName val="M1F2"/>
      <sheetName val="M1F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Sheet3"/>
      <sheetName val="Aug F1 Stmt"/>
      <sheetName val="Aug F2 Stmt"/>
      <sheetName val="Sep F1 Stmt"/>
      <sheetName val="Sep F1 Stmt (revised TDS on BC)"/>
      <sheetName val="Sep F2 Stmt"/>
      <sheetName val="Oct F1 Stmt "/>
      <sheetName val="Oct F2 Stmt"/>
      <sheetName val="Nov F1 Stmt"/>
      <sheetName val="Nov F2 Stmt"/>
      <sheetName val="Dec F1 Stmt"/>
      <sheetName val="Dec F2 Stmt"/>
      <sheetName val="Jan F1 Stmt"/>
      <sheetName val="Jan F2 Stmt"/>
      <sheetName val="Sheet4"/>
      <sheetName val="Commulative"/>
      <sheetName val="Sheet1"/>
      <sheetName val="Oct F1 (2)"/>
      <sheetName val="Jan F2"/>
      <sheetName val="Jan F1"/>
      <sheetName val="Dec F2"/>
      <sheetName val="Dec F1"/>
      <sheetName val="Nov F2"/>
      <sheetName val="Nov F1"/>
      <sheetName val="Oct F2"/>
      <sheetName val="Oct F1"/>
      <sheetName val="Sheet2"/>
      <sheetName val="Sep F2"/>
      <sheetName val="Sep F1"/>
      <sheetName val="Aug F2"/>
      <sheetName val="Aug f1"/>
      <sheetName val="Jul f2"/>
    </sheetNames>
    <sheetDataSet>
      <sheetData sheetId="0"/>
      <sheetData sheetId="1">
        <row r="1">
          <cell r="A1" t="str">
            <v>JM120630%</v>
          </cell>
          <cell r="B1" t="str">
            <v>Max Mangal, 6 Pay,  12 Year Term</v>
          </cell>
        </row>
        <row r="2">
          <cell r="A2" t="str">
            <v>JM150630%</v>
          </cell>
          <cell r="B2" t="str">
            <v>Max Mangal, 6 Pay 15 Year Term</v>
          </cell>
        </row>
        <row r="3">
          <cell r="A3" t="str">
            <v>JM151232.5%</v>
          </cell>
          <cell r="B3" t="str">
            <v xml:space="preserve">Max Mangal, 12 Pay 15 Year Term </v>
          </cell>
        </row>
        <row r="4">
          <cell r="A4" t="str">
            <v>JV0032.5%</v>
          </cell>
          <cell r="B4" t="str">
            <v>Max Vriksha, 12 Pay, 16 Year Term</v>
          </cell>
        </row>
        <row r="5">
          <cell r="A5" t="str">
            <v>WPLP2035%</v>
          </cell>
          <cell r="B5" t="str">
            <v>Life Partner Plus 20 Pay</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CDSL"/>
      <sheetName val="TB - SAP"/>
      <sheetName val="TB - Focus"/>
      <sheetName val="To Tally"/>
      <sheetName val="TB"/>
      <sheetName val="Provisions"/>
      <sheetName val="Qtr -AS"/>
      <sheetName val="Results_Pub"/>
      <sheetName val="Results"/>
      <sheetName val="Segment YTD"/>
      <sheetName val="ARCK"/>
      <sheetName val="Vendor bal."/>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Tax Prov."/>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ow r="13">
          <cell r="H13">
            <v>522446162</v>
          </cell>
        </row>
      </sheetData>
      <sheetData sheetId="24"/>
      <sheetData sheetId="25" refreshError="1"/>
      <sheetData sheetId="26" refreshError="1"/>
      <sheetData sheetId="27" refreshError="1"/>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ARCK"/>
      <sheetName val="Provision Working"/>
      <sheetName val="Doubtful"/>
      <sheetName val="Dividend Working"/>
      <sheetName val="Task"/>
      <sheetName val="Reports"/>
      <sheetName val="Sheet1"/>
      <sheetName val="DR"/>
      <sheetName val="CDSL"/>
      <sheetName val="TB - SAP"/>
      <sheetName val="TB - Focus"/>
      <sheetName val="To Tally"/>
      <sheetName val="Results - Previous Qtrs"/>
      <sheetName val="Results"/>
      <sheetName val="Results_Pub"/>
      <sheetName val="Segment YTD"/>
      <sheetName val="TB"/>
      <sheetName val="Provisions"/>
      <sheetName val="Qtr -AS"/>
      <sheetName val="Vendor bal."/>
      <sheetName val="BS"/>
      <sheetName val="PL"/>
      <sheetName val="CFS"/>
      <sheetName val="Tax Prov."/>
      <sheetName val="Computation"/>
      <sheetName val="Note-1"/>
      <sheetName val="Note-B"/>
      <sheetName val="Note-FA"/>
      <sheetName val="Adv Tax"/>
      <sheetName val="Note-P"/>
      <sheetName val="Note-2"/>
      <sheetName val="DT"/>
      <sheetName val="CF-W"/>
      <sheetName val="EPS"/>
      <sheetName val="Sheet7"/>
      <sheetName val="Results (2)"/>
      <sheetName val="Div"/>
      <sheetName val="Buy Back"/>
      <sheetName val="Sheet5"/>
      <sheetName val="Sheet4"/>
      <sheetName val="Other TBs"/>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ow r="22">
          <cell r="C22" t="str">
            <v>Mumbai</v>
          </cell>
        </row>
        <row r="23">
          <cell r="C23" t="str">
            <v>July 21, 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3">
          <cell r="H13">
            <v>584326164</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BS"/>
      <sheetName val="Results PL"/>
      <sheetName val="FA Print"/>
      <sheetName val="Invst"/>
      <sheetName val="Notes"/>
      <sheetName val="Notes2"/>
      <sheetName val="Notes 3"/>
      <sheetName val="Notes 4"/>
      <sheetName val="Bal Sheet"/>
      <sheetName val="FA"/>
      <sheetName val="AdInfo"/>
      <sheetName val="Analysis Wo Delhi"/>
      <sheetName val="Analysis withDelhi"/>
      <sheetName val="Sonarpur"/>
      <sheetName val="Summary Assets &lt;5000"/>
      <sheetName val="5000"/>
      <sheetName val="Part 4"/>
      <sheetName val="UP Lease la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BS SCH"/>
      <sheetName val="PL"/>
      <sheetName val="PL SCH"/>
      <sheetName val="FA"/>
      <sheetName val="Seg Report"/>
      <sheetName val="TRIAL"/>
      <sheetName val="S"/>
      <sheetName val="Cash Flow"/>
      <sheetName val="Prov for Tax"/>
      <sheetName val="Defered Tax"/>
      <sheetName val="INV"/>
      <sheetName val="ABSTRACT"/>
      <sheetName val="Bal Sheet 2 Col"/>
      <sheetName val="Part 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 GENERAL"/>
      <sheetName val="PARTA-GENERAL (2)"/>
      <sheetName val="PART A - Balance Sheet"/>
      <sheetName val="PART A - PL"/>
      <sheetName val="PART A - PL(2)"/>
      <sheetName val="PART A - PL(3) - OI"/>
      <sheetName val="PART A - OI"/>
      <sheetName val="PART A - OI(2)"/>
      <sheetName val="PART A - QD(1)"/>
      <sheetName val="PART A - QD(2)"/>
      <sheetName val="PART B - TTI"/>
      <sheetName val="PART C"/>
      <sheetName val="Schedule HP BP"/>
      <sheetName val="Schedule BP(2)"/>
      <sheetName val="Schedule DPM - DOA"/>
      <sheetName val="Schedule DOA - DEP"/>
      <sheetName val="Schedule ESR CG"/>
      <sheetName val="FORMULAE"/>
      <sheetName val="Schedule OS CYLA"/>
      <sheetName val="Schedule BFLA CFL 10A"/>
      <sheetName val="Sch 10 B 80G"/>
      <sheetName val="Schedule 80-IA to 80-IC"/>
      <sheetName val="VIA STTR SPI SI "/>
      <sheetName val="Schedule EI AIR IT"/>
      <sheetName val="TDS1 TDS2 TCS"/>
      <sheetName val="F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General"/>
      <sheetName val="Subsidiary Co Details"/>
      <sheetName val="MD, Dir, Co. secy"/>
      <sheetName val="Beneficial_owners"/>
      <sheetName val="Balance Sheet"/>
      <sheetName val="Profit and Loss"/>
      <sheetName val="Other Info"/>
      <sheetName val="Stock details"/>
      <sheetName val="Part B"/>
      <sheetName val="Part C"/>
      <sheetName val="Sch 1 Bus"/>
      <sheetName val="Sch 2 CG"/>
      <sheetName val="Sch 3 Depr"/>
      <sheetName val="Sch 4 HP"/>
      <sheetName val="Sch 5 OS"/>
      <sheetName val="Sch 6 Setoff"/>
      <sheetName val="Sch 7 Bf Setoff"/>
      <sheetName val="Sch 8 Cf Losses"/>
      <sheetName val="Sch 9 Dedns"/>
      <sheetName val="Sch 10 VIA-Sch 11"/>
      <sheetName val="Sch 12-Sch 13"/>
      <sheetName val="Sch 14 88E-Sch 15 115B"/>
      <sheetName val="Sch 16 Div"/>
      <sheetName val="Sch 17 FB"/>
      <sheetName val="Sch 18 Bank"/>
      <sheetName val="Sch 19, 20 Taxes"/>
      <sheetName val="Sch 21 Div Tax"/>
      <sheetName val="Sch 22, 23 FBT"/>
      <sheetName val="Sch 24 TDS"/>
      <sheetName val="Sch 25 TCS"/>
      <sheetName val="VersionI_CD_Z5_ADVANC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List"/>
      <sheetName val="Related Parties - PL"/>
      <sheetName val="Related Parties - BS"/>
      <sheetName val="BS"/>
      <sheetName val="P&amp;L"/>
      <sheetName val="cash flow"/>
      <sheetName val="Note-B"/>
      <sheetName val="Note-P"/>
      <sheetName val="P&amp;L LR"/>
      <sheetName val="Note-P LR"/>
      <sheetName val="Notes - O"/>
      <sheetName val="Notes - 14"/>
      <sheetName val="Monthly P&amp;L"/>
      <sheetName val="GTRIAL"/>
      <sheetName val="Trial"/>
      <sheetName val="Income Tax"/>
      <sheetName val="Related Party"/>
      <sheetName val="PTAX"/>
      <sheetName val="Adv tax vs PT"/>
      <sheetName val="Segment-Main"/>
      <sheetName val="Segment-Working"/>
      <sheetName val="provision"/>
      <sheetName val="EPS"/>
      <sheetName val="PE"/>
      <sheetName val="IDSL"/>
      <sheetName val="Sheet1"/>
    </sheetNames>
    <sheetDataSet>
      <sheetData sheetId="0" refreshError="1"/>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ow r="1">
          <cell r="A1">
            <v>42825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ization"/>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FRINGE_BENEFITS"/>
      <sheetName val="IT_TDS_TCS_FBT"/>
      <sheetName val="DDT"/>
      <sheetName val="Instructions"/>
      <sheetName val="Ver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255"/>
      <sheetName val="Background"/>
      <sheetName val="MAIN"/>
      <sheetName val="Data Base"/>
      <sheetName val="Master Prices"/>
      <sheetName val="Quote"/>
      <sheetName val="Discounts"/>
      <sheetName val="Linkage Quote"/>
      <sheetName val="Int A Pro 6224"/>
      <sheetName val="Int M Pro 6220"/>
      <sheetName val="Int M Pro 6225"/>
      <sheetName val="Int M Pro 6230"/>
      <sheetName val="Int Z Pro 6221"/>
      <sheetName val="Int Z Pro 6223"/>
      <sheetName val="BladeCenter"/>
      <sheetName val="HS20 ~ JS20 Blade"/>
      <sheetName val="HS20 8843 Blade"/>
      <sheetName val="HS40 Blade"/>
      <sheetName val="eServer326"/>
      <sheetName val="eServer325"/>
      <sheetName val="OpenPower 710"/>
      <sheetName val="OpenPower 720"/>
      <sheetName val="xSeries206"/>
      <sheetName val="xSeries226"/>
      <sheetName val="xSeries235"/>
      <sheetName val="xSeries236"/>
      <sheetName val="xSeries306"/>
      <sheetName val="xSeries335"/>
      <sheetName val="xSeries336"/>
      <sheetName val="xSeries343"/>
      <sheetName val="xSeries345"/>
      <sheetName val="xSeries346"/>
      <sheetName val="xSeries365"/>
      <sheetName val="xSeries382"/>
      <sheetName val="xSeries445"/>
      <sheetName val="xSeries445 16w"/>
      <sheetName val="xSeries455"/>
      <sheetName val="xSeries455 8w ~ 16w"/>
      <sheetName val="RXE~100"/>
      <sheetName val="Fibre Options"/>
      <sheetName val="DS4500"/>
      <sheetName val="DS4400"/>
      <sheetName val="DS4300"/>
      <sheetName val="TotalStorage DS300"/>
      <sheetName val="TotalStorage DS400"/>
      <sheetName val="TotalStorage DS4100"/>
      <sheetName val="Racking"/>
      <sheetName val="Price Update"/>
      <sheetName val="ReadMe"/>
      <sheetName val="External Storage Hardware"/>
      <sheetName val="External Storage Options"/>
      <sheetName val="Server Hardware"/>
      <sheetName val="Server Fitment"/>
      <sheetName val="Options"/>
      <sheetName val="Notes"/>
      <sheetName val="CCE-LC3"/>
      <sheetName val="msg"/>
      <sheetName val="Areas"/>
      <sheetName val="Input"/>
      <sheetName val="Balance sheet DCCDL Nov 06"/>
      <sheetName val="Staff Forecast spread"/>
      <sheetName val="worksheet"/>
      <sheetName val="tables"/>
      <sheetName val="Instructions"/>
      <sheetName val="APcfg95"/>
      <sheetName val="Factor"/>
      <sheetName val="XREF"/>
      <sheetName val="hdnSheet"/>
      <sheetName val="ASSETMST"/>
      <sheetName val="Sheet1"/>
      <sheetName val="Extra Sheet"/>
      <sheetName val="RA_markate"/>
      <sheetName val="RA-markate"/>
      <sheetName val="ridgewood"/>
      <sheetName val="Intro"/>
      <sheetName val="CF"/>
      <sheetName val="Assumptions"/>
      <sheetName val="Summ"/>
      <sheetName val="Toil_details"/>
      <sheetName val="Steel Reinforcement Schedule"/>
      <sheetName val="VTC"/>
      <sheetName val="DCF"/>
      <sheetName val="Activity Codes"/>
      <sheetName val="Civil Boq"/>
      <sheetName val="LISTS"/>
      <sheetName val="FORM-16"/>
      <sheetName val="Cashflows"/>
      <sheetName val="Sheet2"/>
      <sheetName val="Grouping"/>
      <sheetName val="List"/>
      <sheetName val="Defined List"/>
      <sheetName val="Hotel Conv. Cntrs"/>
      <sheetName val="Tokyo"/>
      <sheetName val="LAMINATION-NORDMECCANICA"/>
      <sheetName val="SBI(Siliguri)"/>
      <sheetName val="Page1"/>
      <sheetName val="Summary year Plan"/>
      <sheetName val="Ass. &amp; Calculations"/>
      <sheetName val="model"/>
      <sheetName val="RM-Summary"/>
      <sheetName val="labour rates"/>
      <sheetName val="Agra Mall"/>
      <sheetName val="Chennai Mall"/>
      <sheetName val="RR"/>
      <sheetName val="2.Chennai"/>
      <sheetName val="wordsdata"/>
      <sheetName val="Table 9 "/>
      <sheetName val="Section"/>
      <sheetName val="IGAAP"/>
      <sheetName val="RA_EIL"/>
      <sheetName val="RA_MKT_QUOTE"/>
      <sheetName val="Do not delete"/>
      <sheetName val="COMPUTER"/>
      <sheetName val="PRECAST lightconc-II"/>
      <sheetName val="ASSET_99 "/>
    </sheetNames>
    <sheetDataSet>
      <sheetData sheetId="0" refreshError="1">
        <row r="13">
          <cell r="A13" t="str">
            <v>- TopSeller Models (Tower)</v>
          </cell>
          <cell r="M13">
            <v>40</v>
          </cell>
        </row>
        <row r="14">
          <cell r="A14" t="str">
            <v>N/A</v>
          </cell>
          <cell r="B14" t="str">
            <v>8685-7TX</v>
          </cell>
          <cell r="C14" t="str">
            <v>x255 TopSeller, 2xXeon MP 2.0GHz/400MHz, 1MB L3, 2GB, O/Bay U160, 2x370W p/s, Tower</v>
          </cell>
          <cell r="D14">
            <v>0</v>
          </cell>
          <cell r="E14" t="str">
            <v>N/A</v>
          </cell>
          <cell r="F14">
            <v>0</v>
          </cell>
          <cell r="G14" t="str">
            <v/>
          </cell>
          <cell r="H14" t="str">
            <v/>
          </cell>
          <cell r="I14" t="str">
            <v/>
          </cell>
          <cell r="J14" t="str">
            <v/>
          </cell>
          <cell r="K14" t="str">
            <v/>
          </cell>
          <cell r="L14" t="str">
            <v/>
          </cell>
          <cell r="M14">
            <v>50</v>
          </cell>
        </row>
        <row r="15">
          <cell r="A15" t="str">
            <v>N/A</v>
          </cell>
          <cell r="B15" t="str">
            <v>8685-ATX</v>
          </cell>
          <cell r="C15" t="str">
            <v>x255 TopSeller, 2xXeon MP 2.2GHz/400MHz, 2MB L3, 2GB, 220.2GB U160 SRAID 6M, 4x370W p/s, Tower</v>
          </cell>
          <cell r="D15">
            <v>0</v>
          </cell>
          <cell r="E15" t="str">
            <v>N/A</v>
          </cell>
          <cell r="F15">
            <v>0</v>
          </cell>
          <cell r="G15" t="str">
            <v/>
          </cell>
          <cell r="H15" t="str">
            <v/>
          </cell>
          <cell r="I15" t="str">
            <v/>
          </cell>
          <cell r="J15" t="str">
            <v/>
          </cell>
          <cell r="K15" t="str">
            <v/>
          </cell>
          <cell r="L15" t="str">
            <v/>
          </cell>
          <cell r="M15">
            <v>60</v>
          </cell>
        </row>
        <row r="16">
          <cell r="C16" t="str">
            <v/>
          </cell>
          <cell r="M16">
            <v>70</v>
          </cell>
        </row>
        <row r="17">
          <cell r="A17" t="str">
            <v>- Express</v>
          </cell>
          <cell r="M17">
            <v>80</v>
          </cell>
        </row>
        <row r="18">
          <cell r="A18" t="str">
            <v>N/A</v>
          </cell>
          <cell r="B18" t="str">
            <v>8685-7EU</v>
          </cell>
          <cell r="C18" t="str">
            <v>Express x255, Xeon MP 2x2.0GHz/400MHz, 1MB L3, 4x1GB, 3x73.4 HS U160, SR-6M, 2x370W p/s, Tower</v>
          </cell>
          <cell r="D18">
            <v>0</v>
          </cell>
          <cell r="E18" t="str">
            <v>N/A</v>
          </cell>
          <cell r="F18">
            <v>0</v>
          </cell>
          <cell r="G18" t="str">
            <v/>
          </cell>
          <cell r="H18" t="str">
            <v/>
          </cell>
          <cell r="I18" t="str">
            <v/>
          </cell>
          <cell r="J18" t="str">
            <v/>
          </cell>
          <cell r="K18" t="str">
            <v/>
          </cell>
          <cell r="L18" t="str">
            <v/>
          </cell>
          <cell r="M18">
            <v>90</v>
          </cell>
        </row>
        <row r="19">
          <cell r="C19" t="str">
            <v/>
          </cell>
          <cell r="M19">
            <v>100</v>
          </cell>
        </row>
        <row r="20">
          <cell r="A20" t="str">
            <v>- IXA Compatible Standard Tower Models</v>
          </cell>
          <cell r="M20">
            <v>110</v>
          </cell>
        </row>
        <row r="21">
          <cell r="A21" t="str">
            <v>N/A</v>
          </cell>
          <cell r="B21" t="str">
            <v>8685-A1X</v>
          </cell>
          <cell r="C21" t="str">
            <v>x255, Xeon MP 2.2GHz/400MHz, 2MB, 512MB, Open Bay U160, 2x370W p/s, Tower</v>
          </cell>
          <cell r="D21">
            <v>0</v>
          </cell>
          <cell r="E21" t="str">
            <v>N/A</v>
          </cell>
          <cell r="F21">
            <v>0</v>
          </cell>
          <cell r="G21" t="str">
            <v/>
          </cell>
          <cell r="H21" t="str">
            <v/>
          </cell>
          <cell r="I21" t="str">
            <v/>
          </cell>
          <cell r="J21" t="str">
            <v/>
          </cell>
          <cell r="K21" t="str">
            <v/>
          </cell>
          <cell r="L21" t="str">
            <v/>
          </cell>
          <cell r="M21">
            <v>120</v>
          </cell>
        </row>
        <row r="22">
          <cell r="A22" t="str">
            <v>N/A</v>
          </cell>
          <cell r="B22" t="str">
            <v>8685-B1X</v>
          </cell>
          <cell r="C22" t="str">
            <v>x255, Xeon MP 2.7GHz/400MHz, 2MB, 1GB, Open Bay U160, 2x370W p/s, Tower</v>
          </cell>
          <cell r="D22">
            <v>0</v>
          </cell>
          <cell r="E22" t="str">
            <v>N/A</v>
          </cell>
          <cell r="F22">
            <v>0</v>
          </cell>
          <cell r="G22" t="str">
            <v/>
          </cell>
          <cell r="H22" t="str">
            <v/>
          </cell>
          <cell r="I22" t="str">
            <v/>
          </cell>
          <cell r="J22" t="str">
            <v/>
          </cell>
          <cell r="K22" t="str">
            <v/>
          </cell>
          <cell r="L22" t="str">
            <v/>
          </cell>
          <cell r="M22">
            <v>130</v>
          </cell>
        </row>
        <row r="23">
          <cell r="A23" t="str">
            <v>N/A</v>
          </cell>
          <cell r="B23" t="str">
            <v>8685-C1X</v>
          </cell>
          <cell r="C23" t="str">
            <v>x255, Xeon MP 3.0GHz/400MHz, 4MB, 1GB, Open Bay U160, 2x370W p/s, Tower</v>
          </cell>
          <cell r="D23">
            <v>0</v>
          </cell>
          <cell r="E23" t="str">
            <v>N/A</v>
          </cell>
          <cell r="F23">
            <v>0</v>
          </cell>
          <cell r="G23" t="str">
            <v/>
          </cell>
          <cell r="H23" t="str">
            <v/>
          </cell>
          <cell r="I23" t="str">
            <v/>
          </cell>
          <cell r="J23" t="str">
            <v/>
          </cell>
          <cell r="K23" t="str">
            <v/>
          </cell>
          <cell r="L23" t="str">
            <v/>
          </cell>
          <cell r="M23">
            <v>140</v>
          </cell>
        </row>
        <row r="24">
          <cell r="M24">
            <v>150</v>
          </cell>
        </row>
        <row r="25">
          <cell r="A25" t="str">
            <v>- IXA Compatible Standard Rack Models</v>
          </cell>
          <cell r="M25">
            <v>160</v>
          </cell>
        </row>
        <row r="26">
          <cell r="A26" t="str">
            <v>8685ARX</v>
          </cell>
          <cell r="B26" t="str">
            <v>8685-ARX</v>
          </cell>
          <cell r="C26" t="str">
            <v>x255, Xeon MP 2.2GHz/400MHz, 2MB, 512MB, Open Bay U160, 2x370W p/s,Rack</v>
          </cell>
          <cell r="D26">
            <v>0</v>
          </cell>
          <cell r="E26">
            <v>8299.01</v>
          </cell>
          <cell r="F26">
            <v>0</v>
          </cell>
          <cell r="G26" t="str">
            <v/>
          </cell>
          <cell r="H26" t="str">
            <v/>
          </cell>
          <cell r="I26" t="str">
            <v/>
          </cell>
          <cell r="J26" t="str">
            <v/>
          </cell>
          <cell r="K26" t="str">
            <v/>
          </cell>
          <cell r="L26" t="str">
            <v/>
          </cell>
          <cell r="M26">
            <v>170</v>
          </cell>
        </row>
        <row r="27">
          <cell r="A27" t="str">
            <v>8685BRX</v>
          </cell>
          <cell r="B27" t="str">
            <v>8685-BRX</v>
          </cell>
          <cell r="C27" t="str">
            <v>x255, Xeon MP 2.7GHz/400MHz, 2MB, 1GB, Open Bay U160, 2x370W p/s, Rack</v>
          </cell>
          <cell r="D27">
            <v>0</v>
          </cell>
          <cell r="E27">
            <v>9908.18</v>
          </cell>
          <cell r="F27">
            <v>0</v>
          </cell>
          <cell r="G27" t="str">
            <v/>
          </cell>
          <cell r="H27" t="str">
            <v/>
          </cell>
          <cell r="I27" t="str">
            <v/>
          </cell>
          <cell r="J27" t="str">
            <v/>
          </cell>
          <cell r="K27" t="str">
            <v/>
          </cell>
          <cell r="L27" t="str">
            <v/>
          </cell>
          <cell r="M27">
            <v>180</v>
          </cell>
        </row>
        <row r="28">
          <cell r="A28" t="str">
            <v>8685CRX</v>
          </cell>
          <cell r="B28" t="str">
            <v>8685-CRX</v>
          </cell>
          <cell r="C28" t="str">
            <v>x255, Xeon MP 3.0GHz/400MHz, 4MB, 1GB, Open Bay U160, 2x370W p/s, Rack</v>
          </cell>
          <cell r="D28">
            <v>0</v>
          </cell>
          <cell r="E28">
            <v>13999</v>
          </cell>
          <cell r="F28">
            <v>0</v>
          </cell>
          <cell r="G28" t="str">
            <v/>
          </cell>
          <cell r="H28" t="str">
            <v/>
          </cell>
          <cell r="I28" t="str">
            <v/>
          </cell>
          <cell r="J28" t="str">
            <v/>
          </cell>
          <cell r="K28" t="str">
            <v/>
          </cell>
          <cell r="L28" t="str">
            <v/>
          </cell>
          <cell r="M28">
            <v>190</v>
          </cell>
        </row>
        <row r="29">
          <cell r="C29" t="str">
            <v>SELECT SYSTEM UNIT FIRST</v>
          </cell>
          <cell r="M29">
            <v>200</v>
          </cell>
        </row>
        <row r="30">
          <cell r="C30" t="str">
            <v/>
          </cell>
          <cell r="M30">
            <v>210</v>
          </cell>
        </row>
        <row r="31">
          <cell r="A31" t="str">
            <v>Additional Processors</v>
          </cell>
          <cell r="M31">
            <v>220</v>
          </cell>
        </row>
        <row r="32">
          <cell r="C32" t="str">
            <v/>
          </cell>
          <cell r="M32">
            <v>230</v>
          </cell>
        </row>
        <row r="33">
          <cell r="A33" t="str">
            <v>73P8805</v>
          </cell>
          <cell r="B33" t="str">
            <v/>
          </cell>
          <cell r="C33" t="str">
            <v>2.0GHz/400MHz, 1MB L3 Cache Upgrade with Xeon Processor MP</v>
          </cell>
          <cell r="D33">
            <v>0</v>
          </cell>
          <cell r="E33">
            <v>3299</v>
          </cell>
          <cell r="F33">
            <v>0</v>
          </cell>
          <cell r="G33" t="str">
            <v/>
          </cell>
          <cell r="H33" t="str">
            <v/>
          </cell>
          <cell r="I33" t="str">
            <v/>
          </cell>
          <cell r="J33" t="str">
            <v/>
          </cell>
          <cell r="K33" t="str">
            <v/>
          </cell>
          <cell r="L33" t="str">
            <v/>
          </cell>
          <cell r="M33">
            <v>240</v>
          </cell>
        </row>
        <row r="34">
          <cell r="C34" t="str">
            <v/>
          </cell>
          <cell r="M34">
            <v>250</v>
          </cell>
        </row>
        <row r="35">
          <cell r="A35" t="str">
            <v>13N0747</v>
          </cell>
          <cell r="B35" t="str">
            <v/>
          </cell>
          <cell r="C35" t="str">
            <v>xSeries 2.2 GHz400MHz, 512KB/2MB L2/L3 Upgrade with Xeon Processor MP</v>
          </cell>
          <cell r="D35">
            <v>0</v>
          </cell>
          <cell r="E35">
            <v>2799.01</v>
          </cell>
          <cell r="F35">
            <v>0</v>
          </cell>
          <cell r="G35" t="str">
            <v/>
          </cell>
          <cell r="H35" t="str">
            <v/>
          </cell>
          <cell r="I35" t="str">
            <v/>
          </cell>
          <cell r="J35" t="str">
            <v/>
          </cell>
          <cell r="K35" t="str">
            <v/>
          </cell>
          <cell r="L35" t="str">
            <v/>
          </cell>
          <cell r="M35">
            <v>260</v>
          </cell>
        </row>
        <row r="36">
          <cell r="C36" t="str">
            <v/>
          </cell>
          <cell r="M36">
            <v>270</v>
          </cell>
        </row>
        <row r="37">
          <cell r="A37" t="str">
            <v>13N0746</v>
          </cell>
          <cell r="B37" t="str">
            <v/>
          </cell>
          <cell r="C37" t="str">
            <v>xSeries 2.7 GHz400MHz, 512KB/2MB L2/L3 Upgrade with Xeon Processor MP</v>
          </cell>
          <cell r="D37">
            <v>0</v>
          </cell>
          <cell r="E37">
            <v>4659</v>
          </cell>
          <cell r="F37">
            <v>0</v>
          </cell>
          <cell r="G37" t="str">
            <v/>
          </cell>
          <cell r="H37" t="str">
            <v/>
          </cell>
          <cell r="I37" t="str">
            <v/>
          </cell>
          <cell r="J37" t="str">
            <v/>
          </cell>
          <cell r="K37" t="str">
            <v/>
          </cell>
          <cell r="L37" t="str">
            <v/>
          </cell>
          <cell r="M37">
            <v>280</v>
          </cell>
        </row>
        <row r="38">
          <cell r="C38" t="str">
            <v/>
          </cell>
          <cell r="M38">
            <v>290</v>
          </cell>
        </row>
        <row r="39">
          <cell r="A39" t="str">
            <v>13N0745</v>
          </cell>
          <cell r="B39" t="str">
            <v/>
          </cell>
          <cell r="C39" t="str">
            <v>xSeries 3.0 GHz400MHz, 512KB/4MB L2/L3 Upgrade with Xeon Processor MP</v>
          </cell>
          <cell r="D39">
            <v>0</v>
          </cell>
          <cell r="E39">
            <v>9299</v>
          </cell>
          <cell r="F39">
            <v>0</v>
          </cell>
          <cell r="G39" t="str">
            <v/>
          </cell>
          <cell r="H39" t="str">
            <v/>
          </cell>
          <cell r="I39" t="str">
            <v/>
          </cell>
          <cell r="J39" t="str">
            <v/>
          </cell>
          <cell r="K39" t="str">
            <v/>
          </cell>
          <cell r="L39" t="str">
            <v/>
          </cell>
          <cell r="M39">
            <v>300</v>
          </cell>
        </row>
        <row r="40">
          <cell r="C40" t="str">
            <v/>
          </cell>
          <cell r="M40">
            <v>310</v>
          </cell>
        </row>
        <row r="41">
          <cell r="M41">
            <v>320</v>
          </cell>
        </row>
        <row r="42">
          <cell r="A42" t="str">
            <v>Additional Memory</v>
          </cell>
          <cell r="M42">
            <v>330</v>
          </cell>
        </row>
        <row r="45">
          <cell r="B45">
            <v>0</v>
          </cell>
          <cell r="C45" t="str">
            <v/>
          </cell>
          <cell r="M45">
            <v>360</v>
          </cell>
        </row>
        <row r="46">
          <cell r="B46" t="b">
            <v>0</v>
          </cell>
          <cell r="C46" t="str">
            <v/>
          </cell>
          <cell r="M46">
            <v>370</v>
          </cell>
        </row>
        <row r="47">
          <cell r="A47" t="str">
            <v>33L3281</v>
          </cell>
          <cell r="B47">
            <v>0</v>
          </cell>
          <cell r="C47" t="str">
            <v>256MB PC1600 ECC DDR SDRAM RDIMM</v>
          </cell>
          <cell r="D47">
            <v>0</v>
          </cell>
          <cell r="E47">
            <v>459</v>
          </cell>
          <cell r="F47">
            <v>0</v>
          </cell>
          <cell r="G47" t="str">
            <v/>
          </cell>
          <cell r="H47" t="str">
            <v/>
          </cell>
          <cell r="I47" t="str">
            <v/>
          </cell>
          <cell r="J47" t="str">
            <v/>
          </cell>
          <cell r="K47" t="str">
            <v/>
          </cell>
          <cell r="L47" t="str">
            <v/>
          </cell>
          <cell r="M47">
            <v>380</v>
          </cell>
        </row>
        <row r="48">
          <cell r="A48" t="str">
            <v>33L3283</v>
          </cell>
          <cell r="B48">
            <v>0</v>
          </cell>
          <cell r="C48" t="str">
            <v>512MB PC1600 ECC DDR SDRAM RDIMM</v>
          </cell>
          <cell r="D48">
            <v>0</v>
          </cell>
          <cell r="E48">
            <v>389</v>
          </cell>
          <cell r="F48">
            <v>0</v>
          </cell>
          <cell r="G48" t="str">
            <v/>
          </cell>
          <cell r="H48" t="str">
            <v/>
          </cell>
          <cell r="I48" t="str">
            <v/>
          </cell>
          <cell r="J48" t="str">
            <v/>
          </cell>
          <cell r="K48" t="str">
            <v/>
          </cell>
          <cell r="L48" t="str">
            <v/>
          </cell>
          <cell r="M48">
            <v>390</v>
          </cell>
        </row>
        <row r="49">
          <cell r="A49" t="str">
            <v>33L3285</v>
          </cell>
          <cell r="B49">
            <v>0</v>
          </cell>
          <cell r="C49" t="str">
            <v>1GB PC1600 ECC DDR SDRAM RDIMM</v>
          </cell>
          <cell r="D49">
            <v>0</v>
          </cell>
          <cell r="E49">
            <v>969</v>
          </cell>
          <cell r="F49">
            <v>0</v>
          </cell>
          <cell r="G49" t="str">
            <v/>
          </cell>
          <cell r="H49" t="str">
            <v/>
          </cell>
          <cell r="I49" t="str">
            <v/>
          </cell>
          <cell r="J49" t="str">
            <v/>
          </cell>
          <cell r="K49" t="str">
            <v/>
          </cell>
          <cell r="L49" t="str">
            <v/>
          </cell>
          <cell r="M49">
            <v>400</v>
          </cell>
        </row>
        <row r="50">
          <cell r="A50" t="str">
            <v>33L3287</v>
          </cell>
          <cell r="B50">
            <v>0</v>
          </cell>
          <cell r="C50" t="str">
            <v>2GB PC1600 ECC DDR SDRAM RDIMM</v>
          </cell>
          <cell r="D50">
            <v>0</v>
          </cell>
          <cell r="E50">
            <v>5589</v>
          </cell>
          <cell r="F50">
            <v>0</v>
          </cell>
          <cell r="G50" t="str">
            <v/>
          </cell>
          <cell r="H50" t="str">
            <v/>
          </cell>
          <cell r="I50" t="str">
            <v/>
          </cell>
          <cell r="J50" t="str">
            <v/>
          </cell>
          <cell r="K50" t="str">
            <v/>
          </cell>
          <cell r="L50" t="str">
            <v/>
          </cell>
          <cell r="M50">
            <v>410</v>
          </cell>
        </row>
        <row r="51">
          <cell r="B51" t="str">
            <v>Memory Configuration is Acceptable</v>
          </cell>
          <cell r="C51" t="str">
            <v/>
          </cell>
          <cell r="M51">
            <v>420</v>
          </cell>
        </row>
        <row r="52">
          <cell r="C52" t="str">
            <v xml:space="preserve">Installed Memory (MB) is </v>
          </cell>
          <cell r="M52">
            <v>430</v>
          </cell>
        </row>
        <row r="53">
          <cell r="B53">
            <v>0</v>
          </cell>
          <cell r="C53">
            <v>0</v>
          </cell>
          <cell r="M53">
            <v>440</v>
          </cell>
        </row>
        <row r="54">
          <cell r="C54" t="str">
            <v/>
          </cell>
          <cell r="M54">
            <v>450</v>
          </cell>
        </row>
        <row r="55">
          <cell r="M55">
            <v>460</v>
          </cell>
        </row>
        <row r="56">
          <cell r="A56" t="str">
            <v>Hardfiles</v>
          </cell>
          <cell r="M56">
            <v>470</v>
          </cell>
        </row>
        <row r="57">
          <cell r="A57" t="str">
            <v>32P8163</v>
          </cell>
          <cell r="B57" t="str">
            <v/>
          </cell>
          <cell r="C57" t="str">
            <v>Ultra320 6-Pack Hot Swap Expansion Kit</v>
          </cell>
          <cell r="D57">
            <v>0</v>
          </cell>
          <cell r="E57">
            <v>919</v>
          </cell>
          <cell r="F57">
            <v>0</v>
          </cell>
          <cell r="G57" t="str">
            <v/>
          </cell>
          <cell r="H57" t="str">
            <v/>
          </cell>
          <cell r="I57" t="str">
            <v/>
          </cell>
          <cell r="J57" t="str">
            <v/>
          </cell>
          <cell r="K57" t="str">
            <v/>
          </cell>
          <cell r="L57" t="str">
            <v/>
          </cell>
          <cell r="M57">
            <v>480</v>
          </cell>
        </row>
        <row r="58">
          <cell r="C58" t="str">
            <v/>
          </cell>
          <cell r="M58">
            <v>490</v>
          </cell>
        </row>
        <row r="59">
          <cell r="C59" t="str">
            <v/>
          </cell>
          <cell r="M59">
            <v>500</v>
          </cell>
        </row>
        <row r="60">
          <cell r="A60" t="str">
            <v>32P0726</v>
          </cell>
          <cell r="C60" t="str">
            <v>WITHDRAWN;IBM 36.4GB 10K-rpm Ultra320 SCSI Hot-Swap SL HDD</v>
          </cell>
          <cell r="D60">
            <v>0</v>
          </cell>
          <cell r="E60" t="str">
            <v>WDFM</v>
          </cell>
          <cell r="F60">
            <v>0</v>
          </cell>
          <cell r="G60" t="str">
            <v/>
          </cell>
          <cell r="H60" t="str">
            <v/>
          </cell>
          <cell r="I60" t="str">
            <v/>
          </cell>
          <cell r="J60" t="str">
            <v/>
          </cell>
          <cell r="K60" t="str">
            <v/>
          </cell>
          <cell r="L60" t="str">
            <v/>
          </cell>
          <cell r="M60">
            <v>510</v>
          </cell>
        </row>
        <row r="61">
          <cell r="A61" t="str">
            <v>32P0734</v>
          </cell>
          <cell r="C61" t="str">
            <v>WITHDRAWN;IBM 36.4GB 15K-rpm Ultra320 SCSI Hot-Swap SL HDD</v>
          </cell>
          <cell r="D61">
            <v>0</v>
          </cell>
          <cell r="E61" t="str">
            <v>WDFM</v>
          </cell>
          <cell r="F61">
            <v>0</v>
          </cell>
          <cell r="G61" t="str">
            <v/>
          </cell>
          <cell r="H61" t="str">
            <v/>
          </cell>
          <cell r="I61" t="str">
            <v/>
          </cell>
          <cell r="J61" t="str">
            <v/>
          </cell>
          <cell r="K61" t="str">
            <v/>
          </cell>
          <cell r="L61" t="str">
            <v/>
          </cell>
          <cell r="M61">
            <v>520</v>
          </cell>
        </row>
        <row r="62">
          <cell r="A62" t="str">
            <v>32P0727</v>
          </cell>
          <cell r="B62" t="str">
            <v/>
          </cell>
          <cell r="C62" t="str">
            <v>WITHDRAWN;IBM 73.4GB 10K-rpm Ultra320 SCSI Hot-Swap SL HDD</v>
          </cell>
          <cell r="D62">
            <v>0</v>
          </cell>
          <cell r="E62" t="str">
            <v>WDFM</v>
          </cell>
          <cell r="F62">
            <v>0</v>
          </cell>
          <cell r="G62" t="str">
            <v/>
          </cell>
          <cell r="H62" t="str">
            <v/>
          </cell>
          <cell r="I62" t="str">
            <v/>
          </cell>
          <cell r="J62" t="str">
            <v/>
          </cell>
          <cell r="K62" t="str">
            <v/>
          </cell>
          <cell r="L62" t="str">
            <v/>
          </cell>
          <cell r="M62">
            <v>530</v>
          </cell>
        </row>
        <row r="63">
          <cell r="A63" t="str">
            <v>32P0735</v>
          </cell>
          <cell r="B63" t="str">
            <v/>
          </cell>
          <cell r="C63" t="str">
            <v>WITHDRAWN;IBM 73.4GB 15K-rpm Ultra320 SCSI Hot-Swap SL HDD</v>
          </cell>
          <cell r="D63">
            <v>0</v>
          </cell>
          <cell r="E63" t="str">
            <v>WDFM</v>
          </cell>
          <cell r="F63">
            <v>0</v>
          </cell>
          <cell r="G63" t="str">
            <v/>
          </cell>
          <cell r="H63" t="str">
            <v/>
          </cell>
          <cell r="I63" t="str">
            <v/>
          </cell>
          <cell r="J63" t="str">
            <v/>
          </cell>
          <cell r="K63" t="str">
            <v/>
          </cell>
          <cell r="L63" t="str">
            <v/>
          </cell>
          <cell r="M63">
            <v>540</v>
          </cell>
        </row>
        <row r="64">
          <cell r="A64" t="str">
            <v>32P0728</v>
          </cell>
          <cell r="B64" t="str">
            <v/>
          </cell>
          <cell r="C64" t="str">
            <v>WITHDRAWN;IBM 146.8GB 10K-rpm Ultra320 SCSI Hot-Swap SL HDD</v>
          </cell>
          <cell r="D64">
            <v>0</v>
          </cell>
          <cell r="E64" t="str">
            <v>WDFM</v>
          </cell>
          <cell r="F64">
            <v>0</v>
          </cell>
          <cell r="G64" t="str">
            <v/>
          </cell>
          <cell r="H64" t="str">
            <v/>
          </cell>
          <cell r="I64" t="str">
            <v/>
          </cell>
          <cell r="J64" t="str">
            <v/>
          </cell>
          <cell r="K64" t="str">
            <v/>
          </cell>
          <cell r="L64" t="str">
            <v/>
          </cell>
          <cell r="M64">
            <v>550</v>
          </cell>
        </row>
        <row r="65">
          <cell r="A65" t="str">
            <v>90P1304</v>
          </cell>
          <cell r="B65" t="str">
            <v/>
          </cell>
          <cell r="C65" t="str">
            <v>IBM 36.4 GB Hot-Swap U320 10K SCSI SSL Drive</v>
          </cell>
          <cell r="D65">
            <v>0</v>
          </cell>
          <cell r="E65">
            <v>419</v>
          </cell>
          <cell r="F65">
            <v>0</v>
          </cell>
          <cell r="G65" t="str">
            <v/>
          </cell>
          <cell r="H65" t="str">
            <v/>
          </cell>
          <cell r="I65" t="str">
            <v/>
          </cell>
          <cell r="J65" t="str">
            <v/>
          </cell>
          <cell r="K65" t="str">
            <v/>
          </cell>
          <cell r="L65" t="str">
            <v/>
          </cell>
          <cell r="M65">
            <v>560</v>
          </cell>
        </row>
        <row r="66">
          <cell r="A66" t="str">
            <v>90P1318</v>
          </cell>
          <cell r="B66" t="str">
            <v/>
          </cell>
          <cell r="C66" t="str">
            <v>IBM 36.4 GB Hot-Swap U320 15K SCSI SSL Drive</v>
          </cell>
          <cell r="D66">
            <v>0</v>
          </cell>
          <cell r="E66">
            <v>539</v>
          </cell>
          <cell r="F66">
            <v>0</v>
          </cell>
          <cell r="G66" t="str">
            <v/>
          </cell>
          <cell r="H66" t="str">
            <v/>
          </cell>
          <cell r="I66" t="str">
            <v/>
          </cell>
          <cell r="J66" t="str">
            <v/>
          </cell>
          <cell r="K66" t="str">
            <v/>
          </cell>
          <cell r="L66" t="str">
            <v/>
          </cell>
          <cell r="M66">
            <v>570</v>
          </cell>
        </row>
        <row r="67">
          <cell r="A67" t="str">
            <v>90P1305</v>
          </cell>
          <cell r="B67" t="str">
            <v/>
          </cell>
          <cell r="C67" t="str">
            <v>IBM 73.4 GB Hot-Swap U320 10K SCSI SSL Drive</v>
          </cell>
          <cell r="D67">
            <v>0</v>
          </cell>
          <cell r="E67">
            <v>659</v>
          </cell>
          <cell r="F67">
            <v>0</v>
          </cell>
          <cell r="G67" t="str">
            <v/>
          </cell>
          <cell r="H67" t="str">
            <v/>
          </cell>
          <cell r="I67" t="str">
            <v/>
          </cell>
          <cell r="J67" t="str">
            <v/>
          </cell>
          <cell r="K67" t="str">
            <v/>
          </cell>
          <cell r="L67" t="str">
            <v/>
          </cell>
          <cell r="M67">
            <v>580</v>
          </cell>
        </row>
        <row r="68">
          <cell r="A68" t="str">
            <v>90P1319</v>
          </cell>
          <cell r="B68" t="str">
            <v/>
          </cell>
          <cell r="C68" t="str">
            <v xml:space="preserve">IBM 73.4 GB Hot-Swap U320 15 K SCSI SSL Drive </v>
          </cell>
          <cell r="D68">
            <v>0</v>
          </cell>
          <cell r="E68">
            <v>779</v>
          </cell>
          <cell r="F68">
            <v>0</v>
          </cell>
          <cell r="G68" t="str">
            <v/>
          </cell>
          <cell r="H68" t="str">
            <v/>
          </cell>
          <cell r="I68" t="str">
            <v/>
          </cell>
          <cell r="J68" t="str">
            <v/>
          </cell>
          <cell r="K68" t="str">
            <v/>
          </cell>
          <cell r="L68" t="str">
            <v/>
          </cell>
          <cell r="M68">
            <v>590</v>
          </cell>
        </row>
        <row r="69">
          <cell r="A69" t="str">
            <v>90P1306</v>
          </cell>
          <cell r="B69" t="str">
            <v/>
          </cell>
          <cell r="C69" t="str">
            <v>IBM 146.8 GB Hot-Swap U320 10K SCSI SSL Drive</v>
          </cell>
          <cell r="D69">
            <v>0</v>
          </cell>
          <cell r="E69">
            <v>779</v>
          </cell>
          <cell r="F69">
            <v>0</v>
          </cell>
          <cell r="G69" t="str">
            <v/>
          </cell>
          <cell r="H69" t="str">
            <v/>
          </cell>
          <cell r="I69" t="str">
            <v/>
          </cell>
          <cell r="J69" t="str">
            <v/>
          </cell>
          <cell r="K69" t="str">
            <v/>
          </cell>
          <cell r="L69" t="str">
            <v/>
          </cell>
          <cell r="M69">
            <v>600</v>
          </cell>
        </row>
        <row r="70">
          <cell r="A70" t="str">
            <v>N/A</v>
          </cell>
          <cell r="B70" t="str">
            <v/>
          </cell>
          <cell r="C70" t="str">
            <v>WITHDRAWN;TopSeller Bundles, 2 x 73.4GB 10K-rpm Ultra320 HDD</v>
          </cell>
          <cell r="D70">
            <v>0</v>
          </cell>
          <cell r="E70" t="str">
            <v>N/A</v>
          </cell>
          <cell r="F70">
            <v>0</v>
          </cell>
          <cell r="G70" t="str">
            <v/>
          </cell>
          <cell r="H70" t="str">
            <v/>
          </cell>
          <cell r="I70" t="str">
            <v/>
          </cell>
          <cell r="J70" t="str">
            <v/>
          </cell>
          <cell r="K70" t="str">
            <v/>
          </cell>
          <cell r="L70" t="str">
            <v/>
          </cell>
          <cell r="M70">
            <v>610</v>
          </cell>
        </row>
        <row r="71">
          <cell r="A71" t="str">
            <v>N/A</v>
          </cell>
          <cell r="B71" t="str">
            <v/>
          </cell>
          <cell r="C71" t="str">
            <v>WITHDRAWN;TopSeller Bundles, 2 x 36.4GB 10K Ultra320 SCSI HS HDD</v>
          </cell>
          <cell r="D71">
            <v>0</v>
          </cell>
          <cell r="E71" t="str">
            <v>N/A</v>
          </cell>
          <cell r="F71">
            <v>0</v>
          </cell>
          <cell r="G71" t="str">
            <v/>
          </cell>
          <cell r="H71" t="str">
            <v/>
          </cell>
          <cell r="I71" t="str">
            <v/>
          </cell>
          <cell r="J71" t="str">
            <v/>
          </cell>
          <cell r="K71" t="str">
            <v/>
          </cell>
          <cell r="L71" t="str">
            <v/>
          </cell>
          <cell r="M71">
            <v>620</v>
          </cell>
        </row>
        <row r="72">
          <cell r="A72" t="str">
            <v>N/A</v>
          </cell>
          <cell r="B72" t="str">
            <v/>
          </cell>
          <cell r="C72" t="str">
            <v>WITHDRAWN;TopSeller Bundles, 2 x 36.4GB 15K Ultra320 SCSI HS HDD</v>
          </cell>
          <cell r="D72">
            <v>0</v>
          </cell>
          <cell r="E72" t="str">
            <v>N/A</v>
          </cell>
          <cell r="F72">
            <v>0</v>
          </cell>
          <cell r="G72" t="str">
            <v/>
          </cell>
          <cell r="H72" t="str">
            <v/>
          </cell>
          <cell r="I72" t="str">
            <v/>
          </cell>
          <cell r="J72" t="str">
            <v/>
          </cell>
          <cell r="K72" t="str">
            <v/>
          </cell>
          <cell r="L72" t="str">
            <v/>
          </cell>
          <cell r="M72">
            <v>630</v>
          </cell>
        </row>
        <row r="73">
          <cell r="A73" t="str">
            <v>N/A</v>
          </cell>
          <cell r="B73" t="str">
            <v/>
          </cell>
          <cell r="C73" t="str">
            <v>WITHDRAWN;TopSeller Bundles, 2 x 73.4GB 15K Ultra320 SCSI HS HDD</v>
          </cell>
          <cell r="D73">
            <v>0</v>
          </cell>
          <cell r="E73" t="str">
            <v>N/A</v>
          </cell>
          <cell r="F73">
            <v>0</v>
          </cell>
          <cell r="G73" t="str">
            <v/>
          </cell>
          <cell r="H73" t="str">
            <v/>
          </cell>
          <cell r="I73" t="str">
            <v/>
          </cell>
          <cell r="J73" t="str">
            <v/>
          </cell>
          <cell r="K73" t="str">
            <v/>
          </cell>
          <cell r="L73" t="str">
            <v/>
          </cell>
          <cell r="M73">
            <v>640</v>
          </cell>
        </row>
        <row r="74">
          <cell r="A74" t="str">
            <v>N/A</v>
          </cell>
          <cell r="B74" t="str">
            <v/>
          </cell>
          <cell r="C74" t="str">
            <v>TopSeller IBM 73.4GB 10K  U320 SCSI HS Option</v>
          </cell>
          <cell r="D74">
            <v>0</v>
          </cell>
          <cell r="E74" t="str">
            <v>N/A</v>
          </cell>
          <cell r="F74">
            <v>0</v>
          </cell>
          <cell r="G74" t="str">
            <v/>
          </cell>
          <cell r="H74" t="str">
            <v/>
          </cell>
          <cell r="I74" t="str">
            <v/>
          </cell>
          <cell r="J74" t="str">
            <v/>
          </cell>
          <cell r="K74" t="str">
            <v/>
          </cell>
          <cell r="L74" t="str">
            <v/>
          </cell>
          <cell r="M74">
            <v>650</v>
          </cell>
        </row>
        <row r="75">
          <cell r="A75" t="str">
            <v>N/A</v>
          </cell>
          <cell r="B75" t="str">
            <v/>
          </cell>
          <cell r="C75" t="str">
            <v>TopSeller IBM 146.8GB 10K U320 SCSI HS Option</v>
          </cell>
          <cell r="D75">
            <v>0</v>
          </cell>
          <cell r="E75" t="str">
            <v>N/A</v>
          </cell>
          <cell r="F75">
            <v>0</v>
          </cell>
          <cell r="G75" t="str">
            <v/>
          </cell>
          <cell r="H75" t="str">
            <v/>
          </cell>
          <cell r="I75" t="str">
            <v/>
          </cell>
          <cell r="J75" t="str">
            <v/>
          </cell>
          <cell r="K75" t="str">
            <v/>
          </cell>
          <cell r="L75" t="str">
            <v/>
          </cell>
          <cell r="M75">
            <v>660</v>
          </cell>
        </row>
        <row r="76">
          <cell r="A76" t="str">
            <v>N/A</v>
          </cell>
          <cell r="B76" t="str">
            <v/>
          </cell>
          <cell r="C76" t="str">
            <v>TopSeller IBM 36.4GB 15K  U320 SCSI HS Option</v>
          </cell>
          <cell r="D76">
            <v>0</v>
          </cell>
          <cell r="E76" t="str">
            <v>N/A</v>
          </cell>
          <cell r="F76">
            <v>0</v>
          </cell>
          <cell r="G76" t="str">
            <v/>
          </cell>
          <cell r="H76" t="str">
            <v/>
          </cell>
          <cell r="I76" t="str">
            <v/>
          </cell>
          <cell r="J76" t="str">
            <v/>
          </cell>
          <cell r="K76" t="str">
            <v/>
          </cell>
          <cell r="L76" t="str">
            <v/>
          </cell>
          <cell r="M76">
            <v>670</v>
          </cell>
        </row>
        <row r="77">
          <cell r="A77" t="str">
            <v>N/A</v>
          </cell>
          <cell r="B77" t="str">
            <v/>
          </cell>
          <cell r="C77" t="str">
            <v>TopSeller IBM 73.4GB 15K  U320 SCSI HS Option</v>
          </cell>
          <cell r="D77">
            <v>0</v>
          </cell>
          <cell r="E77" t="str">
            <v>N/A</v>
          </cell>
          <cell r="F77">
            <v>0</v>
          </cell>
          <cell r="G77" t="str">
            <v/>
          </cell>
          <cell r="H77" t="str">
            <v/>
          </cell>
          <cell r="I77" t="str">
            <v/>
          </cell>
          <cell r="J77" t="str">
            <v/>
          </cell>
          <cell r="K77" t="str">
            <v/>
          </cell>
          <cell r="L77" t="str">
            <v/>
          </cell>
          <cell r="M77">
            <v>680</v>
          </cell>
        </row>
        <row r="78">
          <cell r="C78" t="str">
            <v>No Disks Configured</v>
          </cell>
          <cell r="M78">
            <v>690</v>
          </cell>
        </row>
        <row r="79">
          <cell r="C79" t="str">
            <v xml:space="preserve">Installed Disk Capacity (GB) is </v>
          </cell>
          <cell r="M79">
            <v>700</v>
          </cell>
        </row>
        <row r="80">
          <cell r="C80">
            <v>0</v>
          </cell>
          <cell r="M80">
            <v>710</v>
          </cell>
        </row>
        <row r="81">
          <cell r="M81">
            <v>720</v>
          </cell>
        </row>
        <row r="82">
          <cell r="A82" t="str">
            <v>I/O Options</v>
          </cell>
          <cell r="M82">
            <v>730</v>
          </cell>
        </row>
        <row r="83">
          <cell r="C83" t="str">
            <v>System supports up to 7 full length PCI cards</v>
          </cell>
          <cell r="M83">
            <v>740</v>
          </cell>
        </row>
        <row r="84">
          <cell r="A84" t="str">
            <v>- Storage Controllers</v>
          </cell>
          <cell r="M84">
            <v>750</v>
          </cell>
        </row>
        <row r="85">
          <cell r="C85" t="str">
            <v>System comes with a dual-port, dual-channel 64-bit Wide Ultra160 SCSI controller</v>
          </cell>
          <cell r="M85">
            <v>760</v>
          </cell>
        </row>
        <row r="86">
          <cell r="A86" t="str">
            <v>06P5740</v>
          </cell>
          <cell r="B86" t="str">
            <v/>
          </cell>
          <cell r="C86" t="str">
            <v>WITHDRAWN;IBM ServeRAID-4Lx Ultra160 SCSI Controller</v>
          </cell>
          <cell r="D86">
            <v>0</v>
          </cell>
          <cell r="E86" t="str">
            <v>WDFM</v>
          </cell>
          <cell r="F86">
            <v>0</v>
          </cell>
          <cell r="G86" t="str">
            <v/>
          </cell>
          <cell r="H86" t="str">
            <v/>
          </cell>
          <cell r="I86" t="str">
            <v/>
          </cell>
          <cell r="J86" t="str">
            <v/>
          </cell>
          <cell r="K86" t="str">
            <v/>
          </cell>
          <cell r="L86" t="str">
            <v/>
          </cell>
          <cell r="M86">
            <v>770</v>
          </cell>
        </row>
        <row r="87">
          <cell r="A87" t="str">
            <v>32P0033</v>
          </cell>
          <cell r="B87" t="str">
            <v/>
          </cell>
          <cell r="C87" t="str">
            <v>IBM ServeRAID-6M SCSI Controller (128MB Cache)</v>
          </cell>
          <cell r="D87">
            <v>0</v>
          </cell>
          <cell r="E87">
            <v>1499</v>
          </cell>
          <cell r="F87">
            <v>0</v>
          </cell>
          <cell r="G87" t="str">
            <v/>
          </cell>
          <cell r="H87" t="str">
            <v/>
          </cell>
          <cell r="I87" t="str">
            <v/>
          </cell>
          <cell r="J87" t="str">
            <v/>
          </cell>
          <cell r="K87" t="str">
            <v/>
          </cell>
          <cell r="L87" t="str">
            <v/>
          </cell>
          <cell r="M87">
            <v>780</v>
          </cell>
        </row>
        <row r="88">
          <cell r="A88" t="str">
            <v>02R0988</v>
          </cell>
          <cell r="B88" t="str">
            <v/>
          </cell>
          <cell r="C88" t="str">
            <v>IBM ServeRAID-6M SCSI Controller (256MB Cache)</v>
          </cell>
          <cell r="D88">
            <v>0</v>
          </cell>
          <cell r="E88">
            <v>1899</v>
          </cell>
          <cell r="F88">
            <v>0</v>
          </cell>
          <cell r="G88" t="str">
            <v/>
          </cell>
          <cell r="H88" t="str">
            <v/>
          </cell>
          <cell r="I88" t="str">
            <v/>
          </cell>
          <cell r="J88" t="str">
            <v/>
          </cell>
          <cell r="K88" t="str">
            <v/>
          </cell>
          <cell r="L88" t="str">
            <v/>
          </cell>
          <cell r="M88">
            <v>790</v>
          </cell>
        </row>
        <row r="89">
          <cell r="A89" t="str">
            <v>02R2068</v>
          </cell>
          <cell r="B89" t="str">
            <v/>
          </cell>
          <cell r="C89" t="str">
            <v>Ultra320 Internal Single-drop 24" LVD SCSI Cable</v>
          </cell>
          <cell r="D89">
            <v>0</v>
          </cell>
          <cell r="E89">
            <v>56</v>
          </cell>
          <cell r="F89">
            <v>0</v>
          </cell>
          <cell r="G89" t="str">
            <v/>
          </cell>
          <cell r="H89" t="str">
            <v/>
          </cell>
          <cell r="I89" t="str">
            <v/>
          </cell>
          <cell r="J89" t="str">
            <v/>
          </cell>
          <cell r="K89" t="str">
            <v/>
          </cell>
          <cell r="L89" t="str">
            <v/>
          </cell>
          <cell r="M89">
            <v>800</v>
          </cell>
        </row>
        <row r="90">
          <cell r="C90" t="str">
            <v/>
          </cell>
          <cell r="M90">
            <v>810</v>
          </cell>
        </row>
        <row r="91">
          <cell r="A91" t="str">
            <v>19K4646</v>
          </cell>
          <cell r="B91" t="str">
            <v/>
          </cell>
          <cell r="C91" t="str">
            <v>PCI Wide Ultra 160 SCSI Adapter</v>
          </cell>
          <cell r="D91">
            <v>0</v>
          </cell>
          <cell r="E91">
            <v>469</v>
          </cell>
          <cell r="F91">
            <v>0</v>
          </cell>
          <cell r="G91" t="str">
            <v/>
          </cell>
          <cell r="H91" t="str">
            <v/>
          </cell>
          <cell r="I91" t="str">
            <v/>
          </cell>
          <cell r="J91" t="str">
            <v/>
          </cell>
          <cell r="K91" t="str">
            <v/>
          </cell>
          <cell r="L91" t="str">
            <v/>
          </cell>
          <cell r="M91">
            <v>820</v>
          </cell>
        </row>
        <row r="92">
          <cell r="A92" t="str">
            <v>32P8164</v>
          </cell>
          <cell r="B92" t="str">
            <v/>
          </cell>
          <cell r="C92" t="str">
            <v>IBM External SCSI Interface Kit</v>
          </cell>
          <cell r="D92">
            <v>0</v>
          </cell>
          <cell r="E92">
            <v>79</v>
          </cell>
          <cell r="F92">
            <v>0</v>
          </cell>
          <cell r="G92" t="str">
            <v/>
          </cell>
          <cell r="H92" t="str">
            <v/>
          </cell>
          <cell r="I92" t="str">
            <v/>
          </cell>
          <cell r="J92" t="str">
            <v/>
          </cell>
          <cell r="K92" t="str">
            <v/>
          </cell>
          <cell r="L92" t="str">
            <v/>
          </cell>
          <cell r="M92">
            <v>830</v>
          </cell>
        </row>
        <row r="93">
          <cell r="C93" t="str">
            <v/>
          </cell>
          <cell r="M93">
            <v>840</v>
          </cell>
        </row>
        <row r="94">
          <cell r="A94" t="str">
            <v>- Fibre Storage Controllers</v>
          </cell>
          <cell r="M94">
            <v>850</v>
          </cell>
        </row>
        <row r="95">
          <cell r="A95" t="str">
            <v>24P0960</v>
          </cell>
          <cell r="B95" t="str">
            <v/>
          </cell>
          <cell r="C95" t="str">
            <v>IBM Total Storage DS4000 FC2-133 Host Bus Adapter</v>
          </cell>
          <cell r="D95">
            <v>0</v>
          </cell>
          <cell r="E95">
            <v>2299</v>
          </cell>
          <cell r="F95">
            <v>0</v>
          </cell>
          <cell r="G95" t="str">
            <v/>
          </cell>
          <cell r="H95" t="str">
            <v/>
          </cell>
          <cell r="I95" t="str">
            <v/>
          </cell>
          <cell r="J95" t="str">
            <v/>
          </cell>
          <cell r="K95" t="str">
            <v/>
          </cell>
          <cell r="L95" t="str">
            <v/>
          </cell>
          <cell r="M95">
            <v>860</v>
          </cell>
        </row>
        <row r="96">
          <cell r="A96" t="str">
            <v>- LAN Adapter Options</v>
          </cell>
          <cell r="M96">
            <v>870</v>
          </cell>
        </row>
        <row r="97">
          <cell r="C97" t="str">
            <v>System comes with integrated 10/100/1000 Broadcom single-port Ethernet Controller</v>
          </cell>
          <cell r="M97">
            <v>880</v>
          </cell>
        </row>
        <row r="98">
          <cell r="A98" t="str">
            <v>06P3601</v>
          </cell>
          <cell r="B98" t="str">
            <v/>
          </cell>
          <cell r="C98" t="str">
            <v>IBM 10/100 Ethernet Server Adapter</v>
          </cell>
          <cell r="D98">
            <v>0</v>
          </cell>
          <cell r="E98">
            <v>159.01</v>
          </cell>
          <cell r="F98">
            <v>0</v>
          </cell>
          <cell r="G98" t="str">
            <v/>
          </cell>
          <cell r="H98" t="str">
            <v/>
          </cell>
          <cell r="I98" t="str">
            <v/>
          </cell>
          <cell r="J98" t="str">
            <v/>
          </cell>
          <cell r="K98" t="str">
            <v/>
          </cell>
          <cell r="L98" t="str">
            <v/>
          </cell>
          <cell r="M98">
            <v>890</v>
          </cell>
        </row>
        <row r="99">
          <cell r="A99" t="str">
            <v>22P7801</v>
          </cell>
          <cell r="B99" t="str">
            <v/>
          </cell>
          <cell r="C99" t="str">
            <v>WITHDRAWN;NetXtreme 1000 SX Fiber Ethernet adapter</v>
          </cell>
          <cell r="D99">
            <v>0</v>
          </cell>
          <cell r="E99" t="str">
            <v>WDFM</v>
          </cell>
          <cell r="F99">
            <v>0</v>
          </cell>
          <cell r="G99" t="str">
            <v/>
          </cell>
          <cell r="H99" t="str">
            <v/>
          </cell>
          <cell r="I99" t="str">
            <v/>
          </cell>
          <cell r="J99" t="str">
            <v/>
          </cell>
          <cell r="K99" t="str">
            <v/>
          </cell>
          <cell r="L99" t="str">
            <v/>
          </cell>
          <cell r="M99">
            <v>900</v>
          </cell>
        </row>
        <row r="100">
          <cell r="A100" t="str">
            <v>31P6301</v>
          </cell>
          <cell r="B100" t="str">
            <v/>
          </cell>
          <cell r="C100" t="str">
            <v>WITHDRAWN;NetXtreme 1000 T Ethernet Adapter (copper)</v>
          </cell>
          <cell r="D100">
            <v>0</v>
          </cell>
          <cell r="E100" t="str">
            <v>WDFM</v>
          </cell>
          <cell r="F100">
            <v>0</v>
          </cell>
          <cell r="G100" t="str">
            <v/>
          </cell>
          <cell r="H100" t="str">
            <v/>
          </cell>
          <cell r="I100" t="str">
            <v/>
          </cell>
          <cell r="J100" t="str">
            <v/>
          </cell>
          <cell r="K100" t="str">
            <v/>
          </cell>
          <cell r="L100" t="str">
            <v/>
          </cell>
          <cell r="M100">
            <v>910</v>
          </cell>
        </row>
        <row r="101">
          <cell r="A101" t="str">
            <v>31P6401</v>
          </cell>
          <cell r="B101" t="str">
            <v/>
          </cell>
          <cell r="C101" t="str">
            <v>WITHDRAWN;NetXtreme 1000 T Dual Port Ethernet Adapter</v>
          </cell>
          <cell r="D101">
            <v>0</v>
          </cell>
          <cell r="E101" t="str">
            <v>WDFM</v>
          </cell>
          <cell r="F101">
            <v>0</v>
          </cell>
          <cell r="G101" t="str">
            <v/>
          </cell>
          <cell r="H101" t="str">
            <v/>
          </cell>
          <cell r="I101" t="str">
            <v/>
          </cell>
          <cell r="J101" t="str">
            <v/>
          </cell>
          <cell r="K101" t="str">
            <v/>
          </cell>
          <cell r="L101" t="str">
            <v/>
          </cell>
          <cell r="M101">
            <v>920</v>
          </cell>
        </row>
        <row r="102">
          <cell r="A102" t="str">
            <v>31P9601</v>
          </cell>
          <cell r="B102" t="str">
            <v/>
          </cell>
          <cell r="C102" t="str">
            <v>Intel PRO/1000 MT Server Adapter</v>
          </cell>
          <cell r="D102">
            <v>0</v>
          </cell>
          <cell r="E102">
            <v>219</v>
          </cell>
          <cell r="F102">
            <v>0</v>
          </cell>
          <cell r="G102" t="str">
            <v/>
          </cell>
          <cell r="H102" t="str">
            <v/>
          </cell>
          <cell r="I102" t="str">
            <v/>
          </cell>
          <cell r="J102" t="str">
            <v/>
          </cell>
          <cell r="K102" t="str">
            <v/>
          </cell>
          <cell r="L102" t="str">
            <v/>
          </cell>
          <cell r="M102">
            <v>930</v>
          </cell>
        </row>
        <row r="103">
          <cell r="C103" t="str">
            <v/>
          </cell>
          <cell r="M103">
            <v>940</v>
          </cell>
        </row>
        <row r="104">
          <cell r="A104" t="str">
            <v>- Communications Adapters</v>
          </cell>
          <cell r="M104">
            <v>950</v>
          </cell>
        </row>
        <row r="105">
          <cell r="C105" t="str">
            <v>System includes 4 USB ports, 1 external serial port &amp; 2 integrated RS-485 system management interconnect ports</v>
          </cell>
          <cell r="M105">
            <v>960</v>
          </cell>
        </row>
        <row r="106">
          <cell r="A106" t="str">
            <v>33L4618</v>
          </cell>
          <cell r="B106" t="str">
            <v/>
          </cell>
          <cell r="C106" t="str">
            <v>IBM V.90 PCI Data/Fax Modem</v>
          </cell>
          <cell r="D106">
            <v>0</v>
          </cell>
          <cell r="E106">
            <v>129</v>
          </cell>
          <cell r="F106">
            <v>0</v>
          </cell>
          <cell r="G106" t="str">
            <v/>
          </cell>
          <cell r="H106" t="str">
            <v/>
          </cell>
          <cell r="I106" t="str">
            <v/>
          </cell>
          <cell r="J106" t="str">
            <v/>
          </cell>
          <cell r="K106" t="str">
            <v/>
          </cell>
          <cell r="L106" t="str">
            <v/>
          </cell>
          <cell r="M106">
            <v>970</v>
          </cell>
        </row>
        <row r="107">
          <cell r="A107" t="str">
            <v>1519100</v>
          </cell>
          <cell r="B107" t="str">
            <v/>
          </cell>
          <cell r="C107" t="str">
            <v>Integrated xSeries Adapter for iSeries</v>
          </cell>
          <cell r="D107">
            <v>0</v>
          </cell>
          <cell r="E107" t="str">
            <v>???</v>
          </cell>
          <cell r="F107">
            <v>0</v>
          </cell>
          <cell r="G107" t="str">
            <v/>
          </cell>
          <cell r="H107" t="str">
            <v/>
          </cell>
          <cell r="I107" t="str">
            <v/>
          </cell>
          <cell r="J107" t="str">
            <v/>
          </cell>
          <cell r="K107" t="str">
            <v/>
          </cell>
          <cell r="L107" t="str">
            <v/>
          </cell>
          <cell r="M107">
            <v>980</v>
          </cell>
        </row>
        <row r="108">
          <cell r="A108" t="str">
            <v>- Advanced System Management options</v>
          </cell>
          <cell r="M108">
            <v>990</v>
          </cell>
        </row>
        <row r="109">
          <cell r="C109" t="str">
            <v>System comes with integrated IBM Advanced System Management processor</v>
          </cell>
          <cell r="M109">
            <v>1000</v>
          </cell>
        </row>
        <row r="110">
          <cell r="A110" t="str">
            <v>59P2995</v>
          </cell>
          <cell r="B110" t="str">
            <v/>
          </cell>
          <cell r="C110" t="str">
            <v>Remote Supervisor Adapter II</v>
          </cell>
          <cell r="D110">
            <v>0</v>
          </cell>
          <cell r="E110">
            <v>939</v>
          </cell>
          <cell r="F110">
            <v>0</v>
          </cell>
          <cell r="G110" t="str">
            <v/>
          </cell>
          <cell r="H110" t="str">
            <v/>
          </cell>
          <cell r="I110" t="str">
            <v/>
          </cell>
          <cell r="J110" t="str">
            <v/>
          </cell>
          <cell r="K110" t="str">
            <v/>
          </cell>
          <cell r="L110" t="str">
            <v/>
          </cell>
          <cell r="M110">
            <v>1010</v>
          </cell>
        </row>
        <row r="111">
          <cell r="C111" t="str">
            <v>No PCI Cards installed</v>
          </cell>
          <cell r="M111">
            <v>1020</v>
          </cell>
        </row>
        <row r="112">
          <cell r="M112">
            <v>1030</v>
          </cell>
        </row>
        <row r="113">
          <cell r="A113" t="str">
            <v>External Storage Enclosures</v>
          </cell>
          <cell r="M113">
            <v>1040</v>
          </cell>
        </row>
        <row r="114">
          <cell r="C114" t="str">
            <v>Use Fibre Options sheet to order DS4100, FAStT200s, DS4500s, EXP500s or Switches.</v>
          </cell>
          <cell r="M114">
            <v>1050</v>
          </cell>
        </row>
        <row r="115">
          <cell r="M115">
            <v>1060</v>
          </cell>
        </row>
        <row r="116">
          <cell r="A116" t="str">
            <v>Tape Drives</v>
          </cell>
          <cell r="M116">
            <v>1070</v>
          </cell>
        </row>
        <row r="117">
          <cell r="C117" t="str">
            <v>Select 1 FH Tape Drive or up to 2 HH Tape Drives, if required</v>
          </cell>
          <cell r="M117">
            <v>1080</v>
          </cell>
        </row>
        <row r="118">
          <cell r="A118" t="str">
            <v>00N7991</v>
          </cell>
          <cell r="B118" t="str">
            <v/>
          </cell>
          <cell r="C118" t="str">
            <v>IBM 20/40GB DDS/4 4mm Internal Tape Drive -SCSI</v>
          </cell>
          <cell r="D118">
            <v>0</v>
          </cell>
          <cell r="E118">
            <v>1099</v>
          </cell>
          <cell r="F118">
            <v>0</v>
          </cell>
          <cell r="G118" t="str">
            <v/>
          </cell>
          <cell r="H118" t="str">
            <v/>
          </cell>
          <cell r="I118" t="str">
            <v/>
          </cell>
          <cell r="J118" t="str">
            <v/>
          </cell>
          <cell r="K118" t="str">
            <v/>
          </cell>
          <cell r="L118" t="str">
            <v/>
          </cell>
          <cell r="M118">
            <v>1090</v>
          </cell>
        </row>
        <row r="119">
          <cell r="A119" t="str">
            <v>00N7992</v>
          </cell>
          <cell r="B119" t="str">
            <v/>
          </cell>
          <cell r="C119" t="str">
            <v>IBM 120/240GB DDS/4 Tape Autoloader</v>
          </cell>
          <cell r="D119">
            <v>0</v>
          </cell>
          <cell r="E119">
            <v>4089</v>
          </cell>
          <cell r="F119">
            <v>0</v>
          </cell>
          <cell r="G119" t="str">
            <v/>
          </cell>
          <cell r="H119" t="str">
            <v/>
          </cell>
          <cell r="I119" t="str">
            <v/>
          </cell>
          <cell r="J119" t="str">
            <v/>
          </cell>
          <cell r="K119" t="str">
            <v/>
          </cell>
          <cell r="L119" t="str">
            <v/>
          </cell>
          <cell r="M119">
            <v>1100</v>
          </cell>
        </row>
        <row r="120">
          <cell r="A120" t="str">
            <v>59P6745</v>
          </cell>
          <cell r="B120" t="str">
            <v/>
          </cell>
          <cell r="C120" t="str">
            <v>IBM 80/160 GB Half-High VS160 Internal Tape Drive - SCSI</v>
          </cell>
          <cell r="D120">
            <v>0</v>
          </cell>
          <cell r="E120">
            <v>3699</v>
          </cell>
          <cell r="F120">
            <v>0</v>
          </cell>
          <cell r="G120" t="str">
            <v/>
          </cell>
          <cell r="H120" t="str">
            <v/>
          </cell>
          <cell r="I120" t="str">
            <v/>
          </cell>
          <cell r="J120" t="str">
            <v/>
          </cell>
          <cell r="K120" t="str">
            <v/>
          </cell>
          <cell r="L120" t="str">
            <v/>
          </cell>
          <cell r="M120">
            <v>1110</v>
          </cell>
        </row>
        <row r="121">
          <cell r="A121" t="str">
            <v>59P6736</v>
          </cell>
          <cell r="B121" t="str">
            <v/>
          </cell>
          <cell r="C121" t="str">
            <v>IBM 160/320GB SDLT Tape Drive</v>
          </cell>
          <cell r="D121">
            <v>0</v>
          </cell>
          <cell r="E121">
            <v>8419</v>
          </cell>
          <cell r="F121">
            <v>0</v>
          </cell>
          <cell r="G121" t="str">
            <v/>
          </cell>
          <cell r="H121" t="str">
            <v/>
          </cell>
          <cell r="I121" t="str">
            <v/>
          </cell>
          <cell r="J121" t="str">
            <v/>
          </cell>
          <cell r="K121" t="str">
            <v/>
          </cell>
          <cell r="L121" t="str">
            <v/>
          </cell>
          <cell r="M121">
            <v>1120</v>
          </cell>
        </row>
        <row r="122">
          <cell r="A122" t="str">
            <v>59P6744</v>
          </cell>
          <cell r="B122" t="str">
            <v/>
          </cell>
          <cell r="C122" t="str">
            <v>IBM 200/400GB LTO-Generation 2 Full-High Tape Drive</v>
          </cell>
          <cell r="D122">
            <v>0</v>
          </cell>
          <cell r="E122">
            <v>5999</v>
          </cell>
          <cell r="F122">
            <v>0</v>
          </cell>
          <cell r="G122" t="str">
            <v/>
          </cell>
          <cell r="H122" t="str">
            <v/>
          </cell>
          <cell r="I122" t="str">
            <v/>
          </cell>
          <cell r="J122" t="str">
            <v/>
          </cell>
          <cell r="K122" t="str">
            <v/>
          </cell>
          <cell r="L122" t="str">
            <v/>
          </cell>
          <cell r="M122">
            <v>1130</v>
          </cell>
        </row>
        <row r="123">
          <cell r="A123" t="str">
            <v>N/A</v>
          </cell>
          <cell r="B123" t="str">
            <v>30R5-099</v>
          </cell>
          <cell r="C123" t="str">
            <v>TopSeller IBM 200/400GB Internal LTO Tape Drive</v>
          </cell>
          <cell r="D123">
            <v>0</v>
          </cell>
          <cell r="E123" t="str">
            <v>N/A</v>
          </cell>
          <cell r="F123">
            <v>0</v>
          </cell>
          <cell r="G123" t="str">
            <v/>
          </cell>
          <cell r="H123" t="str">
            <v/>
          </cell>
          <cell r="I123" t="str">
            <v/>
          </cell>
          <cell r="J123" t="str">
            <v/>
          </cell>
          <cell r="K123" t="str">
            <v/>
          </cell>
          <cell r="L123" t="str">
            <v/>
          </cell>
          <cell r="M123">
            <v>1140</v>
          </cell>
        </row>
        <row r="124">
          <cell r="C124" t="str">
            <v>No Tape Drives selected</v>
          </cell>
          <cell r="M124">
            <v>1150</v>
          </cell>
        </row>
        <row r="125">
          <cell r="M125">
            <v>1160</v>
          </cell>
        </row>
        <row r="126">
          <cell r="A126" t="str">
            <v>Tape Cartridges</v>
          </cell>
          <cell r="M126">
            <v>1170</v>
          </cell>
        </row>
        <row r="127">
          <cell r="A127" t="str">
            <v>71P9158</v>
          </cell>
          <cell r="B127" t="str">
            <v/>
          </cell>
          <cell r="C127" t="str">
            <v>DDS Gen-5 Tape Media Data Cartridge (5 pack)</v>
          </cell>
          <cell r="D127">
            <v>0</v>
          </cell>
          <cell r="E127">
            <v>220</v>
          </cell>
          <cell r="F127">
            <v>0</v>
          </cell>
          <cell r="G127" t="str">
            <v/>
          </cell>
          <cell r="H127" t="str">
            <v/>
          </cell>
          <cell r="I127" t="str">
            <v/>
          </cell>
          <cell r="J127" t="str">
            <v/>
          </cell>
          <cell r="K127" t="str">
            <v/>
          </cell>
          <cell r="L127" t="str">
            <v/>
          </cell>
          <cell r="M127">
            <v>1180</v>
          </cell>
        </row>
        <row r="128">
          <cell r="A128" t="str">
            <v>71P9152</v>
          </cell>
          <cell r="B128" t="str">
            <v/>
          </cell>
          <cell r="C128" t="str">
            <v>LTO Generation 1 Media (5 pack)</v>
          </cell>
          <cell r="D128">
            <v>0</v>
          </cell>
          <cell r="E128">
            <v>719</v>
          </cell>
          <cell r="F128">
            <v>0</v>
          </cell>
          <cell r="G128" t="str">
            <v/>
          </cell>
          <cell r="H128" t="str">
            <v/>
          </cell>
          <cell r="I128" t="str">
            <v/>
          </cell>
          <cell r="J128" t="str">
            <v/>
          </cell>
          <cell r="K128" t="str">
            <v/>
          </cell>
          <cell r="L128" t="str">
            <v/>
          </cell>
          <cell r="M128">
            <v>1190</v>
          </cell>
        </row>
        <row r="129">
          <cell r="A129" t="str">
            <v>71P9153</v>
          </cell>
          <cell r="B129" t="str">
            <v/>
          </cell>
          <cell r="C129" t="str">
            <v>SDLT Media (5 pack)</v>
          </cell>
          <cell r="D129">
            <v>0</v>
          </cell>
          <cell r="E129">
            <v>1229</v>
          </cell>
          <cell r="F129">
            <v>0</v>
          </cell>
          <cell r="G129" t="str">
            <v/>
          </cell>
          <cell r="H129" t="str">
            <v/>
          </cell>
          <cell r="I129" t="str">
            <v/>
          </cell>
          <cell r="J129" t="str">
            <v/>
          </cell>
          <cell r="K129" t="str">
            <v/>
          </cell>
          <cell r="L129" t="str">
            <v/>
          </cell>
          <cell r="M129">
            <v>1200</v>
          </cell>
        </row>
        <row r="130">
          <cell r="A130" t="str">
            <v>71P9154</v>
          </cell>
          <cell r="B130" t="str">
            <v/>
          </cell>
          <cell r="C130" t="str">
            <v>DLTIV Media (5 pack)</v>
          </cell>
          <cell r="D130">
            <v>0</v>
          </cell>
          <cell r="E130">
            <v>549</v>
          </cell>
          <cell r="F130">
            <v>0</v>
          </cell>
          <cell r="G130" t="str">
            <v/>
          </cell>
          <cell r="H130" t="str">
            <v/>
          </cell>
          <cell r="I130" t="str">
            <v/>
          </cell>
          <cell r="J130" t="str">
            <v/>
          </cell>
          <cell r="K130" t="str">
            <v/>
          </cell>
          <cell r="L130" t="str">
            <v/>
          </cell>
          <cell r="M130">
            <v>1210</v>
          </cell>
        </row>
        <row r="131">
          <cell r="A131" t="str">
            <v>71P9155</v>
          </cell>
          <cell r="B131" t="str">
            <v/>
          </cell>
          <cell r="C131" t="str">
            <v>DDS4 Media (5 pack)</v>
          </cell>
          <cell r="D131">
            <v>0</v>
          </cell>
          <cell r="E131">
            <v>169</v>
          </cell>
          <cell r="F131">
            <v>0</v>
          </cell>
          <cell r="G131" t="str">
            <v/>
          </cell>
          <cell r="H131" t="str">
            <v/>
          </cell>
          <cell r="I131" t="str">
            <v/>
          </cell>
          <cell r="J131" t="str">
            <v/>
          </cell>
          <cell r="K131" t="str">
            <v/>
          </cell>
          <cell r="L131" t="str">
            <v/>
          </cell>
          <cell r="M131">
            <v>1220</v>
          </cell>
        </row>
        <row r="132">
          <cell r="A132" t="str">
            <v>71P9159</v>
          </cell>
          <cell r="B132" t="str">
            <v/>
          </cell>
          <cell r="C132" t="str">
            <v>LTO Generation 2 Media (5 pack)</v>
          </cell>
          <cell r="D132">
            <v>0</v>
          </cell>
          <cell r="E132">
            <v>1499</v>
          </cell>
          <cell r="F132">
            <v>0</v>
          </cell>
          <cell r="G132" t="str">
            <v/>
          </cell>
          <cell r="H132" t="str">
            <v/>
          </cell>
          <cell r="I132" t="str">
            <v/>
          </cell>
          <cell r="J132" t="str">
            <v/>
          </cell>
          <cell r="K132" t="str">
            <v/>
          </cell>
          <cell r="L132" t="str">
            <v/>
          </cell>
          <cell r="M132">
            <v>1230</v>
          </cell>
        </row>
        <row r="133">
          <cell r="D133">
            <v>0</v>
          </cell>
          <cell r="M133">
            <v>1240</v>
          </cell>
        </row>
        <row r="134">
          <cell r="A134" t="str">
            <v>Tape LTO Options</v>
          </cell>
          <cell r="D134">
            <v>0</v>
          </cell>
          <cell r="M134">
            <v>1250</v>
          </cell>
        </row>
        <row r="135">
          <cell r="A135" t="str">
            <v>N/A</v>
          </cell>
          <cell r="B135" t="str">
            <v/>
          </cell>
          <cell r="C135" t="str">
            <v>TopSeller LTO Gen2 Option A</v>
          </cell>
          <cell r="D135">
            <v>0</v>
          </cell>
          <cell r="E135" t="str">
            <v>N/A</v>
          </cell>
          <cell r="F135">
            <v>0</v>
          </cell>
          <cell r="G135" t="str">
            <v/>
          </cell>
          <cell r="H135" t="str">
            <v/>
          </cell>
          <cell r="I135" t="str">
            <v/>
          </cell>
          <cell r="J135" t="str">
            <v/>
          </cell>
          <cell r="K135" t="str">
            <v/>
          </cell>
          <cell r="L135" t="str">
            <v/>
          </cell>
          <cell r="M135">
            <v>1260</v>
          </cell>
        </row>
        <row r="136">
          <cell r="A136" t="str">
            <v>N/A</v>
          </cell>
          <cell r="B136" t="str">
            <v/>
          </cell>
          <cell r="C136" t="str">
            <v>TopSeller LTO Gen2 Option B</v>
          </cell>
          <cell r="D136">
            <v>0</v>
          </cell>
          <cell r="E136" t="str">
            <v>N/A</v>
          </cell>
          <cell r="F136">
            <v>0</v>
          </cell>
          <cell r="G136" t="str">
            <v/>
          </cell>
          <cell r="H136" t="str">
            <v/>
          </cell>
          <cell r="I136" t="str">
            <v/>
          </cell>
          <cell r="J136" t="str">
            <v/>
          </cell>
          <cell r="K136" t="str">
            <v/>
          </cell>
          <cell r="L136" t="str">
            <v/>
          </cell>
          <cell r="M136">
            <v>1270</v>
          </cell>
        </row>
        <row r="137">
          <cell r="M137">
            <v>1280</v>
          </cell>
        </row>
        <row r="138">
          <cell r="A138" t="str">
            <v>Optical devices</v>
          </cell>
          <cell r="M138">
            <v>1290</v>
          </cell>
        </row>
        <row r="139">
          <cell r="C139" t="str">
            <v>Selected model contains a 48x-20x CD-ROM drive</v>
          </cell>
          <cell r="M139">
            <v>1300</v>
          </cell>
        </row>
        <row r="140">
          <cell r="A140" t="str">
            <v>22P6950</v>
          </cell>
          <cell r="B140" t="str">
            <v/>
          </cell>
          <cell r="C140" t="str">
            <v>IBM 16X Max RAM-Read DVD-ROM Drive</v>
          </cell>
          <cell r="D140">
            <v>0</v>
          </cell>
          <cell r="E140">
            <v>99</v>
          </cell>
          <cell r="F140">
            <v>0</v>
          </cell>
          <cell r="G140" t="str">
            <v/>
          </cell>
          <cell r="H140" t="str">
            <v/>
          </cell>
          <cell r="I140" t="str">
            <v/>
          </cell>
          <cell r="J140" t="str">
            <v/>
          </cell>
          <cell r="K140" t="str">
            <v/>
          </cell>
          <cell r="L140" t="str">
            <v/>
          </cell>
          <cell r="M140">
            <v>1310</v>
          </cell>
        </row>
        <row r="141">
          <cell r="C141" t="str">
            <v/>
          </cell>
          <cell r="M141">
            <v>1320</v>
          </cell>
        </row>
        <row r="142">
          <cell r="M142">
            <v>1330</v>
          </cell>
        </row>
        <row r="143">
          <cell r="A143" t="str">
            <v>Additional Options</v>
          </cell>
          <cell r="M143">
            <v>1340</v>
          </cell>
        </row>
        <row r="144">
          <cell r="A144" t="str">
            <v>- Power</v>
          </cell>
          <cell r="C144" t="str">
            <v>System ships with 2 power supplies; order 2 additional power supplies if redundancy required</v>
          </cell>
          <cell r="M144">
            <v>1350</v>
          </cell>
        </row>
        <row r="145">
          <cell r="A145" t="str">
            <v>31P6133</v>
          </cell>
          <cell r="B145" t="str">
            <v/>
          </cell>
          <cell r="C145" t="str">
            <v>WITHDRAWN;xSeries 370W Reversed Fan Hot Swap Power Supply</v>
          </cell>
          <cell r="D145">
            <v>0</v>
          </cell>
          <cell r="E145" t="str">
            <v>WDFM</v>
          </cell>
          <cell r="F145">
            <v>0</v>
          </cell>
          <cell r="G145">
            <v>1</v>
          </cell>
          <cell r="H145">
            <v>0</v>
          </cell>
          <cell r="I145">
            <v>1</v>
          </cell>
          <cell r="J145">
            <v>0</v>
          </cell>
          <cell r="K145">
            <v>1</v>
          </cell>
          <cell r="L145">
            <v>0</v>
          </cell>
          <cell r="M145">
            <v>1360</v>
          </cell>
        </row>
        <row r="146">
          <cell r="C146" t="str">
            <v/>
          </cell>
          <cell r="M146">
            <v>1370</v>
          </cell>
        </row>
        <row r="147">
          <cell r="A147" t="str">
            <v>- Conversion Kits</v>
          </cell>
          <cell r="M147">
            <v>1380</v>
          </cell>
        </row>
        <row r="148">
          <cell r="A148" t="str">
            <v>32P1474</v>
          </cell>
          <cell r="B148" t="str">
            <v>32P1474</v>
          </cell>
          <cell r="C148" t="str">
            <v xml:space="preserve">IBM 7Ux26D Tower to Rack Conversion Kit </v>
          </cell>
          <cell r="D148">
            <v>0</v>
          </cell>
          <cell r="E148">
            <v>871.82</v>
          </cell>
          <cell r="F148">
            <v>0</v>
          </cell>
          <cell r="G148" t="str">
            <v/>
          </cell>
          <cell r="H148" t="str">
            <v/>
          </cell>
          <cell r="I148" t="str">
            <v/>
          </cell>
          <cell r="J148" t="str">
            <v/>
          </cell>
          <cell r="K148" t="str">
            <v/>
          </cell>
          <cell r="L148" t="str">
            <v/>
          </cell>
          <cell r="M148">
            <v>1390</v>
          </cell>
        </row>
        <row r="149">
          <cell r="M149">
            <v>1400</v>
          </cell>
        </row>
        <row r="150">
          <cell r="A150" t="str">
            <v>- Tower model options</v>
          </cell>
          <cell r="M150">
            <v>1410</v>
          </cell>
        </row>
        <row r="151">
          <cell r="C151" t="str">
            <v/>
          </cell>
          <cell r="M151">
            <v>1420</v>
          </cell>
        </row>
        <row r="152">
          <cell r="A152" t="str">
            <v>17331RX</v>
          </cell>
          <cell r="B152" t="str">
            <v>1733-1RX</v>
          </cell>
          <cell r="C152" t="str">
            <v>IBM EXP400 Storage Expansion Unit, One ESM standard (takes 14 drives)</v>
          </cell>
          <cell r="D152">
            <v>0</v>
          </cell>
          <cell r="E152">
            <v>4799</v>
          </cell>
          <cell r="F152">
            <v>0</v>
          </cell>
          <cell r="G152" t="str">
            <v/>
          </cell>
          <cell r="H152" t="str">
            <v/>
          </cell>
          <cell r="I152" t="str">
            <v/>
          </cell>
          <cell r="J152" t="str">
            <v/>
          </cell>
          <cell r="K152" t="str">
            <v/>
          </cell>
          <cell r="L152" t="str">
            <v/>
          </cell>
          <cell r="M152">
            <v>1430</v>
          </cell>
        </row>
        <row r="153">
          <cell r="A153" t="str">
            <v>09N7296</v>
          </cell>
          <cell r="B153" t="str">
            <v/>
          </cell>
          <cell r="C153" t="str">
            <v>IBM EXP300 Rack-to-Tower Conversion Kit</v>
          </cell>
          <cell r="D153">
            <v>0</v>
          </cell>
          <cell r="E153">
            <v>659</v>
          </cell>
          <cell r="F153">
            <v>0</v>
          </cell>
          <cell r="G153" t="str">
            <v/>
          </cell>
          <cell r="H153" t="str">
            <v/>
          </cell>
          <cell r="I153" t="str">
            <v/>
          </cell>
          <cell r="J153" t="str">
            <v/>
          </cell>
          <cell r="K153" t="str">
            <v/>
          </cell>
          <cell r="L153" t="str">
            <v/>
          </cell>
          <cell r="M153">
            <v>1440</v>
          </cell>
        </row>
        <row r="154">
          <cell r="C154" t="str">
            <v/>
          </cell>
          <cell r="M154">
            <v>1450</v>
          </cell>
        </row>
        <row r="155">
          <cell r="A155" t="str">
            <v>59P5018</v>
          </cell>
          <cell r="B155" t="str">
            <v/>
          </cell>
          <cell r="C155" t="str">
            <v>SCSI Bus Expander and Enclosure Services Module (ESM)</v>
          </cell>
          <cell r="D155">
            <v>0</v>
          </cell>
          <cell r="E155">
            <v>1099</v>
          </cell>
          <cell r="F155">
            <v>0</v>
          </cell>
          <cell r="G155" t="str">
            <v/>
          </cell>
          <cell r="H155" t="str">
            <v/>
          </cell>
          <cell r="I155" t="str">
            <v/>
          </cell>
          <cell r="J155" t="str">
            <v/>
          </cell>
          <cell r="K155" t="str">
            <v/>
          </cell>
          <cell r="L155" t="str">
            <v/>
          </cell>
          <cell r="M155">
            <v>1460</v>
          </cell>
        </row>
        <row r="156">
          <cell r="M156">
            <v>1470</v>
          </cell>
        </row>
        <row r="157">
          <cell r="A157" t="str">
            <v>32P0726</v>
          </cell>
          <cell r="B157" t="str">
            <v/>
          </cell>
          <cell r="C157" t="str">
            <v>WITHDRAWN;IBM 36.4GB 10K-rpm Ultra320 SCSI Hot-Swap SL HDD</v>
          </cell>
          <cell r="D157">
            <v>0</v>
          </cell>
          <cell r="E157" t="str">
            <v>WDFM</v>
          </cell>
          <cell r="F157">
            <v>0</v>
          </cell>
          <cell r="G157" t="str">
            <v/>
          </cell>
          <cell r="H157" t="str">
            <v/>
          </cell>
          <cell r="I157" t="str">
            <v/>
          </cell>
          <cell r="J157" t="str">
            <v/>
          </cell>
          <cell r="K157" t="str">
            <v/>
          </cell>
          <cell r="L157" t="str">
            <v/>
          </cell>
          <cell r="M157">
            <v>1480</v>
          </cell>
        </row>
        <row r="158">
          <cell r="A158" t="str">
            <v>32P0734</v>
          </cell>
          <cell r="B158" t="str">
            <v/>
          </cell>
          <cell r="C158" t="str">
            <v>WITHDRAWN;IBM 36.4GB 15K-rpm Ultra320 SCSI Hot-Swap SL HDD</v>
          </cell>
          <cell r="D158">
            <v>0</v>
          </cell>
          <cell r="E158" t="str">
            <v>WDFM</v>
          </cell>
          <cell r="F158">
            <v>0</v>
          </cell>
          <cell r="G158" t="str">
            <v/>
          </cell>
          <cell r="H158" t="str">
            <v/>
          </cell>
          <cell r="I158" t="str">
            <v/>
          </cell>
          <cell r="J158" t="str">
            <v/>
          </cell>
          <cell r="K158" t="str">
            <v/>
          </cell>
          <cell r="L158" t="str">
            <v/>
          </cell>
          <cell r="M158">
            <v>1490</v>
          </cell>
        </row>
        <row r="159">
          <cell r="A159" t="str">
            <v>32P0727</v>
          </cell>
          <cell r="B159" t="str">
            <v/>
          </cell>
          <cell r="C159" t="str">
            <v>WITHDRAWN;IBM 73.4GB 10K-rpm Ultra320 SCSI Hot-Swap SL HDD</v>
          </cell>
          <cell r="D159">
            <v>0</v>
          </cell>
          <cell r="E159" t="str">
            <v>WDFM</v>
          </cell>
          <cell r="F159">
            <v>0</v>
          </cell>
          <cell r="G159" t="str">
            <v/>
          </cell>
          <cell r="H159" t="str">
            <v/>
          </cell>
          <cell r="I159" t="str">
            <v/>
          </cell>
          <cell r="J159" t="str">
            <v/>
          </cell>
          <cell r="K159" t="str">
            <v/>
          </cell>
          <cell r="L159" t="str">
            <v/>
          </cell>
          <cell r="M159">
            <v>1500</v>
          </cell>
        </row>
        <row r="160">
          <cell r="A160" t="str">
            <v>32P0735</v>
          </cell>
          <cell r="B160" t="str">
            <v/>
          </cell>
          <cell r="C160" t="str">
            <v>WITHDRAWN;IBM 73.4GB 15K-rpm Ultra320 SCSI Hot-Swap SL HDD</v>
          </cell>
          <cell r="D160">
            <v>0</v>
          </cell>
          <cell r="E160" t="str">
            <v>WDFM</v>
          </cell>
          <cell r="F160">
            <v>0</v>
          </cell>
          <cell r="G160" t="str">
            <v/>
          </cell>
          <cell r="H160" t="str">
            <v/>
          </cell>
          <cell r="I160" t="str">
            <v/>
          </cell>
          <cell r="J160" t="str">
            <v/>
          </cell>
          <cell r="K160" t="str">
            <v/>
          </cell>
          <cell r="L160" t="str">
            <v/>
          </cell>
          <cell r="M160">
            <v>1510</v>
          </cell>
        </row>
        <row r="161">
          <cell r="A161" t="str">
            <v>32P0728</v>
          </cell>
          <cell r="B161" t="str">
            <v/>
          </cell>
          <cell r="C161" t="str">
            <v>WITHDRAWN;IBM 146.8GB 10K-rpm Ultra320 SCSI Hot-Swap SL HDD</v>
          </cell>
          <cell r="D161">
            <v>0</v>
          </cell>
          <cell r="E161" t="str">
            <v>WDFM</v>
          </cell>
          <cell r="F161">
            <v>0</v>
          </cell>
          <cell r="G161" t="str">
            <v/>
          </cell>
          <cell r="H161" t="str">
            <v/>
          </cell>
          <cell r="I161" t="str">
            <v/>
          </cell>
          <cell r="J161" t="str">
            <v/>
          </cell>
          <cell r="K161" t="str">
            <v/>
          </cell>
          <cell r="L161" t="str">
            <v/>
          </cell>
          <cell r="M161">
            <v>1520</v>
          </cell>
        </row>
        <row r="162">
          <cell r="C162" t="str">
            <v>No Disks Configured</v>
          </cell>
          <cell r="M162">
            <v>1530</v>
          </cell>
        </row>
        <row r="163">
          <cell r="M163">
            <v>1540</v>
          </cell>
        </row>
        <row r="164">
          <cell r="M164">
            <v>1550</v>
          </cell>
        </row>
        <row r="165">
          <cell r="M165">
            <v>1560</v>
          </cell>
        </row>
        <row r="166">
          <cell r="A166" t="str">
            <v>- Monitors</v>
          </cell>
          <cell r="M166">
            <v>1570</v>
          </cell>
        </row>
        <row r="167">
          <cell r="A167" t="str">
            <v>63314CS</v>
          </cell>
          <cell r="B167" t="str">
            <v>6331-47N</v>
          </cell>
          <cell r="C167" t="str">
            <v>E54 15" Colour Monitor (Stealth Grey)/MPRII</v>
          </cell>
          <cell r="D167">
            <v>0</v>
          </cell>
          <cell r="E167">
            <v>189</v>
          </cell>
          <cell r="F167">
            <v>0</v>
          </cell>
          <cell r="G167" t="str">
            <v/>
          </cell>
          <cell r="H167" t="str">
            <v/>
          </cell>
          <cell r="I167" t="str">
            <v/>
          </cell>
          <cell r="J167" t="str">
            <v/>
          </cell>
          <cell r="K167" t="str">
            <v/>
          </cell>
          <cell r="L167" t="str">
            <v/>
          </cell>
          <cell r="M167">
            <v>1580</v>
          </cell>
        </row>
        <row r="168">
          <cell r="A168" t="str">
            <v>63324HN</v>
          </cell>
          <cell r="B168" t="str">
            <v>6332-4HN</v>
          </cell>
          <cell r="C168" t="str">
            <v xml:space="preserve"> E74 Color Monitor 17in (406mm, 16in viewable image), B Black</v>
          </cell>
          <cell r="D168">
            <v>0</v>
          </cell>
          <cell r="E168" t="str">
            <v>???</v>
          </cell>
          <cell r="F168">
            <v>0</v>
          </cell>
          <cell r="G168" t="str">
            <v/>
          </cell>
          <cell r="H168" t="str">
            <v/>
          </cell>
          <cell r="I168" t="str">
            <v/>
          </cell>
          <cell r="J168" t="str">
            <v/>
          </cell>
          <cell r="K168" t="str">
            <v/>
          </cell>
          <cell r="L168" t="str">
            <v/>
          </cell>
          <cell r="M168">
            <v>1590</v>
          </cell>
        </row>
        <row r="169">
          <cell r="A169" t="str">
            <v>17231UX</v>
          </cell>
          <cell r="B169" t="str">
            <v>1723-1UX</v>
          </cell>
          <cell r="C169" t="str">
            <v>1U 17" Flat Panel Monitor Console Kit (with US Space Travel keyboard)</v>
          </cell>
          <cell r="D169">
            <v>0</v>
          </cell>
          <cell r="E169">
            <v>3399</v>
          </cell>
          <cell r="F169">
            <v>0</v>
          </cell>
          <cell r="G169" t="str">
            <v/>
          </cell>
          <cell r="H169" t="str">
            <v/>
          </cell>
          <cell r="I169" t="str">
            <v/>
          </cell>
          <cell r="J169" t="str">
            <v/>
          </cell>
          <cell r="K169" t="str">
            <v/>
          </cell>
          <cell r="L169" t="str">
            <v/>
          </cell>
          <cell r="M169">
            <v>1600</v>
          </cell>
        </row>
        <row r="170">
          <cell r="A170" t="str">
            <v>17231NX</v>
          </cell>
          <cell r="B170" t="str">
            <v>1723-1NX</v>
          </cell>
          <cell r="C170" t="str">
            <v>1U 17" Flat Panel Monitor Console Kit (without keyboard)</v>
          </cell>
          <cell r="D170">
            <v>0</v>
          </cell>
          <cell r="E170" t="str">
            <v>???</v>
          </cell>
          <cell r="F170">
            <v>0</v>
          </cell>
          <cell r="G170" t="str">
            <v/>
          </cell>
          <cell r="H170" t="str">
            <v/>
          </cell>
          <cell r="I170" t="str">
            <v/>
          </cell>
          <cell r="J170" t="str">
            <v/>
          </cell>
          <cell r="K170" t="str">
            <v/>
          </cell>
          <cell r="L170" t="str">
            <v/>
          </cell>
          <cell r="M170">
            <v>1610</v>
          </cell>
        </row>
        <row r="171">
          <cell r="A171" t="str">
            <v>32P1702</v>
          </cell>
          <cell r="B171" t="str">
            <v>32P1702</v>
          </cell>
          <cell r="C171" t="str">
            <v>WITHDRAWN;NetBAY 2U 15" Flat Panel Monitor Console Kit with US S'Saver K'board (includes 15" monitor)</v>
          </cell>
          <cell r="D171">
            <v>0</v>
          </cell>
          <cell r="E171" t="str">
            <v>WDFM</v>
          </cell>
          <cell r="F171">
            <v>0</v>
          </cell>
          <cell r="G171" t="str">
            <v/>
          </cell>
          <cell r="H171" t="str">
            <v/>
          </cell>
          <cell r="I171" t="str">
            <v/>
          </cell>
          <cell r="J171" t="str">
            <v/>
          </cell>
          <cell r="K171" t="str">
            <v/>
          </cell>
          <cell r="L171" t="str">
            <v/>
          </cell>
          <cell r="M171">
            <v>1620</v>
          </cell>
        </row>
        <row r="172">
          <cell r="A172" t="str">
            <v>N/A</v>
          </cell>
          <cell r="B172" t="str">
            <v>32P1703</v>
          </cell>
          <cell r="C172" t="str">
            <v>NetBAY 2U 15" Flat Panel Monitor Console Kit (includes 15" monitor)</v>
          </cell>
          <cell r="D172">
            <v>0</v>
          </cell>
          <cell r="E172" t="str">
            <v>N/A</v>
          </cell>
          <cell r="F172">
            <v>0</v>
          </cell>
          <cell r="G172" t="str">
            <v/>
          </cell>
          <cell r="H172" t="str">
            <v/>
          </cell>
          <cell r="I172" t="str">
            <v/>
          </cell>
          <cell r="J172" t="str">
            <v/>
          </cell>
          <cell r="K172" t="str">
            <v/>
          </cell>
          <cell r="L172" t="str">
            <v/>
          </cell>
          <cell r="M172">
            <v>1630</v>
          </cell>
        </row>
        <row r="173">
          <cell r="A173" t="str">
            <v>17232UX</v>
          </cell>
          <cell r="B173" t="str">
            <v>1723-2UX</v>
          </cell>
          <cell r="C173" t="str">
            <v>IBM 2U 15" Flat Panel Monitor Console Kit (with PS/2 keyboard)</v>
          </cell>
          <cell r="D173">
            <v>0</v>
          </cell>
          <cell r="E173">
            <v>2399</v>
          </cell>
          <cell r="F173">
            <v>0</v>
          </cell>
          <cell r="G173" t="str">
            <v/>
          </cell>
          <cell r="H173" t="str">
            <v/>
          </cell>
          <cell r="I173" t="str">
            <v/>
          </cell>
          <cell r="J173" t="str">
            <v/>
          </cell>
          <cell r="K173" t="str">
            <v/>
          </cell>
          <cell r="L173" t="str">
            <v/>
          </cell>
          <cell r="M173">
            <v>1640</v>
          </cell>
        </row>
        <row r="174">
          <cell r="A174" t="str">
            <v>17232NX</v>
          </cell>
          <cell r="B174" t="str">
            <v>1723-2NX</v>
          </cell>
          <cell r="C174" t="str">
            <v>IBM 2U 15" Flat Panel Monitor Console Kit (without keyboard)</v>
          </cell>
          <cell r="D174">
            <v>0</v>
          </cell>
          <cell r="E174" t="str">
            <v>???</v>
          </cell>
          <cell r="F174">
            <v>0</v>
          </cell>
          <cell r="G174" t="str">
            <v/>
          </cell>
          <cell r="H174" t="str">
            <v/>
          </cell>
          <cell r="I174" t="str">
            <v/>
          </cell>
          <cell r="J174" t="str">
            <v/>
          </cell>
          <cell r="K174" t="str">
            <v/>
          </cell>
          <cell r="L174" t="str">
            <v/>
          </cell>
          <cell r="M174">
            <v>1650</v>
          </cell>
        </row>
        <row r="175">
          <cell r="A175" t="str">
            <v>6636AB1</v>
          </cell>
          <cell r="B175" t="str">
            <v>6636-AB1</v>
          </cell>
          <cell r="C175" t="str">
            <v>WITHDRAWN;L150 ThinkVision 15in LCD Flat Panel Monitor, B Black</v>
          </cell>
          <cell r="D175">
            <v>0</v>
          </cell>
          <cell r="E175" t="str">
            <v>WDFM</v>
          </cell>
          <cell r="F175">
            <v>0</v>
          </cell>
          <cell r="G175" t="str">
            <v/>
          </cell>
          <cell r="H175" t="str">
            <v/>
          </cell>
          <cell r="I175" t="str">
            <v/>
          </cell>
          <cell r="J175" t="str">
            <v/>
          </cell>
          <cell r="K175" t="str">
            <v/>
          </cell>
          <cell r="L175" t="str">
            <v/>
          </cell>
          <cell r="M175">
            <v>1660</v>
          </cell>
        </row>
        <row r="176">
          <cell r="A176" t="str">
            <v>6636HB1</v>
          </cell>
          <cell r="B176" t="str">
            <v>6636-HB1</v>
          </cell>
          <cell r="C176" t="str">
            <v>L150p ThinkVision 15in LCD Flat Panel Monitor (381mm, 15in viewable image), business black</v>
          </cell>
          <cell r="D176">
            <v>0</v>
          </cell>
          <cell r="E176">
            <v>499</v>
          </cell>
          <cell r="F176">
            <v>0</v>
          </cell>
          <cell r="G176" t="str">
            <v/>
          </cell>
          <cell r="H176" t="str">
            <v/>
          </cell>
          <cell r="I176" t="str">
            <v/>
          </cell>
          <cell r="J176" t="str">
            <v/>
          </cell>
          <cell r="K176" t="str">
            <v/>
          </cell>
          <cell r="L176" t="str">
            <v/>
          </cell>
          <cell r="M176">
            <v>1670</v>
          </cell>
        </row>
        <row r="177">
          <cell r="A177" t="str">
            <v>6734HB0</v>
          </cell>
          <cell r="B177" t="str">
            <v>6734-HB0</v>
          </cell>
          <cell r="C177" t="str">
            <v>L170p ThinkVision 17in LCD Flat Panel Monitor (432mm, 17in viewable image), business black</v>
          </cell>
          <cell r="D177">
            <v>0</v>
          </cell>
          <cell r="E177">
            <v>699</v>
          </cell>
          <cell r="F177">
            <v>0</v>
          </cell>
          <cell r="G177" t="str">
            <v/>
          </cell>
          <cell r="H177" t="str">
            <v/>
          </cell>
          <cell r="I177" t="str">
            <v/>
          </cell>
          <cell r="J177" t="str">
            <v/>
          </cell>
          <cell r="K177" t="str">
            <v/>
          </cell>
          <cell r="L177" t="str">
            <v/>
          </cell>
          <cell r="M177">
            <v>1680</v>
          </cell>
        </row>
        <row r="178">
          <cell r="A178" t="str">
            <v>- Power</v>
          </cell>
          <cell r="M178">
            <v>1690</v>
          </cell>
        </row>
        <row r="179">
          <cell r="A179" t="str">
            <v>N/A</v>
          </cell>
          <cell r="B179" t="str">
            <v>32P1020</v>
          </cell>
          <cell r="C179" t="str">
            <v>APC 2U Smart-UPS 1400 RMB - 120V Rack mounted/black</v>
          </cell>
          <cell r="D179">
            <v>0</v>
          </cell>
          <cell r="E179" t="str">
            <v>N/A</v>
          </cell>
          <cell r="F179">
            <v>0</v>
          </cell>
          <cell r="G179">
            <v>1</v>
          </cell>
          <cell r="H179">
            <v>0</v>
          </cell>
          <cell r="I179">
            <v>1</v>
          </cell>
          <cell r="J179">
            <v>0</v>
          </cell>
          <cell r="K179">
            <v>1</v>
          </cell>
          <cell r="L179">
            <v>0</v>
          </cell>
          <cell r="M179">
            <v>1700</v>
          </cell>
        </row>
        <row r="180">
          <cell r="A180" t="str">
            <v>2130R30</v>
          </cell>
          <cell r="B180" t="str">
            <v>2130-R30</v>
          </cell>
          <cell r="C180" t="str">
            <v>IBM UPS3000XLV - Rack or Tower</v>
          </cell>
          <cell r="D180">
            <v>0</v>
          </cell>
          <cell r="E180" t="str">
            <v>???</v>
          </cell>
          <cell r="F180">
            <v>0</v>
          </cell>
          <cell r="G180">
            <v>1</v>
          </cell>
          <cell r="H180">
            <v>0</v>
          </cell>
          <cell r="I180">
            <v>1</v>
          </cell>
          <cell r="J180">
            <v>0</v>
          </cell>
          <cell r="K180">
            <v>1</v>
          </cell>
          <cell r="L180">
            <v>0</v>
          </cell>
          <cell r="M180">
            <v>1710</v>
          </cell>
        </row>
        <row r="181">
          <cell r="A181" t="str">
            <v>73P5771</v>
          </cell>
          <cell r="B181" t="str">
            <v>2130-R31</v>
          </cell>
          <cell r="C181" t="str">
            <v>IBM UPS3000XHV - Rack or Tower</v>
          </cell>
          <cell r="D181">
            <v>0</v>
          </cell>
          <cell r="E181">
            <v>2799.01</v>
          </cell>
          <cell r="F181">
            <v>0</v>
          </cell>
          <cell r="G181">
            <v>1</v>
          </cell>
          <cell r="H181">
            <v>0</v>
          </cell>
          <cell r="I181">
            <v>1</v>
          </cell>
          <cell r="J181">
            <v>0</v>
          </cell>
          <cell r="K181">
            <v>1</v>
          </cell>
          <cell r="L181">
            <v>0</v>
          </cell>
          <cell r="M181">
            <v>1720</v>
          </cell>
        </row>
        <row r="182">
          <cell r="A182" t="str">
            <v>32P1692</v>
          </cell>
          <cell r="B182" t="str">
            <v>32P1692</v>
          </cell>
          <cell r="C182" t="str">
            <v>IBM UPS Extend Run Battery Pack</v>
          </cell>
          <cell r="D182">
            <v>0</v>
          </cell>
          <cell r="E182">
            <v>1759</v>
          </cell>
          <cell r="F182">
            <v>0</v>
          </cell>
          <cell r="G182">
            <v>1</v>
          </cell>
          <cell r="H182">
            <v>0</v>
          </cell>
          <cell r="I182">
            <v>1</v>
          </cell>
          <cell r="J182">
            <v>0</v>
          </cell>
          <cell r="K182">
            <v>1</v>
          </cell>
          <cell r="L182">
            <v>0</v>
          </cell>
          <cell r="M182">
            <v>1730</v>
          </cell>
        </row>
        <row r="183">
          <cell r="A183" t="str">
            <v>37L7862</v>
          </cell>
          <cell r="B183" t="str">
            <v>37L6862</v>
          </cell>
          <cell r="C183" t="str">
            <v>APC Smart-UPS 5000 RMiB - Rack mounted/black</v>
          </cell>
          <cell r="D183">
            <v>0</v>
          </cell>
          <cell r="E183">
            <v>6989</v>
          </cell>
          <cell r="F183">
            <v>0</v>
          </cell>
          <cell r="G183">
            <v>1</v>
          </cell>
          <cell r="H183">
            <v>0</v>
          </cell>
          <cell r="I183">
            <v>1</v>
          </cell>
          <cell r="J183">
            <v>0</v>
          </cell>
          <cell r="K183">
            <v>1</v>
          </cell>
          <cell r="L183">
            <v>0</v>
          </cell>
          <cell r="M183">
            <v>1740</v>
          </cell>
        </row>
        <row r="184">
          <cell r="A184" t="str">
            <v>21302TX</v>
          </cell>
          <cell r="B184" t="str">
            <v>2130-2TX</v>
          </cell>
          <cell r="C184" t="str">
            <v>IBM UPS750TLV - 500W</v>
          </cell>
          <cell r="D184">
            <v>0</v>
          </cell>
          <cell r="E184">
            <v>469</v>
          </cell>
          <cell r="F184">
            <v>0</v>
          </cell>
          <cell r="G184">
            <v>1</v>
          </cell>
          <cell r="H184">
            <v>0</v>
          </cell>
          <cell r="I184">
            <v>1</v>
          </cell>
          <cell r="J184">
            <v>0</v>
          </cell>
          <cell r="K184">
            <v>1</v>
          </cell>
          <cell r="L184">
            <v>0</v>
          </cell>
          <cell r="M184">
            <v>1750</v>
          </cell>
        </row>
        <row r="185">
          <cell r="A185" t="str">
            <v>21304TX</v>
          </cell>
          <cell r="B185" t="str">
            <v>2130-4TX</v>
          </cell>
          <cell r="C185" t="str">
            <v>IBM UPS1000THV - 700W</v>
          </cell>
          <cell r="D185">
            <v>0</v>
          </cell>
          <cell r="E185">
            <v>719</v>
          </cell>
          <cell r="F185">
            <v>0</v>
          </cell>
          <cell r="G185">
            <v>1</v>
          </cell>
          <cell r="H185">
            <v>0</v>
          </cell>
          <cell r="I185">
            <v>1</v>
          </cell>
          <cell r="J185">
            <v>0</v>
          </cell>
          <cell r="K185">
            <v>1</v>
          </cell>
          <cell r="L185">
            <v>0</v>
          </cell>
          <cell r="M185">
            <v>1760</v>
          </cell>
        </row>
        <row r="186">
          <cell r="A186" t="str">
            <v>21306TX</v>
          </cell>
          <cell r="B186" t="str">
            <v>2130-6TX</v>
          </cell>
          <cell r="C186" t="str">
            <v>IBM UPS1500THV - 1050W</v>
          </cell>
          <cell r="D186">
            <v>0</v>
          </cell>
          <cell r="E186">
            <v>939</v>
          </cell>
          <cell r="F186">
            <v>0</v>
          </cell>
          <cell r="G186">
            <v>1</v>
          </cell>
          <cell r="H186">
            <v>0</v>
          </cell>
          <cell r="I186">
            <v>1</v>
          </cell>
          <cell r="J186">
            <v>0</v>
          </cell>
          <cell r="K186">
            <v>1</v>
          </cell>
          <cell r="L186">
            <v>0</v>
          </cell>
          <cell r="M186">
            <v>1770</v>
          </cell>
        </row>
        <row r="187">
          <cell r="A187" t="str">
            <v>21306RX</v>
          </cell>
          <cell r="B187" t="str">
            <v>2130-6RX</v>
          </cell>
          <cell r="C187" t="str">
            <v>IBM UPS 7500XHV - Rack</v>
          </cell>
          <cell r="D187">
            <v>0</v>
          </cell>
          <cell r="E187" t="str">
            <v>???</v>
          </cell>
          <cell r="F187">
            <v>0</v>
          </cell>
          <cell r="G187">
            <v>1</v>
          </cell>
          <cell r="H187">
            <v>0</v>
          </cell>
          <cell r="I187">
            <v>1</v>
          </cell>
          <cell r="J187">
            <v>0</v>
          </cell>
          <cell r="K187">
            <v>1</v>
          </cell>
          <cell r="L187">
            <v>0</v>
          </cell>
          <cell r="M187">
            <v>1780</v>
          </cell>
        </row>
        <row r="188">
          <cell r="A188" t="str">
            <v>21308RX</v>
          </cell>
          <cell r="B188" t="str">
            <v>2130-8RX</v>
          </cell>
          <cell r="C188" t="str">
            <v>IBM UPS 10000XHV - Rack</v>
          </cell>
          <cell r="D188">
            <v>0</v>
          </cell>
          <cell r="E188" t="str">
            <v>???</v>
          </cell>
          <cell r="F188">
            <v>0</v>
          </cell>
          <cell r="G188">
            <v>1</v>
          </cell>
          <cell r="H188">
            <v>0</v>
          </cell>
          <cell r="I188">
            <v>1</v>
          </cell>
          <cell r="J188">
            <v>0</v>
          </cell>
          <cell r="K188">
            <v>1</v>
          </cell>
          <cell r="L188">
            <v>0</v>
          </cell>
          <cell r="M188">
            <v>1790</v>
          </cell>
        </row>
        <row r="189">
          <cell r="A189" t="str">
            <v>25R5582</v>
          </cell>
          <cell r="B189" t="str">
            <v>25R5582</v>
          </cell>
          <cell r="C189" t="str">
            <v>IBM UPS 3U Run Online Battery Pack</v>
          </cell>
          <cell r="D189">
            <v>0</v>
          </cell>
          <cell r="E189">
            <v>1899</v>
          </cell>
          <cell r="F189">
            <v>0</v>
          </cell>
          <cell r="G189">
            <v>1</v>
          </cell>
          <cell r="H189">
            <v>0</v>
          </cell>
          <cell r="I189">
            <v>1</v>
          </cell>
          <cell r="J189">
            <v>0</v>
          </cell>
          <cell r="K189">
            <v>1</v>
          </cell>
          <cell r="L189">
            <v>0</v>
          </cell>
          <cell r="M189">
            <v>1800</v>
          </cell>
        </row>
        <row r="190">
          <cell r="C190" t="str">
            <v/>
          </cell>
          <cell r="M190">
            <v>1810</v>
          </cell>
        </row>
        <row r="191">
          <cell r="C191" t="str">
            <v/>
          </cell>
          <cell r="M191">
            <v>1820</v>
          </cell>
        </row>
        <row r="192">
          <cell r="A192" t="str">
            <v>94G7448</v>
          </cell>
          <cell r="B192" t="str">
            <v/>
          </cell>
          <cell r="C192" t="str">
            <v>Hi-volt Power Cable (required for server, monitor, console switch, devices)</v>
          </cell>
          <cell r="D192">
            <v>0</v>
          </cell>
          <cell r="E192">
            <v>39</v>
          </cell>
          <cell r="F192">
            <v>0</v>
          </cell>
          <cell r="G192" t="str">
            <v/>
          </cell>
          <cell r="H192" t="str">
            <v/>
          </cell>
          <cell r="I192" t="str">
            <v/>
          </cell>
          <cell r="J192" t="str">
            <v/>
          </cell>
          <cell r="K192" t="str">
            <v/>
          </cell>
          <cell r="L192" t="str">
            <v/>
          </cell>
          <cell r="M192">
            <v>1830</v>
          </cell>
        </row>
        <row r="193">
          <cell r="A193" t="str">
            <v>N/A</v>
          </cell>
          <cell r="B193" t="str">
            <v/>
          </cell>
          <cell r="C193" t="str">
            <v>Lo-volt Power Cable (required for server, monitor, console switch, devices)</v>
          </cell>
          <cell r="D193">
            <v>0</v>
          </cell>
          <cell r="E193" t="str">
            <v>N/A</v>
          </cell>
          <cell r="F193">
            <v>0</v>
          </cell>
          <cell r="G193" t="str">
            <v/>
          </cell>
          <cell r="H193" t="str">
            <v/>
          </cell>
          <cell r="I193" t="str">
            <v/>
          </cell>
          <cell r="J193" t="str">
            <v/>
          </cell>
          <cell r="K193" t="str">
            <v/>
          </cell>
          <cell r="L193" t="str">
            <v/>
          </cell>
          <cell r="M193">
            <v>1840</v>
          </cell>
        </row>
        <row r="194">
          <cell r="C194" t="str">
            <v/>
          </cell>
          <cell r="M194">
            <v>1850</v>
          </cell>
        </row>
        <row r="195">
          <cell r="M195">
            <v>1860</v>
          </cell>
        </row>
        <row r="196">
          <cell r="A196" t="str">
            <v>VMware ESX Server Software</v>
          </cell>
          <cell r="M196">
            <v>1870</v>
          </cell>
        </row>
        <row r="197">
          <cell r="A197" t="str">
            <v>481722X</v>
          </cell>
          <cell r="B197" t="str">
            <v>4817-22X</v>
          </cell>
          <cell r="C197" t="str">
            <v>VMware ESX Server 2 (1-2 processor License; server purchase required)</v>
          </cell>
          <cell r="D197">
            <v>0</v>
          </cell>
          <cell r="E197">
            <v>6599</v>
          </cell>
          <cell r="F197">
            <v>0</v>
          </cell>
          <cell r="G197" t="str">
            <v/>
          </cell>
          <cell r="H197" t="str">
            <v/>
          </cell>
          <cell r="I197" t="str">
            <v/>
          </cell>
          <cell r="J197" t="str">
            <v/>
          </cell>
          <cell r="K197" t="str">
            <v/>
          </cell>
          <cell r="L197" t="str">
            <v/>
          </cell>
          <cell r="M197">
            <v>1880</v>
          </cell>
        </row>
        <row r="198">
          <cell r="A198" t="str">
            <v>4817223</v>
          </cell>
          <cell r="B198" t="str">
            <v>4817-223</v>
          </cell>
          <cell r="C198" t="str">
            <v>VMware ESX Server (1-2 processors w/ 3 YR software subscription)</v>
          </cell>
          <cell r="D198">
            <v>0</v>
          </cell>
          <cell r="E198" t="str">
            <v>???</v>
          </cell>
          <cell r="F198">
            <v>0</v>
          </cell>
          <cell r="G198" t="str">
            <v/>
          </cell>
          <cell r="H198" t="str">
            <v/>
          </cell>
          <cell r="I198" t="str">
            <v/>
          </cell>
          <cell r="J198" t="str">
            <v/>
          </cell>
          <cell r="K198" t="str">
            <v/>
          </cell>
          <cell r="L198" t="str">
            <v/>
          </cell>
          <cell r="M198">
            <v>1890</v>
          </cell>
        </row>
        <row r="199">
          <cell r="A199" t="str">
            <v>4817225</v>
          </cell>
          <cell r="B199" t="str">
            <v>4817-225</v>
          </cell>
          <cell r="C199" t="str">
            <v>VMware ESX Server (1-2 processors w/ 5 YR software subscription)</v>
          </cell>
          <cell r="D199">
            <v>0</v>
          </cell>
          <cell r="E199" t="str">
            <v>???</v>
          </cell>
          <cell r="F199">
            <v>0</v>
          </cell>
          <cell r="G199" t="str">
            <v/>
          </cell>
          <cell r="H199" t="str">
            <v/>
          </cell>
          <cell r="I199" t="str">
            <v/>
          </cell>
          <cell r="J199" t="str">
            <v/>
          </cell>
          <cell r="K199" t="str">
            <v/>
          </cell>
          <cell r="L199" t="str">
            <v/>
          </cell>
          <cell r="M199">
            <v>1900</v>
          </cell>
        </row>
        <row r="200">
          <cell r="A200" t="str">
            <v>481724X</v>
          </cell>
          <cell r="B200" t="str">
            <v>4817-24X</v>
          </cell>
          <cell r="C200" t="str">
            <v>VMware ESX Server 2 (3-4 processor License; server purchase required)</v>
          </cell>
          <cell r="D200">
            <v>0</v>
          </cell>
          <cell r="E200">
            <v>13544.55</v>
          </cell>
          <cell r="F200">
            <v>0</v>
          </cell>
          <cell r="G200" t="str">
            <v/>
          </cell>
          <cell r="H200" t="str">
            <v/>
          </cell>
          <cell r="I200" t="str">
            <v/>
          </cell>
          <cell r="J200" t="str">
            <v/>
          </cell>
          <cell r="K200" t="str">
            <v/>
          </cell>
          <cell r="L200" t="str">
            <v/>
          </cell>
          <cell r="M200">
            <v>1910</v>
          </cell>
        </row>
        <row r="201">
          <cell r="A201" t="str">
            <v>4817243</v>
          </cell>
          <cell r="B201" t="str">
            <v>4817-243</v>
          </cell>
          <cell r="C201" t="str">
            <v>VMware ESX Server (3-4 processors w/ 3 YR software subscription)</v>
          </cell>
          <cell r="D201">
            <v>0</v>
          </cell>
          <cell r="E201" t="str">
            <v>???</v>
          </cell>
          <cell r="F201">
            <v>0</v>
          </cell>
          <cell r="G201" t="str">
            <v/>
          </cell>
          <cell r="H201" t="str">
            <v/>
          </cell>
          <cell r="I201" t="str">
            <v/>
          </cell>
          <cell r="J201" t="str">
            <v/>
          </cell>
          <cell r="K201" t="str">
            <v/>
          </cell>
          <cell r="L201" t="str">
            <v/>
          </cell>
          <cell r="M201">
            <v>1920</v>
          </cell>
        </row>
        <row r="202">
          <cell r="A202" t="str">
            <v>4817245</v>
          </cell>
          <cell r="B202" t="str">
            <v>4817-245</v>
          </cell>
          <cell r="C202" t="str">
            <v>VMware ESX Server (3-4 processors w/ 5 YR software subscription)</v>
          </cell>
          <cell r="D202">
            <v>0</v>
          </cell>
          <cell r="E202" t="str">
            <v>???</v>
          </cell>
          <cell r="F202">
            <v>0</v>
          </cell>
          <cell r="G202" t="str">
            <v/>
          </cell>
          <cell r="H202" t="str">
            <v/>
          </cell>
          <cell r="I202" t="str">
            <v/>
          </cell>
          <cell r="J202" t="str">
            <v/>
          </cell>
          <cell r="K202" t="str">
            <v/>
          </cell>
          <cell r="L202" t="str">
            <v/>
          </cell>
          <cell r="M202">
            <v>1930</v>
          </cell>
        </row>
        <row r="203">
          <cell r="C203" t="str">
            <v/>
          </cell>
          <cell r="M203">
            <v>1940</v>
          </cell>
        </row>
        <row r="204">
          <cell r="A204" t="str">
            <v>48173CX</v>
          </cell>
          <cell r="B204" t="str">
            <v>4817-3CX</v>
          </cell>
          <cell r="C204" t="str">
            <v>VMware ESX Virtual SMP (1-2 processor License; server purchase required)</v>
          </cell>
          <cell r="D204">
            <v>0</v>
          </cell>
          <cell r="E204">
            <v>2229</v>
          </cell>
          <cell r="F204">
            <v>0</v>
          </cell>
          <cell r="G204" t="str">
            <v/>
          </cell>
          <cell r="H204" t="str">
            <v/>
          </cell>
          <cell r="I204" t="str">
            <v/>
          </cell>
          <cell r="J204" t="str">
            <v/>
          </cell>
          <cell r="K204" t="str">
            <v/>
          </cell>
          <cell r="L204" t="str">
            <v/>
          </cell>
          <cell r="M204">
            <v>1950</v>
          </cell>
        </row>
        <row r="205">
          <cell r="A205" t="str">
            <v>48173DX</v>
          </cell>
          <cell r="B205" t="str">
            <v>4817-3DX</v>
          </cell>
          <cell r="C205" t="str">
            <v>VMware ESX Virtual SMP (3-4 processor License; server purchase required)</v>
          </cell>
          <cell r="D205">
            <v>0</v>
          </cell>
          <cell r="E205">
            <v>4439</v>
          </cell>
          <cell r="F205">
            <v>0</v>
          </cell>
          <cell r="G205" t="str">
            <v/>
          </cell>
          <cell r="H205" t="str">
            <v/>
          </cell>
          <cell r="I205" t="str">
            <v/>
          </cell>
          <cell r="J205" t="str">
            <v/>
          </cell>
          <cell r="K205" t="str">
            <v/>
          </cell>
          <cell r="L205" t="str">
            <v/>
          </cell>
          <cell r="M205">
            <v>1960</v>
          </cell>
        </row>
        <row r="206">
          <cell r="A206" t="str">
            <v>4817U1X</v>
          </cell>
          <cell r="B206" t="str">
            <v>4817-U1X</v>
          </cell>
          <cell r="C206" t="str">
            <v>VMware ESX Virtual SMP Upgrade (from 2-4 processors; server purchase required)</v>
          </cell>
          <cell r="D206">
            <v>0</v>
          </cell>
          <cell r="E206">
            <v>2459</v>
          </cell>
          <cell r="F206">
            <v>0</v>
          </cell>
          <cell r="G206" t="str">
            <v/>
          </cell>
          <cell r="H206" t="str">
            <v/>
          </cell>
          <cell r="I206" t="str">
            <v/>
          </cell>
          <cell r="J206" t="str">
            <v/>
          </cell>
          <cell r="K206" t="str">
            <v/>
          </cell>
          <cell r="L206" t="str">
            <v/>
          </cell>
          <cell r="M206">
            <v>1970</v>
          </cell>
        </row>
        <row r="207">
          <cell r="A207" t="str">
            <v>481739X</v>
          </cell>
          <cell r="B207" t="str">
            <v>4817-39X</v>
          </cell>
          <cell r="C207" t="str">
            <v>VMware ESX Server 2 Upgrade (from 2-4 processors; server purchase required)</v>
          </cell>
          <cell r="D207">
            <v>0</v>
          </cell>
          <cell r="E207">
            <v>7259</v>
          </cell>
          <cell r="F207">
            <v>0</v>
          </cell>
          <cell r="G207" t="str">
            <v/>
          </cell>
          <cell r="H207" t="str">
            <v/>
          </cell>
          <cell r="I207" t="str">
            <v/>
          </cell>
          <cell r="J207" t="str">
            <v/>
          </cell>
          <cell r="K207" t="str">
            <v/>
          </cell>
          <cell r="L207" t="str">
            <v/>
          </cell>
          <cell r="M207">
            <v>1980</v>
          </cell>
        </row>
        <row r="208">
          <cell r="A208" t="str">
            <v>4817M1X</v>
          </cell>
          <cell r="B208" t="str">
            <v>4817-M1X</v>
          </cell>
          <cell r="C208" t="str">
            <v>VMware VirtualCenter Management Server (server purchase required)</v>
          </cell>
          <cell r="D208">
            <v>0</v>
          </cell>
          <cell r="E208">
            <v>8899</v>
          </cell>
          <cell r="F208">
            <v>0</v>
          </cell>
          <cell r="G208" t="str">
            <v/>
          </cell>
          <cell r="H208" t="str">
            <v/>
          </cell>
          <cell r="I208" t="str">
            <v/>
          </cell>
          <cell r="J208" t="str">
            <v/>
          </cell>
          <cell r="K208" t="str">
            <v/>
          </cell>
          <cell r="L208" t="str">
            <v/>
          </cell>
          <cell r="M208">
            <v>1990</v>
          </cell>
        </row>
        <row r="209">
          <cell r="A209" t="str">
            <v>4817M2X</v>
          </cell>
          <cell r="B209" t="str">
            <v>4817-M2X</v>
          </cell>
          <cell r="C209" t="str">
            <v>VMware VirtualCenter Agent (2 processor License; server purchase required)</v>
          </cell>
          <cell r="D209">
            <v>0</v>
          </cell>
          <cell r="E209">
            <v>1069</v>
          </cell>
          <cell r="F209">
            <v>0</v>
          </cell>
          <cell r="G209" t="str">
            <v/>
          </cell>
          <cell r="H209" t="str">
            <v/>
          </cell>
          <cell r="I209" t="str">
            <v/>
          </cell>
          <cell r="J209" t="str">
            <v/>
          </cell>
          <cell r="K209" t="str">
            <v/>
          </cell>
          <cell r="L209" t="str">
            <v/>
          </cell>
          <cell r="M209">
            <v>2000</v>
          </cell>
        </row>
        <row r="210">
          <cell r="A210" t="str">
            <v>4817M3X</v>
          </cell>
          <cell r="B210" t="str">
            <v>4817-M3X</v>
          </cell>
          <cell r="C210" t="str">
            <v>VMware VirtualCenter Agent (4 processor License; server purchase required)</v>
          </cell>
          <cell r="D210">
            <v>0</v>
          </cell>
          <cell r="E210">
            <v>2139.0100000000002</v>
          </cell>
          <cell r="F210">
            <v>0</v>
          </cell>
          <cell r="G210" t="str">
            <v/>
          </cell>
          <cell r="H210" t="str">
            <v/>
          </cell>
          <cell r="I210" t="str">
            <v/>
          </cell>
          <cell r="J210" t="str">
            <v/>
          </cell>
          <cell r="K210" t="str">
            <v/>
          </cell>
          <cell r="L210" t="str">
            <v/>
          </cell>
          <cell r="M210">
            <v>2010</v>
          </cell>
        </row>
        <row r="211">
          <cell r="A211" t="str">
            <v>4817M6X</v>
          </cell>
          <cell r="B211" t="str">
            <v>4817-M6X</v>
          </cell>
          <cell r="C211" t="str">
            <v>VMware Vmotion (2 processor License; server purchase required)</v>
          </cell>
          <cell r="D211">
            <v>0</v>
          </cell>
          <cell r="E211">
            <v>2499</v>
          </cell>
          <cell r="F211">
            <v>0</v>
          </cell>
          <cell r="G211" t="str">
            <v/>
          </cell>
          <cell r="H211" t="str">
            <v/>
          </cell>
          <cell r="I211" t="str">
            <v/>
          </cell>
          <cell r="J211" t="str">
            <v/>
          </cell>
          <cell r="K211" t="str">
            <v/>
          </cell>
          <cell r="L211" t="str">
            <v/>
          </cell>
          <cell r="M211">
            <v>2020</v>
          </cell>
        </row>
        <row r="212">
          <cell r="A212" t="str">
            <v>4817M7X</v>
          </cell>
          <cell r="B212" t="str">
            <v>4817-M7X</v>
          </cell>
          <cell r="C212" t="str">
            <v>VMware Vmotion (4 processor License; server purchase required)</v>
          </cell>
          <cell r="D212">
            <v>0</v>
          </cell>
          <cell r="E212">
            <v>4999.01</v>
          </cell>
          <cell r="F212">
            <v>0</v>
          </cell>
          <cell r="G212" t="str">
            <v/>
          </cell>
          <cell r="H212" t="str">
            <v/>
          </cell>
          <cell r="I212" t="str">
            <v/>
          </cell>
          <cell r="J212" t="str">
            <v/>
          </cell>
          <cell r="K212" t="str">
            <v/>
          </cell>
          <cell r="L212" t="str">
            <v/>
          </cell>
          <cell r="M212">
            <v>2030</v>
          </cell>
        </row>
        <row r="213">
          <cell r="A213" t="str">
            <v>4817MAX</v>
          </cell>
          <cell r="B213" t="str">
            <v>4817-MAX</v>
          </cell>
          <cell r="C213" t="str">
            <v>VMware Virtual Infrastructure Node (1-2 processor License; server purchase required)</v>
          </cell>
          <cell r="D213">
            <v>0</v>
          </cell>
          <cell r="E213">
            <v>9299</v>
          </cell>
          <cell r="F213">
            <v>0</v>
          </cell>
          <cell r="G213" t="str">
            <v/>
          </cell>
          <cell r="H213" t="str">
            <v/>
          </cell>
          <cell r="I213" t="str">
            <v/>
          </cell>
          <cell r="J213" t="str">
            <v/>
          </cell>
          <cell r="K213" t="str">
            <v/>
          </cell>
          <cell r="L213" t="str">
            <v/>
          </cell>
          <cell r="M213">
            <v>2040</v>
          </cell>
        </row>
        <row r="214">
          <cell r="A214" t="str">
            <v>4817MBX</v>
          </cell>
          <cell r="B214" t="str">
            <v>4817-MBX</v>
          </cell>
          <cell r="C214" t="str">
            <v>VMware Virtual Infrastructure Node (3-4 processor License; server purchase required)</v>
          </cell>
          <cell r="D214">
            <v>0</v>
          </cell>
          <cell r="E214">
            <v>18699</v>
          </cell>
          <cell r="F214">
            <v>0</v>
          </cell>
          <cell r="G214" t="str">
            <v/>
          </cell>
          <cell r="H214" t="str">
            <v/>
          </cell>
          <cell r="I214" t="str">
            <v/>
          </cell>
          <cell r="J214" t="str">
            <v/>
          </cell>
          <cell r="K214" t="str">
            <v/>
          </cell>
          <cell r="L214" t="str">
            <v/>
          </cell>
          <cell r="M214">
            <v>2050</v>
          </cell>
        </row>
        <row r="215">
          <cell r="A215" t="str">
            <v>N/A</v>
          </cell>
          <cell r="B215" t="str">
            <v>4817-MEX</v>
          </cell>
          <cell r="C215" t="str">
            <v>VMware VirtualCenter Media Kit (server purchase required)</v>
          </cell>
          <cell r="D215">
            <v>0</v>
          </cell>
          <cell r="E215" t="str">
            <v>N/A</v>
          </cell>
          <cell r="F215">
            <v>0</v>
          </cell>
          <cell r="G215" t="str">
            <v/>
          </cell>
          <cell r="H215" t="str">
            <v/>
          </cell>
          <cell r="I215" t="str">
            <v/>
          </cell>
          <cell r="J215" t="str">
            <v/>
          </cell>
          <cell r="K215" t="str">
            <v/>
          </cell>
          <cell r="L215" t="str">
            <v/>
          </cell>
          <cell r="M215">
            <v>2060</v>
          </cell>
        </row>
        <row r="216">
          <cell r="A216" t="str">
            <v>N/A</v>
          </cell>
          <cell r="B216" t="str">
            <v>4817-21X</v>
          </cell>
          <cell r="C216" t="str">
            <v>VMware ESX Server 2 Media Kit (server purchase required)</v>
          </cell>
          <cell r="D216">
            <v>0</v>
          </cell>
          <cell r="E216" t="str">
            <v>N/A</v>
          </cell>
          <cell r="F216">
            <v>0</v>
          </cell>
          <cell r="G216" t="str">
            <v/>
          </cell>
          <cell r="H216" t="str">
            <v/>
          </cell>
          <cell r="I216" t="str">
            <v/>
          </cell>
          <cell r="J216" t="str">
            <v/>
          </cell>
          <cell r="K216" t="str">
            <v/>
          </cell>
          <cell r="L216" t="str">
            <v/>
          </cell>
          <cell r="M216">
            <v>2070</v>
          </cell>
        </row>
        <row r="217">
          <cell r="M217">
            <v>2080</v>
          </cell>
        </row>
        <row r="218">
          <cell r="A218" t="str">
            <v>4817MA3</v>
          </cell>
          <cell r="B218" t="str">
            <v>4817-MA3</v>
          </cell>
          <cell r="C218" t="str">
            <v>VMware Virtual Infrastrucuture Node (1-2 processors w/ 3 YR software subscription)</v>
          </cell>
          <cell r="D218">
            <v>0</v>
          </cell>
          <cell r="E218" t="str">
            <v>???</v>
          </cell>
          <cell r="F218">
            <v>0</v>
          </cell>
          <cell r="G218" t="str">
            <v/>
          </cell>
          <cell r="H218" t="str">
            <v/>
          </cell>
          <cell r="I218" t="str">
            <v/>
          </cell>
          <cell r="J218" t="str">
            <v/>
          </cell>
          <cell r="K218" t="str">
            <v/>
          </cell>
          <cell r="L218" t="str">
            <v/>
          </cell>
          <cell r="M218">
            <v>2090</v>
          </cell>
        </row>
        <row r="219">
          <cell r="A219" t="str">
            <v>4817MA5</v>
          </cell>
          <cell r="B219" t="str">
            <v>4817-MA5</v>
          </cell>
          <cell r="C219" t="str">
            <v>VMware Virtual Infrastrucuture Node (1-2 processors w/ 5 YR software subscription)</v>
          </cell>
          <cell r="D219">
            <v>0</v>
          </cell>
          <cell r="E219" t="str">
            <v>???</v>
          </cell>
          <cell r="F219">
            <v>0</v>
          </cell>
          <cell r="G219" t="str">
            <v/>
          </cell>
          <cell r="H219" t="str">
            <v/>
          </cell>
          <cell r="I219" t="str">
            <v/>
          </cell>
          <cell r="J219" t="str">
            <v/>
          </cell>
          <cell r="K219" t="str">
            <v/>
          </cell>
          <cell r="L219" t="str">
            <v/>
          </cell>
          <cell r="M219">
            <v>2100</v>
          </cell>
        </row>
        <row r="220">
          <cell r="A220" t="str">
            <v>4817MB3</v>
          </cell>
          <cell r="B220" t="str">
            <v>4817-MB3</v>
          </cell>
          <cell r="C220" t="str">
            <v>VMware Virtual Infrastrucuture Node (3-4 processors w/ 3 YR software subscription)</v>
          </cell>
          <cell r="D220">
            <v>0</v>
          </cell>
          <cell r="E220" t="str">
            <v>???</v>
          </cell>
          <cell r="F220">
            <v>0</v>
          </cell>
          <cell r="G220" t="str">
            <v/>
          </cell>
          <cell r="H220" t="str">
            <v/>
          </cell>
          <cell r="I220" t="str">
            <v/>
          </cell>
          <cell r="J220" t="str">
            <v/>
          </cell>
          <cell r="K220" t="str">
            <v/>
          </cell>
          <cell r="L220" t="str">
            <v/>
          </cell>
          <cell r="M220">
            <v>2110</v>
          </cell>
        </row>
        <row r="221">
          <cell r="A221" t="str">
            <v>4817MB5</v>
          </cell>
          <cell r="B221" t="str">
            <v>4817-MB5</v>
          </cell>
          <cell r="C221" t="str">
            <v>VMware Virtual Infrastrucuture Node (3-4 processors w/ 5 YR software subscription)</v>
          </cell>
          <cell r="D221">
            <v>0</v>
          </cell>
          <cell r="E221" t="str">
            <v>???</v>
          </cell>
          <cell r="F221">
            <v>0</v>
          </cell>
          <cell r="G221" t="str">
            <v/>
          </cell>
          <cell r="H221" t="str">
            <v/>
          </cell>
          <cell r="I221" t="str">
            <v/>
          </cell>
          <cell r="J221" t="str">
            <v/>
          </cell>
          <cell r="K221" t="str">
            <v/>
          </cell>
          <cell r="L221" t="str">
            <v/>
          </cell>
          <cell r="M221">
            <v>2120</v>
          </cell>
        </row>
        <row r="222">
          <cell r="M222">
            <v>2130</v>
          </cell>
        </row>
        <row r="223">
          <cell r="A223" t="str">
            <v>4817M13</v>
          </cell>
          <cell r="B223" t="str">
            <v>4817-M13</v>
          </cell>
          <cell r="C223" t="str">
            <v>Vmware VirtualCenter Management Server w/ 3 YR subscription</v>
          </cell>
          <cell r="D223">
            <v>0</v>
          </cell>
          <cell r="E223" t="str">
            <v>???</v>
          </cell>
          <cell r="F223">
            <v>0</v>
          </cell>
          <cell r="G223" t="str">
            <v/>
          </cell>
          <cell r="H223" t="str">
            <v/>
          </cell>
          <cell r="I223" t="str">
            <v/>
          </cell>
          <cell r="J223" t="str">
            <v/>
          </cell>
          <cell r="K223" t="str">
            <v/>
          </cell>
          <cell r="L223" t="str">
            <v/>
          </cell>
          <cell r="M223">
            <v>2140</v>
          </cell>
        </row>
        <row r="224">
          <cell r="A224" t="str">
            <v>4817M15</v>
          </cell>
          <cell r="B224" t="str">
            <v>4817-M15</v>
          </cell>
          <cell r="C224" t="str">
            <v>Vmware VirtualCenter Management Server w/ 5 YR subscription</v>
          </cell>
          <cell r="D224">
            <v>0</v>
          </cell>
          <cell r="E224" t="str">
            <v>???</v>
          </cell>
          <cell r="F224">
            <v>0</v>
          </cell>
          <cell r="G224" t="str">
            <v/>
          </cell>
          <cell r="H224" t="str">
            <v/>
          </cell>
          <cell r="I224" t="str">
            <v/>
          </cell>
          <cell r="J224" t="str">
            <v/>
          </cell>
          <cell r="K224" t="str">
            <v/>
          </cell>
          <cell r="L224" t="str">
            <v/>
          </cell>
          <cell r="M224">
            <v>2150</v>
          </cell>
        </row>
        <row r="225">
          <cell r="M225">
            <v>2160</v>
          </cell>
        </row>
        <row r="226">
          <cell r="A226" t="str">
            <v>Software</v>
          </cell>
          <cell r="M226">
            <v>2170</v>
          </cell>
        </row>
        <row r="227">
          <cell r="M227">
            <v>2180</v>
          </cell>
        </row>
        <row r="228">
          <cell r="A228" t="str">
            <v>24R9459</v>
          </cell>
          <cell r="B228" t="str">
            <v/>
          </cell>
          <cell r="C228" t="str">
            <v>LifeKeeper for mySAP / MAX DB Solution on Linux</v>
          </cell>
          <cell r="D228">
            <v>0</v>
          </cell>
          <cell r="E228">
            <v>8699</v>
          </cell>
          <cell r="F228">
            <v>0</v>
          </cell>
          <cell r="G228" t="str">
            <v/>
          </cell>
          <cell r="H228" t="str">
            <v/>
          </cell>
          <cell r="I228" t="str">
            <v/>
          </cell>
          <cell r="J228" t="str">
            <v/>
          </cell>
          <cell r="K228" t="str">
            <v/>
          </cell>
          <cell r="L228" t="str">
            <v/>
          </cell>
          <cell r="M228">
            <v>2190</v>
          </cell>
        </row>
        <row r="229">
          <cell r="A229" t="str">
            <v>24R9460</v>
          </cell>
          <cell r="B229" t="str">
            <v/>
          </cell>
          <cell r="C229" t="str">
            <v xml:space="preserve">LifeKeeper for mySAP / DB2 Solution on Linux   </v>
          </cell>
          <cell r="D229">
            <v>0</v>
          </cell>
          <cell r="E229">
            <v>8699</v>
          </cell>
          <cell r="F229">
            <v>0</v>
          </cell>
          <cell r="G229" t="str">
            <v/>
          </cell>
          <cell r="H229" t="str">
            <v/>
          </cell>
          <cell r="I229" t="str">
            <v/>
          </cell>
          <cell r="J229" t="str">
            <v/>
          </cell>
          <cell r="K229" t="str">
            <v/>
          </cell>
          <cell r="L229" t="str">
            <v/>
          </cell>
          <cell r="M229">
            <v>2200</v>
          </cell>
        </row>
        <row r="230">
          <cell r="A230" t="str">
            <v>24R9461</v>
          </cell>
          <cell r="B230" t="str">
            <v/>
          </cell>
          <cell r="C230" t="str">
            <v xml:space="preserve">LifeKeeper for Sendmail SAMS Solution on Linux          </v>
          </cell>
          <cell r="D230">
            <v>0</v>
          </cell>
          <cell r="E230">
            <v>8699</v>
          </cell>
          <cell r="F230">
            <v>0</v>
          </cell>
          <cell r="G230" t="str">
            <v/>
          </cell>
          <cell r="H230" t="str">
            <v/>
          </cell>
          <cell r="I230" t="str">
            <v/>
          </cell>
          <cell r="J230" t="str">
            <v/>
          </cell>
          <cell r="K230" t="str">
            <v/>
          </cell>
          <cell r="L230" t="str">
            <v/>
          </cell>
          <cell r="M230">
            <v>2210</v>
          </cell>
        </row>
        <row r="231">
          <cell r="A231" t="str">
            <v>24R9463</v>
          </cell>
          <cell r="B231" t="str">
            <v/>
          </cell>
          <cell r="C231" t="str">
            <v>LifeKeeper for Linux</v>
          </cell>
          <cell r="D231">
            <v>0</v>
          </cell>
          <cell r="E231">
            <v>2899</v>
          </cell>
          <cell r="F231">
            <v>0</v>
          </cell>
          <cell r="G231" t="str">
            <v/>
          </cell>
          <cell r="H231" t="str">
            <v/>
          </cell>
          <cell r="I231" t="str">
            <v/>
          </cell>
          <cell r="J231" t="str">
            <v/>
          </cell>
          <cell r="K231" t="str">
            <v/>
          </cell>
          <cell r="L231" t="str">
            <v/>
          </cell>
          <cell r="M231">
            <v>2220</v>
          </cell>
        </row>
        <row r="232">
          <cell r="A232" t="str">
            <v>24R9464</v>
          </cell>
          <cell r="B232" t="str">
            <v/>
          </cell>
          <cell r="C232" t="str">
            <v>LifeKeeper Data Replication for Linux</v>
          </cell>
          <cell r="D232">
            <v>0</v>
          </cell>
          <cell r="E232">
            <v>859</v>
          </cell>
          <cell r="F232">
            <v>0</v>
          </cell>
          <cell r="G232" t="str">
            <v/>
          </cell>
          <cell r="H232" t="str">
            <v/>
          </cell>
          <cell r="I232" t="str">
            <v/>
          </cell>
          <cell r="J232" t="str">
            <v/>
          </cell>
          <cell r="K232" t="str">
            <v/>
          </cell>
          <cell r="L232" t="str">
            <v/>
          </cell>
          <cell r="M232">
            <v>2230</v>
          </cell>
        </row>
        <row r="233">
          <cell r="A233" t="str">
            <v>24R9465</v>
          </cell>
          <cell r="B233" t="str">
            <v/>
          </cell>
          <cell r="C233" t="str">
            <v>LifeKeeper Data Replication for Linux -WAN</v>
          </cell>
          <cell r="D233">
            <v>0</v>
          </cell>
          <cell r="E233">
            <v>2699</v>
          </cell>
          <cell r="F233">
            <v>0</v>
          </cell>
          <cell r="G233" t="str">
            <v/>
          </cell>
          <cell r="H233" t="str">
            <v/>
          </cell>
          <cell r="I233" t="str">
            <v/>
          </cell>
          <cell r="J233" t="str">
            <v/>
          </cell>
          <cell r="K233" t="str">
            <v/>
          </cell>
          <cell r="L233" t="str">
            <v/>
          </cell>
          <cell r="M233">
            <v>2240</v>
          </cell>
        </row>
        <row r="234">
          <cell r="M234">
            <v>2250</v>
          </cell>
        </row>
        <row r="235">
          <cell r="A235" t="str">
            <v>24R9479</v>
          </cell>
          <cell r="B235" t="str">
            <v/>
          </cell>
          <cell r="C235" t="str">
            <v>LifeKeeper for Linux Software Development Kit</v>
          </cell>
          <cell r="D235">
            <v>0</v>
          </cell>
          <cell r="E235">
            <v>289</v>
          </cell>
          <cell r="F235">
            <v>0</v>
          </cell>
          <cell r="G235" t="str">
            <v/>
          </cell>
          <cell r="H235" t="str">
            <v/>
          </cell>
          <cell r="I235" t="str">
            <v/>
          </cell>
          <cell r="J235" t="str">
            <v/>
          </cell>
          <cell r="K235" t="str">
            <v/>
          </cell>
          <cell r="L235" t="str">
            <v/>
          </cell>
          <cell r="M235">
            <v>2260</v>
          </cell>
        </row>
        <row r="236">
          <cell r="A236" t="str">
            <v>24R9480</v>
          </cell>
          <cell r="B236" t="str">
            <v/>
          </cell>
          <cell r="C236" t="str">
            <v>LifeKeeper for LAN-based Exchange Solution</v>
          </cell>
          <cell r="D236">
            <v>0</v>
          </cell>
          <cell r="E236">
            <v>5199</v>
          </cell>
          <cell r="F236">
            <v>0</v>
          </cell>
          <cell r="G236" t="str">
            <v/>
          </cell>
          <cell r="H236" t="str">
            <v/>
          </cell>
          <cell r="I236" t="str">
            <v/>
          </cell>
          <cell r="J236" t="str">
            <v/>
          </cell>
          <cell r="K236" t="str">
            <v/>
          </cell>
          <cell r="L236" t="str">
            <v/>
          </cell>
          <cell r="M236">
            <v>2270</v>
          </cell>
        </row>
        <row r="237">
          <cell r="A237" t="str">
            <v>24R9481</v>
          </cell>
          <cell r="B237" t="str">
            <v/>
          </cell>
          <cell r="C237" t="str">
            <v>LifeKeeper for WAN-based Exchange Solution</v>
          </cell>
          <cell r="D237">
            <v>0</v>
          </cell>
          <cell r="E237">
            <v>9999</v>
          </cell>
          <cell r="F237">
            <v>0</v>
          </cell>
          <cell r="G237" t="str">
            <v/>
          </cell>
          <cell r="H237" t="str">
            <v/>
          </cell>
          <cell r="I237" t="str">
            <v/>
          </cell>
          <cell r="J237" t="str">
            <v/>
          </cell>
          <cell r="K237" t="str">
            <v/>
          </cell>
          <cell r="L237" t="str">
            <v/>
          </cell>
          <cell r="M237">
            <v>2280</v>
          </cell>
        </row>
        <row r="238">
          <cell r="A238" t="str">
            <v>24R9482</v>
          </cell>
          <cell r="B238" t="str">
            <v/>
          </cell>
          <cell r="C238" t="str">
            <v>LifeKeeper for Windows</v>
          </cell>
          <cell r="D238">
            <v>0</v>
          </cell>
          <cell r="E238">
            <v>4799</v>
          </cell>
          <cell r="F238">
            <v>0</v>
          </cell>
          <cell r="G238" t="str">
            <v/>
          </cell>
          <cell r="H238" t="str">
            <v/>
          </cell>
          <cell r="I238" t="str">
            <v/>
          </cell>
          <cell r="J238" t="str">
            <v/>
          </cell>
          <cell r="K238" t="str">
            <v/>
          </cell>
          <cell r="L238" t="str">
            <v/>
          </cell>
          <cell r="M238">
            <v>2290</v>
          </cell>
        </row>
        <row r="239">
          <cell r="A239" t="str">
            <v>24R9483</v>
          </cell>
          <cell r="B239" t="str">
            <v/>
          </cell>
          <cell r="C239" t="str">
            <v>LifeKeeper Data Replication for Windows</v>
          </cell>
          <cell r="D239">
            <v>0</v>
          </cell>
          <cell r="E239">
            <v>2699</v>
          </cell>
          <cell r="F239">
            <v>0</v>
          </cell>
          <cell r="G239" t="str">
            <v/>
          </cell>
          <cell r="H239" t="str">
            <v/>
          </cell>
          <cell r="I239" t="str">
            <v/>
          </cell>
          <cell r="J239" t="str">
            <v/>
          </cell>
          <cell r="K239" t="str">
            <v/>
          </cell>
          <cell r="L239" t="str">
            <v/>
          </cell>
          <cell r="M239">
            <v>2300</v>
          </cell>
        </row>
        <row r="240">
          <cell r="M240">
            <v>2310</v>
          </cell>
        </row>
        <row r="241">
          <cell r="A241" t="str">
            <v>24R9466</v>
          </cell>
          <cell r="B241" t="str">
            <v/>
          </cell>
          <cell r="C241" t="str">
            <v>Apache Web Server Module  (includes SSL support)</v>
          </cell>
          <cell r="D241">
            <v>0</v>
          </cell>
          <cell r="E241">
            <v>499</v>
          </cell>
          <cell r="F241">
            <v>0</v>
          </cell>
          <cell r="G241" t="str">
            <v/>
          </cell>
          <cell r="H241" t="str">
            <v/>
          </cell>
          <cell r="I241" t="str">
            <v/>
          </cell>
          <cell r="J241" t="str">
            <v/>
          </cell>
          <cell r="K241" t="str">
            <v/>
          </cell>
          <cell r="L241" t="str">
            <v/>
          </cell>
          <cell r="M241">
            <v>2320</v>
          </cell>
        </row>
        <row r="242">
          <cell r="A242" t="str">
            <v>24R9467</v>
          </cell>
          <cell r="B242" t="str">
            <v/>
          </cell>
          <cell r="C242" t="str">
            <v>Sendmail Module  (Open Source Sendmail)</v>
          </cell>
          <cell r="D242">
            <v>0</v>
          </cell>
          <cell r="E242">
            <v>143</v>
          </cell>
          <cell r="F242">
            <v>0</v>
          </cell>
          <cell r="G242" t="str">
            <v/>
          </cell>
          <cell r="H242" t="str">
            <v/>
          </cell>
          <cell r="I242" t="str">
            <v/>
          </cell>
          <cell r="J242" t="str">
            <v/>
          </cell>
          <cell r="K242" t="str">
            <v/>
          </cell>
          <cell r="L242" t="str">
            <v/>
          </cell>
          <cell r="M242">
            <v>2330</v>
          </cell>
        </row>
        <row r="243">
          <cell r="A243" t="str">
            <v>24R9468</v>
          </cell>
          <cell r="B243" t="str">
            <v/>
          </cell>
          <cell r="C243" t="str">
            <v>Informix Module</v>
          </cell>
          <cell r="D243">
            <v>0</v>
          </cell>
          <cell r="E243">
            <v>1449</v>
          </cell>
          <cell r="F243">
            <v>0</v>
          </cell>
          <cell r="G243" t="str">
            <v/>
          </cell>
          <cell r="H243" t="str">
            <v/>
          </cell>
          <cell r="I243" t="str">
            <v/>
          </cell>
          <cell r="J243" t="str">
            <v/>
          </cell>
          <cell r="K243" t="str">
            <v/>
          </cell>
          <cell r="L243" t="str">
            <v/>
          </cell>
          <cell r="M243">
            <v>2340</v>
          </cell>
        </row>
        <row r="244">
          <cell r="A244" t="str">
            <v>24R9469</v>
          </cell>
          <cell r="B244" t="str">
            <v/>
          </cell>
          <cell r="C244" t="str">
            <v>Oracle Module</v>
          </cell>
          <cell r="D244">
            <v>0</v>
          </cell>
          <cell r="E244">
            <v>1449</v>
          </cell>
          <cell r="F244">
            <v>0</v>
          </cell>
          <cell r="G244" t="str">
            <v/>
          </cell>
          <cell r="H244" t="str">
            <v/>
          </cell>
          <cell r="I244" t="str">
            <v/>
          </cell>
          <cell r="J244" t="str">
            <v/>
          </cell>
          <cell r="K244" t="str">
            <v/>
          </cell>
          <cell r="L244" t="str">
            <v/>
          </cell>
          <cell r="M244">
            <v>2350</v>
          </cell>
        </row>
        <row r="245">
          <cell r="A245" t="str">
            <v>24R9470</v>
          </cell>
          <cell r="B245" t="str">
            <v/>
          </cell>
          <cell r="C245" t="str">
            <v>DB2 WE, EE, EEE, ESE Module</v>
          </cell>
          <cell r="D245">
            <v>0</v>
          </cell>
          <cell r="E245">
            <v>1449</v>
          </cell>
          <cell r="F245">
            <v>0</v>
          </cell>
          <cell r="G245" t="str">
            <v/>
          </cell>
          <cell r="H245" t="str">
            <v/>
          </cell>
          <cell r="I245" t="str">
            <v/>
          </cell>
          <cell r="J245" t="str">
            <v/>
          </cell>
          <cell r="K245" t="str">
            <v/>
          </cell>
          <cell r="L245" t="str">
            <v/>
          </cell>
          <cell r="M245">
            <v>2360</v>
          </cell>
        </row>
        <row r="246">
          <cell r="A246" t="str">
            <v>24R9471</v>
          </cell>
          <cell r="B246" t="str">
            <v/>
          </cell>
          <cell r="C246" t="str">
            <v>MySQL Module</v>
          </cell>
          <cell r="D246">
            <v>0</v>
          </cell>
          <cell r="E246">
            <v>769</v>
          </cell>
          <cell r="F246">
            <v>0</v>
          </cell>
          <cell r="G246" t="str">
            <v/>
          </cell>
          <cell r="H246" t="str">
            <v/>
          </cell>
          <cell r="I246" t="str">
            <v/>
          </cell>
          <cell r="J246" t="str">
            <v/>
          </cell>
          <cell r="K246" t="str">
            <v/>
          </cell>
          <cell r="L246" t="str">
            <v/>
          </cell>
          <cell r="M246">
            <v>2370</v>
          </cell>
        </row>
        <row r="247">
          <cell r="A247" t="str">
            <v>24R9472</v>
          </cell>
          <cell r="B247" t="str">
            <v/>
          </cell>
          <cell r="C247" t="str">
            <v>PostgreSQL Module</v>
          </cell>
          <cell r="D247">
            <v>0</v>
          </cell>
          <cell r="E247">
            <v>769</v>
          </cell>
          <cell r="F247">
            <v>0</v>
          </cell>
          <cell r="G247" t="str">
            <v/>
          </cell>
          <cell r="H247" t="str">
            <v/>
          </cell>
          <cell r="I247" t="str">
            <v/>
          </cell>
          <cell r="J247" t="str">
            <v/>
          </cell>
          <cell r="K247" t="str">
            <v/>
          </cell>
          <cell r="L247" t="str">
            <v/>
          </cell>
          <cell r="M247">
            <v>2380</v>
          </cell>
        </row>
        <row r="248">
          <cell r="A248" t="str">
            <v>24R9473</v>
          </cell>
          <cell r="B248" t="str">
            <v/>
          </cell>
          <cell r="C248" t="str">
            <v>Sybase Module</v>
          </cell>
          <cell r="D248">
            <v>0</v>
          </cell>
          <cell r="E248">
            <v>1449</v>
          </cell>
          <cell r="F248">
            <v>0</v>
          </cell>
          <cell r="G248" t="str">
            <v/>
          </cell>
          <cell r="H248" t="str">
            <v/>
          </cell>
          <cell r="I248" t="str">
            <v/>
          </cell>
          <cell r="J248" t="str">
            <v/>
          </cell>
          <cell r="K248" t="str">
            <v/>
          </cell>
          <cell r="L248" t="str">
            <v/>
          </cell>
          <cell r="M248">
            <v>2390</v>
          </cell>
        </row>
        <row r="249">
          <cell r="A249" t="str">
            <v>24R9474</v>
          </cell>
          <cell r="B249" t="str">
            <v/>
          </cell>
          <cell r="C249" t="str">
            <v>NFS Server Module</v>
          </cell>
          <cell r="D249">
            <v>0</v>
          </cell>
          <cell r="E249">
            <v>379.01</v>
          </cell>
          <cell r="F249">
            <v>0</v>
          </cell>
          <cell r="G249" t="str">
            <v/>
          </cell>
          <cell r="H249" t="str">
            <v/>
          </cell>
          <cell r="I249" t="str">
            <v/>
          </cell>
          <cell r="J249" t="str">
            <v/>
          </cell>
          <cell r="K249" t="str">
            <v/>
          </cell>
          <cell r="L249" t="str">
            <v/>
          </cell>
          <cell r="M249">
            <v>2400</v>
          </cell>
        </row>
        <row r="250">
          <cell r="A250" t="str">
            <v>24R9475</v>
          </cell>
          <cell r="B250" t="str">
            <v/>
          </cell>
          <cell r="C250" t="str">
            <v>Print Services Module</v>
          </cell>
          <cell r="D250">
            <v>0</v>
          </cell>
          <cell r="E250">
            <v>379.01</v>
          </cell>
          <cell r="F250">
            <v>0</v>
          </cell>
          <cell r="G250" t="str">
            <v/>
          </cell>
          <cell r="H250" t="str">
            <v/>
          </cell>
          <cell r="I250" t="str">
            <v/>
          </cell>
          <cell r="J250" t="str">
            <v/>
          </cell>
          <cell r="K250" t="str">
            <v/>
          </cell>
          <cell r="L250" t="str">
            <v/>
          </cell>
          <cell r="M250">
            <v>2410</v>
          </cell>
        </row>
        <row r="251">
          <cell r="A251" t="str">
            <v>24R9476</v>
          </cell>
          <cell r="B251" t="str">
            <v/>
          </cell>
          <cell r="C251" t="str">
            <v>Samba Module</v>
          </cell>
          <cell r="D251">
            <v>0</v>
          </cell>
          <cell r="E251">
            <v>769</v>
          </cell>
          <cell r="F251">
            <v>0</v>
          </cell>
          <cell r="G251" t="str">
            <v/>
          </cell>
          <cell r="H251" t="str">
            <v/>
          </cell>
          <cell r="I251" t="str">
            <v/>
          </cell>
          <cell r="J251" t="str">
            <v/>
          </cell>
          <cell r="K251" t="str">
            <v/>
          </cell>
          <cell r="L251" t="str">
            <v/>
          </cell>
          <cell r="M251">
            <v>2420</v>
          </cell>
        </row>
        <row r="252">
          <cell r="A252" t="str">
            <v>24R9477</v>
          </cell>
          <cell r="B252" t="str">
            <v/>
          </cell>
          <cell r="C252" t="str">
            <v>Network Attached Storage Recovery Kit</v>
          </cell>
          <cell r="D252">
            <v>0</v>
          </cell>
          <cell r="E252">
            <v>859</v>
          </cell>
          <cell r="F252">
            <v>0</v>
          </cell>
          <cell r="G252" t="str">
            <v/>
          </cell>
          <cell r="H252" t="str">
            <v/>
          </cell>
          <cell r="I252" t="str">
            <v/>
          </cell>
          <cell r="J252" t="str">
            <v/>
          </cell>
          <cell r="K252" t="str">
            <v/>
          </cell>
          <cell r="L252" t="str">
            <v/>
          </cell>
          <cell r="M252">
            <v>2430</v>
          </cell>
        </row>
        <row r="253">
          <cell r="A253" t="str">
            <v>24R9478</v>
          </cell>
          <cell r="B253" t="str">
            <v/>
          </cell>
          <cell r="C253" t="str">
            <v>Logical Volume Manager Module</v>
          </cell>
          <cell r="D253">
            <v>0</v>
          </cell>
          <cell r="E253">
            <v>769</v>
          </cell>
          <cell r="F253">
            <v>0</v>
          </cell>
          <cell r="G253" t="str">
            <v/>
          </cell>
          <cell r="H253" t="str">
            <v/>
          </cell>
          <cell r="I253" t="str">
            <v/>
          </cell>
          <cell r="J253" t="str">
            <v/>
          </cell>
          <cell r="K253" t="str">
            <v/>
          </cell>
          <cell r="L253" t="str">
            <v/>
          </cell>
          <cell r="M253">
            <v>2440</v>
          </cell>
        </row>
        <row r="254">
          <cell r="M254">
            <v>2450</v>
          </cell>
        </row>
        <row r="255">
          <cell r="A255" t="str">
            <v>24R9484</v>
          </cell>
          <cell r="B255" t="str">
            <v/>
          </cell>
          <cell r="C255" t="str">
            <v>MS IIS 5.0 Web Server Module</v>
          </cell>
          <cell r="D255">
            <v>0</v>
          </cell>
          <cell r="E255">
            <v>1449</v>
          </cell>
          <cell r="F255">
            <v>0</v>
          </cell>
          <cell r="G255" t="str">
            <v/>
          </cell>
          <cell r="H255" t="str">
            <v/>
          </cell>
          <cell r="I255" t="str">
            <v/>
          </cell>
          <cell r="J255" t="str">
            <v/>
          </cell>
          <cell r="K255" t="str">
            <v/>
          </cell>
          <cell r="L255" t="str">
            <v/>
          </cell>
          <cell r="M255">
            <v>2460</v>
          </cell>
        </row>
        <row r="256">
          <cell r="A256" t="str">
            <v>24R9485</v>
          </cell>
          <cell r="B256" t="str">
            <v/>
          </cell>
          <cell r="C256" t="str">
            <v>SQL Server Module</v>
          </cell>
          <cell r="D256">
            <v>0</v>
          </cell>
          <cell r="E256">
            <v>1539</v>
          </cell>
          <cell r="F256">
            <v>0</v>
          </cell>
          <cell r="G256" t="str">
            <v/>
          </cell>
          <cell r="H256" t="str">
            <v/>
          </cell>
          <cell r="I256" t="str">
            <v/>
          </cell>
          <cell r="J256" t="str">
            <v/>
          </cell>
          <cell r="K256" t="str">
            <v/>
          </cell>
          <cell r="L256" t="str">
            <v/>
          </cell>
          <cell r="M256">
            <v>2470</v>
          </cell>
        </row>
        <row r="257">
          <cell r="A257" t="str">
            <v>24R9486</v>
          </cell>
          <cell r="B257" t="str">
            <v/>
          </cell>
          <cell r="C257" t="str">
            <v>DB2 WE, EE, EEE, ESE Module</v>
          </cell>
          <cell r="D257">
            <v>0</v>
          </cell>
          <cell r="E257">
            <v>1449</v>
          </cell>
          <cell r="F257">
            <v>0</v>
          </cell>
          <cell r="G257" t="str">
            <v/>
          </cell>
          <cell r="H257" t="str">
            <v/>
          </cell>
          <cell r="I257" t="str">
            <v/>
          </cell>
          <cell r="J257" t="str">
            <v/>
          </cell>
          <cell r="K257" t="str">
            <v/>
          </cell>
          <cell r="L257" t="str">
            <v/>
          </cell>
          <cell r="M257">
            <v>2480</v>
          </cell>
        </row>
        <row r="258">
          <cell r="A258" t="str">
            <v>24R9487</v>
          </cell>
          <cell r="B258" t="str">
            <v/>
          </cell>
          <cell r="C258" t="str">
            <v>Oracle 8i &amp; 9i Module</v>
          </cell>
          <cell r="D258">
            <v>0</v>
          </cell>
          <cell r="E258">
            <v>2119</v>
          </cell>
          <cell r="F258">
            <v>0</v>
          </cell>
          <cell r="G258" t="str">
            <v/>
          </cell>
          <cell r="H258" t="str">
            <v/>
          </cell>
          <cell r="I258" t="str">
            <v/>
          </cell>
          <cell r="J258" t="str">
            <v/>
          </cell>
          <cell r="K258" t="str">
            <v/>
          </cell>
          <cell r="L258" t="str">
            <v/>
          </cell>
          <cell r="M258">
            <v>2490</v>
          </cell>
        </row>
        <row r="259">
          <cell r="M259">
            <v>2500</v>
          </cell>
        </row>
        <row r="260">
          <cell r="A260" t="str">
            <v>24R9488</v>
          </cell>
          <cell r="B260" t="str">
            <v/>
          </cell>
          <cell r="C260" t="str">
            <v>SteelEye Support Package 1</v>
          </cell>
          <cell r="D260">
            <v>0</v>
          </cell>
          <cell r="E260">
            <v>239</v>
          </cell>
          <cell r="F260">
            <v>0</v>
          </cell>
          <cell r="G260" t="str">
            <v/>
          </cell>
          <cell r="H260" t="str">
            <v/>
          </cell>
          <cell r="I260" t="str">
            <v/>
          </cell>
          <cell r="J260" t="str">
            <v/>
          </cell>
          <cell r="K260" t="str">
            <v/>
          </cell>
          <cell r="L260" t="str">
            <v/>
          </cell>
          <cell r="M260">
            <v>2510</v>
          </cell>
        </row>
        <row r="261">
          <cell r="A261" t="str">
            <v>24R9489</v>
          </cell>
          <cell r="B261" t="str">
            <v/>
          </cell>
          <cell r="C261" t="str">
            <v>SteelEye Support Package 2</v>
          </cell>
          <cell r="D261">
            <v>0</v>
          </cell>
          <cell r="E261">
            <v>399</v>
          </cell>
          <cell r="F261">
            <v>0</v>
          </cell>
          <cell r="G261" t="str">
            <v/>
          </cell>
          <cell r="H261" t="str">
            <v/>
          </cell>
          <cell r="I261" t="str">
            <v/>
          </cell>
          <cell r="J261" t="str">
            <v/>
          </cell>
          <cell r="K261" t="str">
            <v/>
          </cell>
          <cell r="L261" t="str">
            <v/>
          </cell>
          <cell r="M261">
            <v>2520</v>
          </cell>
        </row>
        <row r="262">
          <cell r="A262" t="str">
            <v>24R9490</v>
          </cell>
          <cell r="B262" t="str">
            <v/>
          </cell>
          <cell r="C262" t="str">
            <v>SteelEye Support Package 3</v>
          </cell>
          <cell r="D262">
            <v>0</v>
          </cell>
          <cell r="E262">
            <v>653.64</v>
          </cell>
          <cell r="F262">
            <v>0</v>
          </cell>
          <cell r="G262" t="str">
            <v/>
          </cell>
          <cell r="H262" t="str">
            <v/>
          </cell>
          <cell r="I262" t="str">
            <v/>
          </cell>
          <cell r="J262" t="str">
            <v/>
          </cell>
          <cell r="K262" t="str">
            <v/>
          </cell>
          <cell r="L262" t="str">
            <v/>
          </cell>
          <cell r="M262">
            <v>2530</v>
          </cell>
        </row>
        <row r="263">
          <cell r="A263" t="str">
            <v>24R9491</v>
          </cell>
          <cell r="B263" t="str">
            <v/>
          </cell>
          <cell r="C263" t="str">
            <v>SteelEye Support Package 4</v>
          </cell>
          <cell r="D263">
            <v>0</v>
          </cell>
          <cell r="E263">
            <v>1199</v>
          </cell>
          <cell r="F263">
            <v>0</v>
          </cell>
          <cell r="G263" t="str">
            <v/>
          </cell>
          <cell r="H263" t="str">
            <v/>
          </cell>
          <cell r="I263" t="str">
            <v/>
          </cell>
          <cell r="J263" t="str">
            <v/>
          </cell>
          <cell r="K263" t="str">
            <v/>
          </cell>
          <cell r="L263" t="str">
            <v/>
          </cell>
          <cell r="M263">
            <v>2540</v>
          </cell>
        </row>
        <row r="264">
          <cell r="A264" t="str">
            <v>24R9492</v>
          </cell>
          <cell r="B264" t="str">
            <v/>
          </cell>
          <cell r="C264" t="str">
            <v>SteelEye Support Package 5</v>
          </cell>
          <cell r="D264">
            <v>0</v>
          </cell>
          <cell r="E264">
            <v>2159</v>
          </cell>
          <cell r="F264">
            <v>0</v>
          </cell>
          <cell r="G264" t="str">
            <v/>
          </cell>
          <cell r="H264" t="str">
            <v/>
          </cell>
          <cell r="I264" t="str">
            <v/>
          </cell>
          <cell r="J264" t="str">
            <v/>
          </cell>
          <cell r="K264" t="str">
            <v/>
          </cell>
          <cell r="L264" t="str">
            <v/>
          </cell>
          <cell r="M264">
            <v>2550</v>
          </cell>
        </row>
        <row r="265">
          <cell r="M265">
            <v>2560</v>
          </cell>
        </row>
        <row r="266">
          <cell r="C266" t="str">
            <v>IBM Director 4.1 ships free of charge with server; and FOC for 5000 IBM client licenses</v>
          </cell>
          <cell r="M266">
            <v>2570</v>
          </cell>
        </row>
        <row r="267">
          <cell r="A267" t="str">
            <v>71P7627</v>
          </cell>
          <cell r="B267" t="str">
            <v/>
          </cell>
          <cell r="C267" t="str">
            <v>WITHDRAWN;IBM Director 4.1 xSeries All, Server Plus Pack, Single License Proof of Entitlement</v>
          </cell>
          <cell r="D267">
            <v>0</v>
          </cell>
          <cell r="E267" t="str">
            <v>WDFM</v>
          </cell>
          <cell r="F267">
            <v>0</v>
          </cell>
          <cell r="G267" t="str">
            <v/>
          </cell>
          <cell r="H267" t="str">
            <v/>
          </cell>
          <cell r="I267" t="str">
            <v/>
          </cell>
          <cell r="J267" t="str">
            <v/>
          </cell>
          <cell r="K267" t="str">
            <v/>
          </cell>
          <cell r="L267" t="str">
            <v/>
          </cell>
          <cell r="M267">
            <v>2580</v>
          </cell>
        </row>
        <row r="268">
          <cell r="A268" t="str">
            <v>71P7618</v>
          </cell>
          <cell r="B268" t="str">
            <v/>
          </cell>
          <cell r="C268" t="str">
            <v>WITHDRAWN;IBM Director 4.1 xSeries All, Server Plus Pack CD, Single License Proof of Entitlement</v>
          </cell>
          <cell r="D268">
            <v>0</v>
          </cell>
          <cell r="E268" t="str">
            <v>WDFM</v>
          </cell>
          <cell r="F268">
            <v>0</v>
          </cell>
          <cell r="G268" t="str">
            <v/>
          </cell>
          <cell r="H268" t="str">
            <v/>
          </cell>
          <cell r="I268" t="str">
            <v/>
          </cell>
          <cell r="J268" t="str">
            <v/>
          </cell>
          <cell r="K268" t="str">
            <v/>
          </cell>
          <cell r="L268" t="str">
            <v/>
          </cell>
          <cell r="M268">
            <v>2590</v>
          </cell>
        </row>
        <row r="269">
          <cell r="A269" t="str">
            <v>71P7619</v>
          </cell>
          <cell r="B269" t="str">
            <v/>
          </cell>
          <cell r="C269" t="str">
            <v>WITHDRAWN;IBM Director 4.1 xSeries All, Server Plus Pack , 20 Additional License Proof of Entitlement</v>
          </cell>
          <cell r="D269">
            <v>0</v>
          </cell>
          <cell r="E269" t="str">
            <v>WDFM</v>
          </cell>
          <cell r="F269">
            <v>0</v>
          </cell>
          <cell r="G269" t="str">
            <v/>
          </cell>
          <cell r="H269" t="str">
            <v/>
          </cell>
          <cell r="I269" t="str">
            <v/>
          </cell>
          <cell r="J269" t="str">
            <v/>
          </cell>
          <cell r="K269" t="str">
            <v/>
          </cell>
          <cell r="L269" t="str">
            <v/>
          </cell>
          <cell r="M269">
            <v>2600</v>
          </cell>
        </row>
        <row r="270">
          <cell r="A270" t="str">
            <v>71P7620</v>
          </cell>
          <cell r="B270" t="str">
            <v/>
          </cell>
          <cell r="C270" t="str">
            <v>WITHDRAWN;IBM Director 4.1 xSeries All, Server Plus Pack , 50 Additional License Proof of Entitlement</v>
          </cell>
          <cell r="D270">
            <v>0</v>
          </cell>
          <cell r="E270" t="str">
            <v>WDFM</v>
          </cell>
          <cell r="F270">
            <v>0</v>
          </cell>
          <cell r="G270" t="str">
            <v/>
          </cell>
          <cell r="H270" t="str">
            <v/>
          </cell>
          <cell r="I270" t="str">
            <v/>
          </cell>
          <cell r="J270" t="str">
            <v/>
          </cell>
          <cell r="K270" t="str">
            <v/>
          </cell>
          <cell r="L270" t="str">
            <v/>
          </cell>
          <cell r="M270">
            <v>2610</v>
          </cell>
        </row>
        <row r="271">
          <cell r="A271" t="str">
            <v>71P7621</v>
          </cell>
          <cell r="B271" t="str">
            <v/>
          </cell>
          <cell r="C271" t="str">
            <v>WITHDRAWN;IBM Director 4.1 xSeries All, Server Plus Pack , 100 Additional License Proof of Entitlement</v>
          </cell>
          <cell r="D271">
            <v>0</v>
          </cell>
          <cell r="E271" t="str">
            <v>WDFM</v>
          </cell>
          <cell r="F271">
            <v>0</v>
          </cell>
          <cell r="G271" t="str">
            <v/>
          </cell>
          <cell r="H271" t="str">
            <v/>
          </cell>
          <cell r="I271" t="str">
            <v/>
          </cell>
          <cell r="J271" t="str">
            <v/>
          </cell>
          <cell r="K271" t="str">
            <v/>
          </cell>
          <cell r="L271" t="str">
            <v/>
          </cell>
          <cell r="M271">
            <v>2620</v>
          </cell>
        </row>
        <row r="272">
          <cell r="A272" t="str">
            <v>71P7613</v>
          </cell>
          <cell r="B272" t="str">
            <v/>
          </cell>
          <cell r="C272" t="str">
            <v>WITHDRAWN;IBM Director 4.1 CD with 20 Client License</v>
          </cell>
          <cell r="D272">
            <v>0</v>
          </cell>
          <cell r="E272" t="str">
            <v>WDFM</v>
          </cell>
          <cell r="F272">
            <v>0</v>
          </cell>
          <cell r="G272" t="str">
            <v/>
          </cell>
          <cell r="H272" t="str">
            <v/>
          </cell>
          <cell r="I272" t="str">
            <v/>
          </cell>
          <cell r="J272" t="str">
            <v/>
          </cell>
          <cell r="K272" t="str">
            <v/>
          </cell>
          <cell r="L272" t="str">
            <v/>
          </cell>
          <cell r="M272">
            <v>2630</v>
          </cell>
        </row>
        <row r="273">
          <cell r="A273" t="str">
            <v>71P7614</v>
          </cell>
          <cell r="B273" t="str">
            <v/>
          </cell>
          <cell r="C273" t="str">
            <v>WITHDRAWN;IBM Director 4.1 Single Server License Proof of Entitlement</v>
          </cell>
          <cell r="D273">
            <v>0</v>
          </cell>
          <cell r="E273" t="str">
            <v>WDFM</v>
          </cell>
          <cell r="F273">
            <v>0</v>
          </cell>
          <cell r="G273" t="str">
            <v/>
          </cell>
          <cell r="H273" t="str">
            <v/>
          </cell>
          <cell r="I273" t="str">
            <v/>
          </cell>
          <cell r="J273" t="str">
            <v/>
          </cell>
          <cell r="K273" t="str">
            <v/>
          </cell>
          <cell r="L273" t="str">
            <v/>
          </cell>
          <cell r="M273">
            <v>2640</v>
          </cell>
        </row>
        <row r="274">
          <cell r="A274" t="str">
            <v>71P7626</v>
          </cell>
          <cell r="B274" t="str">
            <v/>
          </cell>
          <cell r="C274" t="str">
            <v>WITHDRAWN;IBM Director 4.1 Single Client License Proof of Entitlement</v>
          </cell>
          <cell r="D274">
            <v>0</v>
          </cell>
          <cell r="E274" t="str">
            <v>WDFM</v>
          </cell>
          <cell r="F274">
            <v>0</v>
          </cell>
          <cell r="G274" t="str">
            <v/>
          </cell>
          <cell r="H274" t="str">
            <v/>
          </cell>
          <cell r="I274" t="str">
            <v/>
          </cell>
          <cell r="J274" t="str">
            <v/>
          </cell>
          <cell r="K274" t="str">
            <v/>
          </cell>
          <cell r="L274" t="str">
            <v/>
          </cell>
          <cell r="M274">
            <v>2650</v>
          </cell>
        </row>
        <row r="275">
          <cell r="A275" t="str">
            <v>71P7615</v>
          </cell>
          <cell r="B275" t="str">
            <v/>
          </cell>
          <cell r="C275" t="str">
            <v>WITHDRAWN;IBM Director 4.1 20 Additional Client License Proof of Entitlement</v>
          </cell>
          <cell r="D275">
            <v>0</v>
          </cell>
          <cell r="E275" t="str">
            <v>WDFM</v>
          </cell>
          <cell r="F275">
            <v>0</v>
          </cell>
          <cell r="G275" t="str">
            <v/>
          </cell>
          <cell r="H275" t="str">
            <v/>
          </cell>
          <cell r="I275" t="str">
            <v/>
          </cell>
          <cell r="J275" t="str">
            <v/>
          </cell>
          <cell r="K275" t="str">
            <v/>
          </cell>
          <cell r="L275" t="str">
            <v/>
          </cell>
          <cell r="M275">
            <v>2660</v>
          </cell>
        </row>
        <row r="276">
          <cell r="A276" t="str">
            <v>71P7616</v>
          </cell>
          <cell r="B276" t="str">
            <v/>
          </cell>
          <cell r="C276" t="str">
            <v>WITHDRAWN;IBM Director 4.1 50 Additional Client License Proof of Entitlement</v>
          </cell>
          <cell r="D276">
            <v>0</v>
          </cell>
          <cell r="E276" t="str">
            <v>WDFM</v>
          </cell>
          <cell r="F276">
            <v>0</v>
          </cell>
          <cell r="G276" t="str">
            <v/>
          </cell>
          <cell r="H276" t="str">
            <v/>
          </cell>
          <cell r="I276" t="str">
            <v/>
          </cell>
          <cell r="J276" t="str">
            <v/>
          </cell>
          <cell r="K276" t="str">
            <v/>
          </cell>
          <cell r="L276" t="str">
            <v/>
          </cell>
          <cell r="M276">
            <v>2670</v>
          </cell>
        </row>
        <row r="277">
          <cell r="A277" t="str">
            <v>71P7617</v>
          </cell>
          <cell r="B277" t="str">
            <v/>
          </cell>
          <cell r="C277" t="str">
            <v>WITHDRAWN;IBM Director 4.1 100 Additional Client License Proof of Entitlement</v>
          </cell>
          <cell r="D277">
            <v>0</v>
          </cell>
          <cell r="E277" t="str">
            <v>WDFM</v>
          </cell>
          <cell r="F277">
            <v>0</v>
          </cell>
          <cell r="G277" t="str">
            <v/>
          </cell>
          <cell r="H277" t="str">
            <v/>
          </cell>
          <cell r="I277" t="str">
            <v/>
          </cell>
          <cell r="J277" t="str">
            <v/>
          </cell>
          <cell r="K277" t="str">
            <v/>
          </cell>
          <cell r="L277" t="str">
            <v/>
          </cell>
          <cell r="M277">
            <v>2680</v>
          </cell>
        </row>
        <row r="278">
          <cell r="A278" t="str">
            <v>25K8531</v>
          </cell>
          <cell r="B278" t="str">
            <v/>
          </cell>
          <cell r="C278" t="str">
            <v>IBM Director v4.20 Media Package, Separate Proof of Entitlement required</v>
          </cell>
          <cell r="D278">
            <v>0</v>
          </cell>
          <cell r="E278">
            <v>83</v>
          </cell>
          <cell r="F278">
            <v>0</v>
          </cell>
          <cell r="G278" t="str">
            <v/>
          </cell>
          <cell r="H278" t="str">
            <v/>
          </cell>
          <cell r="I278" t="str">
            <v/>
          </cell>
          <cell r="J278" t="str">
            <v/>
          </cell>
          <cell r="K278" t="str">
            <v/>
          </cell>
          <cell r="L278" t="str">
            <v/>
          </cell>
          <cell r="M278">
            <v>2690</v>
          </cell>
        </row>
        <row r="279">
          <cell r="A279" t="str">
            <v>25K8627</v>
          </cell>
          <cell r="B279" t="str">
            <v/>
          </cell>
          <cell r="C279" t="str">
            <v>IBM Director v4.20 Server: License + 1 YR Subscription, Separate Proof of Entitlement only</v>
          </cell>
          <cell r="D279">
            <v>0</v>
          </cell>
          <cell r="E279">
            <v>1019</v>
          </cell>
          <cell r="F279">
            <v>0</v>
          </cell>
          <cell r="G279" t="str">
            <v/>
          </cell>
          <cell r="H279" t="str">
            <v/>
          </cell>
          <cell r="I279" t="str">
            <v/>
          </cell>
          <cell r="J279" t="str">
            <v/>
          </cell>
          <cell r="K279" t="str">
            <v/>
          </cell>
          <cell r="L279" t="str">
            <v/>
          </cell>
          <cell r="M279">
            <v>2700</v>
          </cell>
        </row>
        <row r="280">
          <cell r="A280" t="str">
            <v>25K8628</v>
          </cell>
          <cell r="B280" t="str">
            <v/>
          </cell>
          <cell r="C280" t="str">
            <v>IBM Director v4.20 Agent: License + 1 YR Subscription, Separate Proof of Entitlement only</v>
          </cell>
          <cell r="D280">
            <v>0</v>
          </cell>
          <cell r="E280">
            <v>99</v>
          </cell>
          <cell r="F280">
            <v>0</v>
          </cell>
          <cell r="G280" t="str">
            <v/>
          </cell>
          <cell r="H280" t="str">
            <v/>
          </cell>
          <cell r="I280" t="str">
            <v/>
          </cell>
          <cell r="J280" t="str">
            <v/>
          </cell>
          <cell r="K280" t="str">
            <v/>
          </cell>
          <cell r="L280" t="str">
            <v/>
          </cell>
          <cell r="M280">
            <v>2710</v>
          </cell>
        </row>
        <row r="281">
          <cell r="A281" t="str">
            <v>24R9451</v>
          </cell>
          <cell r="B281" t="str">
            <v/>
          </cell>
          <cell r="C281" t="str">
            <v>IBM Director v4.20 SW Distribution Media Package, Separate Proof of Entitlement required</v>
          </cell>
          <cell r="D281">
            <v>0</v>
          </cell>
          <cell r="E281">
            <v>83</v>
          </cell>
          <cell r="F281">
            <v>0</v>
          </cell>
          <cell r="G281" t="str">
            <v/>
          </cell>
          <cell r="H281" t="str">
            <v/>
          </cell>
          <cell r="I281" t="str">
            <v/>
          </cell>
          <cell r="J281" t="str">
            <v/>
          </cell>
          <cell r="K281" t="str">
            <v/>
          </cell>
          <cell r="L281" t="str">
            <v/>
          </cell>
          <cell r="M281">
            <v>2720</v>
          </cell>
        </row>
        <row r="282">
          <cell r="A282" t="str">
            <v>24R9437</v>
          </cell>
          <cell r="B282" t="str">
            <v/>
          </cell>
          <cell r="C282" t="str">
            <v>IBM Director v4.20 SW Distribution Premium Edition: License + 1 YR Subscription Proof of Entitlement</v>
          </cell>
          <cell r="D282">
            <v>0</v>
          </cell>
          <cell r="E282">
            <v>49.01</v>
          </cell>
          <cell r="F282">
            <v>0</v>
          </cell>
          <cell r="G282" t="str">
            <v/>
          </cell>
          <cell r="H282" t="str">
            <v/>
          </cell>
          <cell r="I282" t="str">
            <v/>
          </cell>
          <cell r="J282" t="str">
            <v/>
          </cell>
          <cell r="K282" t="str">
            <v/>
          </cell>
          <cell r="L282" t="str">
            <v/>
          </cell>
          <cell r="M282">
            <v>2730</v>
          </cell>
        </row>
        <row r="283">
          <cell r="A283" t="str">
            <v>25K8532</v>
          </cell>
          <cell r="B283" t="str">
            <v/>
          </cell>
          <cell r="C283" t="str">
            <v>Server Plus Pack v4.20, Media Package Only, Separate Proof of Entitlement required</v>
          </cell>
          <cell r="D283">
            <v>0</v>
          </cell>
          <cell r="E283">
            <v>83</v>
          </cell>
          <cell r="F283">
            <v>0</v>
          </cell>
          <cell r="G283" t="str">
            <v/>
          </cell>
          <cell r="H283" t="str">
            <v/>
          </cell>
          <cell r="I283" t="str">
            <v/>
          </cell>
          <cell r="J283" t="str">
            <v/>
          </cell>
          <cell r="K283" t="str">
            <v/>
          </cell>
          <cell r="L283" t="str">
            <v/>
          </cell>
          <cell r="M283">
            <v>2740</v>
          </cell>
        </row>
        <row r="284">
          <cell r="A284" t="str">
            <v>25K8629</v>
          </cell>
          <cell r="B284" t="str">
            <v/>
          </cell>
          <cell r="C284" t="str">
            <v>Server Plus Pack v4.20, License + 1 YR Subscription, Separate Proof of Entitlement only</v>
          </cell>
          <cell r="D284">
            <v>0</v>
          </cell>
          <cell r="E284">
            <v>679</v>
          </cell>
          <cell r="F284">
            <v>0</v>
          </cell>
          <cell r="G284" t="str">
            <v/>
          </cell>
          <cell r="H284" t="str">
            <v/>
          </cell>
          <cell r="I284" t="str">
            <v/>
          </cell>
          <cell r="J284" t="str">
            <v/>
          </cell>
          <cell r="K284" t="str">
            <v/>
          </cell>
          <cell r="L284" t="str">
            <v/>
          </cell>
          <cell r="M284">
            <v>2750</v>
          </cell>
        </row>
        <row r="285">
          <cell r="A285" t="str">
            <v>4836DCX</v>
          </cell>
          <cell r="B285" t="str">
            <v>4836-DCX</v>
          </cell>
          <cell r="C285" t="str">
            <v>WITHDRAWN;IBM Remote Deployment Manager V4.11 100 Managed IBM Server Licenses PoE</v>
          </cell>
          <cell r="D285">
            <v>0</v>
          </cell>
          <cell r="E285" t="str">
            <v>WDFM</v>
          </cell>
          <cell r="F285">
            <v>0</v>
          </cell>
          <cell r="G285" t="str">
            <v/>
          </cell>
          <cell r="H285" t="str">
            <v/>
          </cell>
          <cell r="I285" t="str">
            <v/>
          </cell>
          <cell r="J285" t="str">
            <v/>
          </cell>
          <cell r="K285" t="str">
            <v/>
          </cell>
          <cell r="L285" t="str">
            <v/>
          </cell>
          <cell r="M285">
            <v>2760</v>
          </cell>
        </row>
        <row r="286">
          <cell r="A286" t="str">
            <v>4836D2X</v>
          </cell>
          <cell r="B286" t="str">
            <v>4836-D2X</v>
          </cell>
          <cell r="C286" t="str">
            <v>WITHDRAWN;IBM Remote Deployment Manager V4.11 20 Managed IBM Server Licenses PoE</v>
          </cell>
          <cell r="D286">
            <v>0</v>
          </cell>
          <cell r="E286" t="str">
            <v>WDFM</v>
          </cell>
          <cell r="F286">
            <v>0</v>
          </cell>
          <cell r="G286" t="str">
            <v/>
          </cell>
          <cell r="H286" t="str">
            <v/>
          </cell>
          <cell r="I286" t="str">
            <v/>
          </cell>
          <cell r="J286" t="str">
            <v/>
          </cell>
          <cell r="K286" t="str">
            <v/>
          </cell>
          <cell r="L286" t="str">
            <v/>
          </cell>
          <cell r="M286">
            <v>2770</v>
          </cell>
        </row>
        <row r="287">
          <cell r="A287" t="str">
            <v>4836DMX</v>
          </cell>
          <cell r="B287" t="str">
            <v>4836-DMX</v>
          </cell>
          <cell r="C287" t="str">
            <v>WITHDRAWN;IBM Remote Deployment Manager V4.11 Single Managed IBM Server Licenses PoE</v>
          </cell>
          <cell r="D287">
            <v>0</v>
          </cell>
          <cell r="E287" t="str">
            <v>WDFM</v>
          </cell>
          <cell r="F287">
            <v>0</v>
          </cell>
          <cell r="G287" t="str">
            <v/>
          </cell>
          <cell r="H287" t="str">
            <v/>
          </cell>
          <cell r="I287" t="str">
            <v/>
          </cell>
          <cell r="J287" t="str">
            <v/>
          </cell>
          <cell r="K287" t="str">
            <v/>
          </cell>
          <cell r="L287" t="str">
            <v/>
          </cell>
          <cell r="M287">
            <v>2780</v>
          </cell>
        </row>
        <row r="288">
          <cell r="A288" t="str">
            <v>4836ECX</v>
          </cell>
          <cell r="B288" t="str">
            <v>4836-ECX</v>
          </cell>
          <cell r="C288" t="str">
            <v>WITHDRAWN;IBM Remote Deployment Manager V4.11 100 Managed non-IBM Server Licenses PoE</v>
          </cell>
          <cell r="D288">
            <v>0</v>
          </cell>
          <cell r="E288" t="str">
            <v>WDFM</v>
          </cell>
          <cell r="F288">
            <v>0</v>
          </cell>
          <cell r="G288" t="str">
            <v/>
          </cell>
          <cell r="H288" t="str">
            <v/>
          </cell>
          <cell r="I288" t="str">
            <v/>
          </cell>
          <cell r="J288" t="str">
            <v/>
          </cell>
          <cell r="K288" t="str">
            <v/>
          </cell>
          <cell r="L288" t="str">
            <v/>
          </cell>
          <cell r="M288">
            <v>2790</v>
          </cell>
        </row>
        <row r="289">
          <cell r="A289" t="str">
            <v>4836E2X</v>
          </cell>
          <cell r="B289" t="str">
            <v>4836-E2X</v>
          </cell>
          <cell r="C289" t="str">
            <v>WITHDRAWN;IBM Remote Deployment Manager V4.11 20 Managed non-IBM Server Licenses PoE</v>
          </cell>
          <cell r="D289">
            <v>0</v>
          </cell>
          <cell r="E289" t="str">
            <v>WDFM</v>
          </cell>
          <cell r="F289">
            <v>0</v>
          </cell>
          <cell r="G289" t="str">
            <v/>
          </cell>
          <cell r="H289" t="str">
            <v/>
          </cell>
          <cell r="I289" t="str">
            <v/>
          </cell>
          <cell r="J289" t="str">
            <v/>
          </cell>
          <cell r="K289" t="str">
            <v/>
          </cell>
          <cell r="L289" t="str">
            <v/>
          </cell>
          <cell r="M289">
            <v>2800</v>
          </cell>
        </row>
        <row r="290">
          <cell r="A290" t="str">
            <v>4836EMX</v>
          </cell>
          <cell r="B290" t="str">
            <v>4836-EMX</v>
          </cell>
          <cell r="C290" t="str">
            <v>WITHDRAWN;IBM Remote Deployment Manager V4.11 Single Managed non-IBM Server Licenses PoE</v>
          </cell>
          <cell r="D290">
            <v>0</v>
          </cell>
          <cell r="E290" t="str">
            <v>WDFM</v>
          </cell>
          <cell r="F290">
            <v>0</v>
          </cell>
          <cell r="G290" t="str">
            <v/>
          </cell>
          <cell r="H290" t="str">
            <v/>
          </cell>
          <cell r="I290" t="str">
            <v/>
          </cell>
          <cell r="J290" t="str">
            <v/>
          </cell>
          <cell r="K290" t="str">
            <v/>
          </cell>
          <cell r="L290" t="str">
            <v/>
          </cell>
          <cell r="M290">
            <v>2810</v>
          </cell>
        </row>
        <row r="291">
          <cell r="A291" t="str">
            <v>4836F1X</v>
          </cell>
          <cell r="B291" t="str">
            <v>4836-F1X</v>
          </cell>
          <cell r="C291" t="str">
            <v>WITHDRAWN;IBM Remote Deployment Manager V4.11 Single Managed IBM Workstation  License PoE</v>
          </cell>
          <cell r="D291">
            <v>0</v>
          </cell>
          <cell r="E291" t="str">
            <v>WDFM</v>
          </cell>
          <cell r="F291">
            <v>0</v>
          </cell>
          <cell r="G291" t="str">
            <v/>
          </cell>
          <cell r="H291" t="str">
            <v/>
          </cell>
          <cell r="I291" t="str">
            <v/>
          </cell>
          <cell r="J291" t="str">
            <v/>
          </cell>
          <cell r="K291" t="str">
            <v/>
          </cell>
          <cell r="L291" t="str">
            <v/>
          </cell>
          <cell r="M291">
            <v>2820</v>
          </cell>
        </row>
        <row r="292">
          <cell r="A292" t="str">
            <v>4836F2X</v>
          </cell>
          <cell r="B292" t="str">
            <v>4836-F2X</v>
          </cell>
          <cell r="C292" t="str">
            <v>WITHDRAWN;IBM Remote Deployment Manager V4.11 20 Managed IBM Workstation  License PoE</v>
          </cell>
          <cell r="D292">
            <v>0</v>
          </cell>
          <cell r="E292" t="str">
            <v>WDFM</v>
          </cell>
          <cell r="F292">
            <v>0</v>
          </cell>
          <cell r="G292" t="str">
            <v/>
          </cell>
          <cell r="H292" t="str">
            <v/>
          </cell>
          <cell r="I292" t="str">
            <v/>
          </cell>
          <cell r="J292" t="str">
            <v/>
          </cell>
          <cell r="K292" t="str">
            <v/>
          </cell>
          <cell r="L292" t="str">
            <v/>
          </cell>
          <cell r="M292">
            <v>2830</v>
          </cell>
        </row>
        <row r="293">
          <cell r="A293" t="str">
            <v>4836FCX</v>
          </cell>
          <cell r="B293" t="str">
            <v>4836-FCX</v>
          </cell>
          <cell r="C293" t="str">
            <v>WITHDRAWN;IBM Remote Deployment Manager V4.11 100 Managed IBM Workstation  License PoE</v>
          </cell>
          <cell r="D293">
            <v>0</v>
          </cell>
          <cell r="E293" t="str">
            <v>WDFM</v>
          </cell>
          <cell r="F293">
            <v>0</v>
          </cell>
          <cell r="G293" t="str">
            <v/>
          </cell>
          <cell r="H293" t="str">
            <v/>
          </cell>
          <cell r="I293" t="str">
            <v/>
          </cell>
          <cell r="J293" t="str">
            <v/>
          </cell>
          <cell r="K293" t="str">
            <v/>
          </cell>
          <cell r="L293" t="str">
            <v/>
          </cell>
          <cell r="M293">
            <v>2840</v>
          </cell>
        </row>
        <row r="294">
          <cell r="A294" t="str">
            <v>4836G1X</v>
          </cell>
          <cell r="B294" t="str">
            <v>4836-G1X</v>
          </cell>
          <cell r="C294" t="str">
            <v>WITHDRAWN;IBM Remote Deployment Manager V4.11 Single Managed non-IBM Workstation  License PoE</v>
          </cell>
          <cell r="D294">
            <v>0</v>
          </cell>
          <cell r="E294" t="str">
            <v>WDFM</v>
          </cell>
          <cell r="F294">
            <v>0</v>
          </cell>
          <cell r="G294" t="str">
            <v/>
          </cell>
          <cell r="H294" t="str">
            <v/>
          </cell>
          <cell r="I294" t="str">
            <v/>
          </cell>
          <cell r="J294" t="str">
            <v/>
          </cell>
          <cell r="K294" t="str">
            <v/>
          </cell>
          <cell r="L294" t="str">
            <v/>
          </cell>
          <cell r="M294">
            <v>2850</v>
          </cell>
        </row>
        <row r="295">
          <cell r="A295" t="str">
            <v>4836G2X</v>
          </cell>
          <cell r="B295" t="str">
            <v>4836-G2X</v>
          </cell>
          <cell r="C295" t="str">
            <v>WITHDRAWN;IBM Remote Deployment Manager V4.11 20 Managed non-IBM Workstation  License PoE</v>
          </cell>
          <cell r="D295">
            <v>0</v>
          </cell>
          <cell r="E295" t="str">
            <v>WDFM</v>
          </cell>
          <cell r="F295">
            <v>0</v>
          </cell>
          <cell r="G295" t="str">
            <v/>
          </cell>
          <cell r="H295" t="str">
            <v/>
          </cell>
          <cell r="I295" t="str">
            <v/>
          </cell>
          <cell r="J295" t="str">
            <v/>
          </cell>
          <cell r="K295" t="str">
            <v/>
          </cell>
          <cell r="L295" t="str">
            <v/>
          </cell>
          <cell r="M295">
            <v>2860</v>
          </cell>
        </row>
        <row r="296">
          <cell r="A296" t="str">
            <v>4836GCX</v>
          </cell>
          <cell r="B296" t="str">
            <v>4836-GCX</v>
          </cell>
          <cell r="C296" t="str">
            <v>WITHDRAWN;IBM Remote Deployment Manager V4.11 100 Managed non-IBM Workstation  License PoE</v>
          </cell>
          <cell r="D296">
            <v>0</v>
          </cell>
          <cell r="E296" t="str">
            <v>WDFM</v>
          </cell>
          <cell r="F296">
            <v>0</v>
          </cell>
          <cell r="G296" t="str">
            <v/>
          </cell>
          <cell r="H296" t="str">
            <v/>
          </cell>
          <cell r="I296" t="str">
            <v/>
          </cell>
          <cell r="J296" t="str">
            <v/>
          </cell>
          <cell r="K296" t="str">
            <v/>
          </cell>
          <cell r="L296" t="str">
            <v/>
          </cell>
          <cell r="M296">
            <v>2870</v>
          </cell>
        </row>
        <row r="297">
          <cell r="A297" t="str">
            <v>4836MED</v>
          </cell>
          <cell r="B297" t="str">
            <v>4836-MED</v>
          </cell>
          <cell r="C297" t="str">
            <v>WITHDRAWN;IBM Remote Deployment Manager V4.11 Media Package</v>
          </cell>
          <cell r="D297">
            <v>0</v>
          </cell>
          <cell r="E297" t="str">
            <v>WDFM</v>
          </cell>
          <cell r="F297">
            <v>0</v>
          </cell>
          <cell r="G297" t="str">
            <v/>
          </cell>
          <cell r="H297" t="str">
            <v/>
          </cell>
          <cell r="I297" t="str">
            <v/>
          </cell>
          <cell r="J297" t="str">
            <v/>
          </cell>
          <cell r="K297" t="str">
            <v/>
          </cell>
          <cell r="L297" t="str">
            <v/>
          </cell>
          <cell r="M297">
            <v>2880</v>
          </cell>
        </row>
        <row r="298">
          <cell r="C298" t="str">
            <v>Required ONCE with each order of accompanying license PoE purchase</v>
          </cell>
          <cell r="M298">
            <v>2890</v>
          </cell>
        </row>
        <row r="299">
          <cell r="M299">
            <v>2900</v>
          </cell>
        </row>
        <row r="300">
          <cell r="A300" t="str">
            <v>73P8603</v>
          </cell>
          <cell r="B300" t="str">
            <v/>
          </cell>
          <cell r="C300" t="str">
            <v>Application Workload Manager for IBM Director - Media Pack, Single License Proof of Entitlement</v>
          </cell>
          <cell r="D300">
            <v>0</v>
          </cell>
          <cell r="E300">
            <v>3499</v>
          </cell>
          <cell r="F300">
            <v>0</v>
          </cell>
          <cell r="G300" t="str">
            <v/>
          </cell>
          <cell r="H300" t="str">
            <v/>
          </cell>
          <cell r="I300" t="str">
            <v/>
          </cell>
          <cell r="J300" t="str">
            <v/>
          </cell>
          <cell r="K300" t="str">
            <v/>
          </cell>
          <cell r="L300" t="str">
            <v/>
          </cell>
          <cell r="M300">
            <v>2910</v>
          </cell>
        </row>
        <row r="301">
          <cell r="A301" t="str">
            <v>73P8604</v>
          </cell>
          <cell r="B301" t="str">
            <v/>
          </cell>
          <cell r="C301" t="str">
            <v>Application Workload Manager for IBM Director, Single License Proof of Entitlement</v>
          </cell>
          <cell r="D301">
            <v>0</v>
          </cell>
          <cell r="E301">
            <v>3499</v>
          </cell>
          <cell r="F301">
            <v>0</v>
          </cell>
          <cell r="G301" t="str">
            <v/>
          </cell>
          <cell r="H301" t="str">
            <v/>
          </cell>
          <cell r="I301" t="str">
            <v/>
          </cell>
          <cell r="J301" t="str">
            <v/>
          </cell>
          <cell r="K301" t="str">
            <v/>
          </cell>
          <cell r="L301" t="str">
            <v/>
          </cell>
          <cell r="M301">
            <v>2920</v>
          </cell>
        </row>
        <row r="302">
          <cell r="A302" t="str">
            <v>73P8605</v>
          </cell>
          <cell r="B302" t="str">
            <v/>
          </cell>
          <cell r="C302" t="str">
            <v>Application Workload Manager for IBM Director, 20 License Proof of Entitlement</v>
          </cell>
          <cell r="D302">
            <v>0</v>
          </cell>
          <cell r="E302">
            <v>62949</v>
          </cell>
          <cell r="F302">
            <v>0</v>
          </cell>
          <cell r="G302" t="str">
            <v/>
          </cell>
          <cell r="H302" t="str">
            <v/>
          </cell>
          <cell r="I302" t="str">
            <v/>
          </cell>
          <cell r="J302" t="str">
            <v/>
          </cell>
          <cell r="K302" t="str">
            <v/>
          </cell>
          <cell r="L302" t="str">
            <v/>
          </cell>
          <cell r="M302">
            <v>2930</v>
          </cell>
        </row>
        <row r="303">
          <cell r="A303" t="str">
            <v>73P8606</v>
          </cell>
          <cell r="B303" t="str">
            <v/>
          </cell>
          <cell r="C303" t="str">
            <v>Application Workload Manager for IBM Director, 50 License Proof of Entitlement</v>
          </cell>
          <cell r="D303">
            <v>0</v>
          </cell>
          <cell r="E303">
            <v>148699</v>
          </cell>
          <cell r="F303">
            <v>0</v>
          </cell>
          <cell r="G303" t="str">
            <v/>
          </cell>
          <cell r="H303" t="str">
            <v/>
          </cell>
          <cell r="I303" t="str">
            <v/>
          </cell>
          <cell r="J303" t="str">
            <v/>
          </cell>
          <cell r="K303" t="str">
            <v/>
          </cell>
          <cell r="L303" t="str">
            <v/>
          </cell>
          <cell r="M303">
            <v>2940</v>
          </cell>
        </row>
        <row r="304">
          <cell r="A304" t="str">
            <v>73P8607</v>
          </cell>
          <cell r="B304" t="str">
            <v/>
          </cell>
          <cell r="C304" t="str">
            <v>Application Workload Manager for IBM Director, 100 License Proof of Entitlement</v>
          </cell>
          <cell r="D304">
            <v>0</v>
          </cell>
          <cell r="E304">
            <v>279899</v>
          </cell>
          <cell r="F304">
            <v>0</v>
          </cell>
          <cell r="G304" t="str">
            <v/>
          </cell>
          <cell r="H304" t="str">
            <v/>
          </cell>
          <cell r="I304" t="str">
            <v/>
          </cell>
          <cell r="J304" t="str">
            <v/>
          </cell>
          <cell r="K304" t="str">
            <v/>
          </cell>
          <cell r="L304" t="str">
            <v/>
          </cell>
          <cell r="M304">
            <v>2950</v>
          </cell>
        </row>
        <row r="305">
          <cell r="A305" t="str">
            <v>73P8563</v>
          </cell>
          <cell r="B305" t="str">
            <v/>
          </cell>
          <cell r="C305" t="str">
            <v>WITHDRAWN;Software Distribution Premium Edition Media Package + Single Agent License POE</v>
          </cell>
          <cell r="D305">
            <v>0</v>
          </cell>
          <cell r="E305" t="str">
            <v>WDFM</v>
          </cell>
          <cell r="F305">
            <v>0</v>
          </cell>
          <cell r="G305" t="str">
            <v/>
          </cell>
          <cell r="H305" t="str">
            <v/>
          </cell>
          <cell r="I305" t="str">
            <v/>
          </cell>
          <cell r="J305" t="str">
            <v/>
          </cell>
          <cell r="K305" t="str">
            <v/>
          </cell>
          <cell r="L305" t="str">
            <v/>
          </cell>
          <cell r="M305">
            <v>2960</v>
          </cell>
        </row>
        <row r="306">
          <cell r="A306" t="str">
            <v>73P8582</v>
          </cell>
          <cell r="B306" t="str">
            <v/>
          </cell>
          <cell r="C306" t="str">
            <v>WITHDRAWN;Software Distribution Premium Edition Single Agent License POE</v>
          </cell>
          <cell r="D306">
            <v>0</v>
          </cell>
          <cell r="E306" t="str">
            <v>WDFM</v>
          </cell>
          <cell r="F306">
            <v>0</v>
          </cell>
          <cell r="G306" t="str">
            <v/>
          </cell>
          <cell r="H306" t="str">
            <v/>
          </cell>
          <cell r="I306" t="str">
            <v/>
          </cell>
          <cell r="J306" t="str">
            <v/>
          </cell>
          <cell r="K306" t="str">
            <v/>
          </cell>
          <cell r="L306" t="str">
            <v/>
          </cell>
          <cell r="M306">
            <v>2970</v>
          </cell>
        </row>
        <row r="307">
          <cell r="A307" t="str">
            <v>73P8566</v>
          </cell>
          <cell r="B307" t="str">
            <v/>
          </cell>
          <cell r="C307" t="str">
            <v>WITHDRAWN;Software Distribution Premium Edition 20 Agent License POE</v>
          </cell>
          <cell r="D307">
            <v>0</v>
          </cell>
          <cell r="E307" t="str">
            <v>WDFM</v>
          </cell>
          <cell r="F307">
            <v>0</v>
          </cell>
          <cell r="G307" t="str">
            <v/>
          </cell>
          <cell r="H307" t="str">
            <v/>
          </cell>
          <cell r="I307" t="str">
            <v/>
          </cell>
          <cell r="J307" t="str">
            <v/>
          </cell>
          <cell r="K307" t="str">
            <v/>
          </cell>
          <cell r="L307" t="str">
            <v/>
          </cell>
          <cell r="M307">
            <v>2980</v>
          </cell>
        </row>
        <row r="308">
          <cell r="A308" t="str">
            <v>73P8568</v>
          </cell>
          <cell r="B308" t="str">
            <v/>
          </cell>
          <cell r="C308" t="str">
            <v>WITHDRAWN;Software Distribution Premium Edition 50 Agent License POE</v>
          </cell>
          <cell r="D308">
            <v>0</v>
          </cell>
          <cell r="E308" t="str">
            <v>WDFM</v>
          </cell>
          <cell r="F308">
            <v>0</v>
          </cell>
          <cell r="G308" t="str">
            <v/>
          </cell>
          <cell r="H308" t="str">
            <v/>
          </cell>
          <cell r="I308" t="str">
            <v/>
          </cell>
          <cell r="J308" t="str">
            <v/>
          </cell>
          <cell r="K308" t="str">
            <v/>
          </cell>
          <cell r="L308" t="str">
            <v/>
          </cell>
          <cell r="M308">
            <v>2990</v>
          </cell>
        </row>
        <row r="309">
          <cell r="A309" t="str">
            <v>73P8570</v>
          </cell>
          <cell r="B309" t="str">
            <v/>
          </cell>
          <cell r="C309" t="str">
            <v>WITHDRAWN;Software Distribution Premium Edition 100 Agent License POE</v>
          </cell>
          <cell r="D309">
            <v>0</v>
          </cell>
          <cell r="E309" t="str">
            <v>WDFM</v>
          </cell>
          <cell r="F309">
            <v>0</v>
          </cell>
          <cell r="G309" t="str">
            <v/>
          </cell>
          <cell r="H309" t="str">
            <v/>
          </cell>
          <cell r="I309" t="str">
            <v/>
          </cell>
          <cell r="J309" t="str">
            <v/>
          </cell>
          <cell r="K309" t="str">
            <v/>
          </cell>
          <cell r="L309" t="str">
            <v/>
          </cell>
          <cell r="M309">
            <v>3000</v>
          </cell>
        </row>
        <row r="310">
          <cell r="A310" t="str">
            <v>90P0350</v>
          </cell>
          <cell r="B310" t="str">
            <v/>
          </cell>
          <cell r="C310" t="str">
            <v>ARMTech Active Resource Management v2.x for Windows (1 CPU)</v>
          </cell>
          <cell r="D310">
            <v>0</v>
          </cell>
          <cell r="E310">
            <v>1059</v>
          </cell>
          <cell r="F310">
            <v>0</v>
          </cell>
          <cell r="G310" t="str">
            <v/>
          </cell>
          <cell r="H310" t="str">
            <v/>
          </cell>
          <cell r="I310" t="str">
            <v/>
          </cell>
          <cell r="J310" t="str">
            <v/>
          </cell>
          <cell r="K310" t="str">
            <v/>
          </cell>
          <cell r="L310" t="str">
            <v/>
          </cell>
          <cell r="M310">
            <v>3010</v>
          </cell>
        </row>
        <row r="311">
          <cell r="A311" t="str">
            <v>90P0291</v>
          </cell>
          <cell r="B311" t="str">
            <v/>
          </cell>
          <cell r="C311" t="str">
            <v>ARMTech Active Resource Management v2.x for Windows (2 CPU)</v>
          </cell>
          <cell r="D311">
            <v>0</v>
          </cell>
          <cell r="E311" t="str">
            <v>???</v>
          </cell>
          <cell r="F311">
            <v>0</v>
          </cell>
          <cell r="G311" t="str">
            <v/>
          </cell>
          <cell r="H311" t="str">
            <v/>
          </cell>
          <cell r="I311" t="str">
            <v/>
          </cell>
          <cell r="J311" t="str">
            <v/>
          </cell>
          <cell r="K311" t="str">
            <v/>
          </cell>
          <cell r="L311" t="str">
            <v/>
          </cell>
          <cell r="M311">
            <v>3020</v>
          </cell>
        </row>
        <row r="312">
          <cell r="A312" t="str">
            <v>90P0292</v>
          </cell>
          <cell r="B312" t="str">
            <v/>
          </cell>
          <cell r="C312" t="str">
            <v>ARMTech Active Resource Management v2.x for Windows (4 CPU)</v>
          </cell>
          <cell r="D312">
            <v>0</v>
          </cell>
          <cell r="E312" t="str">
            <v>???</v>
          </cell>
          <cell r="F312">
            <v>0</v>
          </cell>
          <cell r="G312" t="str">
            <v/>
          </cell>
          <cell r="H312" t="str">
            <v/>
          </cell>
          <cell r="I312" t="str">
            <v/>
          </cell>
          <cell r="J312" t="str">
            <v/>
          </cell>
          <cell r="K312" t="str">
            <v/>
          </cell>
          <cell r="L312" t="str">
            <v/>
          </cell>
          <cell r="M312">
            <v>3030</v>
          </cell>
        </row>
        <row r="313">
          <cell r="A313" t="str">
            <v>90P0349</v>
          </cell>
          <cell r="B313" t="str">
            <v/>
          </cell>
          <cell r="C313" t="str">
            <v>ARMTech Active Resource Management v2.x for Windows (Media Pack)</v>
          </cell>
          <cell r="D313">
            <v>0</v>
          </cell>
          <cell r="E313">
            <v>35</v>
          </cell>
          <cell r="F313">
            <v>0</v>
          </cell>
          <cell r="G313" t="str">
            <v/>
          </cell>
          <cell r="H313" t="str">
            <v/>
          </cell>
          <cell r="I313" t="str">
            <v/>
          </cell>
          <cell r="J313" t="str">
            <v/>
          </cell>
          <cell r="K313" t="str">
            <v/>
          </cell>
          <cell r="L313" t="str">
            <v/>
          </cell>
          <cell r="M313">
            <v>3040</v>
          </cell>
        </row>
        <row r="314">
          <cell r="M314">
            <v>3050</v>
          </cell>
        </row>
        <row r="315">
          <cell r="A315" t="str">
            <v>- Services Offerings</v>
          </cell>
          <cell r="M315">
            <v>3060</v>
          </cell>
        </row>
        <row r="316">
          <cell r="M316">
            <v>3070</v>
          </cell>
        </row>
        <row r="317">
          <cell r="A317" t="str">
            <v>N/A</v>
          </cell>
          <cell r="B317" t="str">
            <v/>
          </cell>
          <cell r="C317" t="str">
            <v>Server Hardware Config - 1-3 Options</v>
          </cell>
          <cell r="D317">
            <v>0</v>
          </cell>
          <cell r="E317" t="str">
            <v>N/A</v>
          </cell>
          <cell r="F317">
            <v>0</v>
          </cell>
          <cell r="G317" t="str">
            <v/>
          </cell>
          <cell r="H317" t="str">
            <v/>
          </cell>
          <cell r="I317" t="str">
            <v/>
          </cell>
          <cell r="J317" t="str">
            <v/>
          </cell>
          <cell r="K317" t="str">
            <v/>
          </cell>
          <cell r="L317" t="str">
            <v/>
          </cell>
          <cell r="M317">
            <v>3080</v>
          </cell>
        </row>
        <row r="318">
          <cell r="A318" t="str">
            <v>N/A</v>
          </cell>
          <cell r="B318" t="str">
            <v/>
          </cell>
          <cell r="C318" t="str">
            <v>Server Hardware Config - 4 or more Options</v>
          </cell>
          <cell r="D318">
            <v>0</v>
          </cell>
          <cell r="E318" t="str">
            <v>N/A</v>
          </cell>
          <cell r="F318">
            <v>0</v>
          </cell>
          <cell r="G318" t="str">
            <v/>
          </cell>
          <cell r="H318" t="str">
            <v/>
          </cell>
          <cell r="I318" t="str">
            <v/>
          </cell>
          <cell r="J318" t="str">
            <v/>
          </cell>
          <cell r="K318" t="str">
            <v/>
          </cell>
          <cell r="L318" t="str">
            <v/>
          </cell>
          <cell r="M318">
            <v>3090</v>
          </cell>
        </row>
        <row r="319">
          <cell r="A319" t="str">
            <v>N/A</v>
          </cell>
          <cell r="B319" t="str">
            <v/>
          </cell>
          <cell r="C319" t="str">
            <v>Customer Choice xSeries Integration Fee</v>
          </cell>
          <cell r="D319">
            <v>0</v>
          </cell>
          <cell r="E319" t="str">
            <v>N/A</v>
          </cell>
          <cell r="F319">
            <v>0</v>
          </cell>
          <cell r="G319" t="str">
            <v/>
          </cell>
          <cell r="H319" t="str">
            <v/>
          </cell>
          <cell r="I319" t="str">
            <v/>
          </cell>
          <cell r="J319" t="str">
            <v/>
          </cell>
          <cell r="K319" t="str">
            <v/>
          </cell>
          <cell r="L319" t="str">
            <v/>
          </cell>
          <cell r="M319">
            <v>3100</v>
          </cell>
        </row>
        <row r="320">
          <cell r="A320" t="str">
            <v>31P4361</v>
          </cell>
          <cell r="B320" t="str">
            <v/>
          </cell>
          <cell r="C320" t="str">
            <v>Simple Asset Tagging - Server</v>
          </cell>
          <cell r="D320">
            <v>0</v>
          </cell>
          <cell r="E320">
            <v>16.010000000000002</v>
          </cell>
          <cell r="F320">
            <v>0</v>
          </cell>
          <cell r="G320" t="str">
            <v/>
          </cell>
          <cell r="H320" t="str">
            <v/>
          </cell>
          <cell r="I320" t="str">
            <v/>
          </cell>
          <cell r="J320" t="str">
            <v/>
          </cell>
          <cell r="K320" t="str">
            <v/>
          </cell>
          <cell r="L320" t="str">
            <v/>
          </cell>
          <cell r="M320">
            <v>3110</v>
          </cell>
        </row>
        <row r="321">
          <cell r="A321" t="str">
            <v>N/A</v>
          </cell>
          <cell r="B321" t="str">
            <v/>
          </cell>
          <cell r="C321" t="str">
            <v>Complex Asset Tagging - Server</v>
          </cell>
          <cell r="D321">
            <v>0</v>
          </cell>
          <cell r="E321" t="str">
            <v>N/A</v>
          </cell>
          <cell r="F321">
            <v>0</v>
          </cell>
          <cell r="G321" t="str">
            <v/>
          </cell>
          <cell r="H321" t="str">
            <v/>
          </cell>
          <cell r="I321" t="str">
            <v/>
          </cell>
          <cell r="J321" t="str">
            <v/>
          </cell>
          <cell r="K321" t="str">
            <v/>
          </cell>
          <cell r="L321" t="str">
            <v/>
          </cell>
          <cell r="M321">
            <v>3120</v>
          </cell>
        </row>
        <row r="322">
          <cell r="A322" t="str">
            <v>N/A</v>
          </cell>
          <cell r="B322" t="str">
            <v/>
          </cell>
          <cell r="C322" t="str">
            <v>Firmware/Hardware Settings - Standard - Server</v>
          </cell>
          <cell r="D322">
            <v>0</v>
          </cell>
          <cell r="E322" t="str">
            <v>N/A</v>
          </cell>
          <cell r="F322">
            <v>0</v>
          </cell>
          <cell r="G322" t="str">
            <v/>
          </cell>
          <cell r="H322" t="str">
            <v/>
          </cell>
          <cell r="I322" t="str">
            <v/>
          </cell>
          <cell r="J322" t="str">
            <v/>
          </cell>
          <cell r="K322" t="str">
            <v/>
          </cell>
          <cell r="L322" t="str">
            <v/>
          </cell>
          <cell r="M322">
            <v>3130</v>
          </cell>
        </row>
        <row r="323">
          <cell r="A323" t="str">
            <v>31P4367</v>
          </cell>
          <cell r="B323" t="str">
            <v/>
          </cell>
          <cell r="C323" t="str">
            <v>Firmware/Hardware Settings - Enhanced - Server</v>
          </cell>
          <cell r="D323">
            <v>0</v>
          </cell>
          <cell r="E323">
            <v>32</v>
          </cell>
          <cell r="F323">
            <v>0</v>
          </cell>
          <cell r="G323" t="str">
            <v/>
          </cell>
          <cell r="H323" t="str">
            <v/>
          </cell>
          <cell r="I323" t="str">
            <v/>
          </cell>
          <cell r="J323" t="str">
            <v/>
          </cell>
          <cell r="K323" t="str">
            <v/>
          </cell>
          <cell r="L323" t="str">
            <v/>
          </cell>
          <cell r="M323">
            <v>3140</v>
          </cell>
        </row>
        <row r="324">
          <cell r="A324" t="str">
            <v>06P7505</v>
          </cell>
          <cell r="B324" t="str">
            <v/>
          </cell>
          <cell r="C324" t="str">
            <v>Load Non-Image Custom Ultra Image - Server</v>
          </cell>
          <cell r="D324">
            <v>0</v>
          </cell>
          <cell r="E324">
            <v>75</v>
          </cell>
          <cell r="F324">
            <v>0</v>
          </cell>
          <cell r="G324" t="str">
            <v/>
          </cell>
          <cell r="H324" t="str">
            <v/>
          </cell>
          <cell r="I324" t="str">
            <v/>
          </cell>
          <cell r="J324" t="str">
            <v/>
          </cell>
          <cell r="K324" t="str">
            <v/>
          </cell>
          <cell r="L324" t="str">
            <v/>
          </cell>
          <cell r="M324">
            <v>3150</v>
          </cell>
        </row>
        <row r="325">
          <cell r="A325" t="str">
            <v>N/A</v>
          </cell>
          <cell r="B325" t="str">
            <v/>
          </cell>
          <cell r="C325" t="str">
            <v>Modify Custom Software Image</v>
          </cell>
          <cell r="D325">
            <v>0</v>
          </cell>
          <cell r="E325" t="str">
            <v>N/A</v>
          </cell>
          <cell r="F325">
            <v>0</v>
          </cell>
          <cell r="G325" t="str">
            <v/>
          </cell>
          <cell r="H325" t="str">
            <v/>
          </cell>
          <cell r="I325" t="str">
            <v/>
          </cell>
          <cell r="J325" t="str">
            <v/>
          </cell>
          <cell r="K325" t="str">
            <v/>
          </cell>
          <cell r="L325" t="str">
            <v/>
          </cell>
          <cell r="M325">
            <v>3160</v>
          </cell>
        </row>
        <row r="326">
          <cell r="A326" t="str">
            <v>N/A</v>
          </cell>
          <cell r="B326" t="str">
            <v/>
          </cell>
          <cell r="C326" t="str">
            <v>Certify Custom Sotware Image</v>
          </cell>
          <cell r="D326">
            <v>0</v>
          </cell>
          <cell r="E326" t="str">
            <v>N/A</v>
          </cell>
          <cell r="F326">
            <v>0</v>
          </cell>
          <cell r="G326" t="str">
            <v/>
          </cell>
          <cell r="H326" t="str">
            <v/>
          </cell>
          <cell r="I326" t="str">
            <v/>
          </cell>
          <cell r="J326" t="str">
            <v/>
          </cell>
          <cell r="K326" t="str">
            <v/>
          </cell>
          <cell r="L326" t="str">
            <v/>
          </cell>
          <cell r="M326">
            <v>3170</v>
          </cell>
        </row>
        <row r="327">
          <cell r="A327" t="str">
            <v>N/A</v>
          </cell>
          <cell r="B327" t="str">
            <v/>
          </cell>
          <cell r="C327" t="str">
            <v>Create Custom Software Image</v>
          </cell>
          <cell r="D327">
            <v>0</v>
          </cell>
          <cell r="E327" t="str">
            <v>N/A</v>
          </cell>
          <cell r="F327">
            <v>0</v>
          </cell>
          <cell r="G327" t="str">
            <v/>
          </cell>
          <cell r="H327" t="str">
            <v/>
          </cell>
          <cell r="I327" t="str">
            <v/>
          </cell>
          <cell r="J327" t="str">
            <v/>
          </cell>
          <cell r="K327" t="str">
            <v/>
          </cell>
          <cell r="L327" t="str">
            <v/>
          </cell>
          <cell r="M327">
            <v>3180</v>
          </cell>
        </row>
        <row r="328">
          <cell r="A328" t="str">
            <v>N/A</v>
          </cell>
          <cell r="B328" t="str">
            <v/>
          </cell>
          <cell r="C328" t="str">
            <v>Create Custom Software Image with Additional Languages</v>
          </cell>
          <cell r="D328">
            <v>0</v>
          </cell>
          <cell r="E328" t="str">
            <v>N/A</v>
          </cell>
          <cell r="F328">
            <v>0</v>
          </cell>
          <cell r="G328" t="str">
            <v/>
          </cell>
          <cell r="H328" t="str">
            <v/>
          </cell>
          <cell r="I328" t="str">
            <v/>
          </cell>
          <cell r="J328" t="str">
            <v/>
          </cell>
          <cell r="K328" t="str">
            <v/>
          </cell>
          <cell r="L328" t="str">
            <v/>
          </cell>
          <cell r="M328">
            <v>3190</v>
          </cell>
        </row>
        <row r="329">
          <cell r="A329" t="str">
            <v>N/A</v>
          </cell>
          <cell r="B329" t="str">
            <v/>
          </cell>
          <cell r="C329" t="str">
            <v>Create Custom Software Image DBCS</v>
          </cell>
          <cell r="D329">
            <v>0</v>
          </cell>
          <cell r="E329" t="str">
            <v>N/A</v>
          </cell>
          <cell r="F329">
            <v>0</v>
          </cell>
          <cell r="G329" t="str">
            <v/>
          </cell>
          <cell r="H329" t="str">
            <v/>
          </cell>
          <cell r="I329" t="str">
            <v/>
          </cell>
          <cell r="J329" t="str">
            <v/>
          </cell>
          <cell r="K329" t="str">
            <v/>
          </cell>
          <cell r="L329" t="str">
            <v/>
          </cell>
          <cell r="M329">
            <v>3200</v>
          </cell>
        </row>
        <row r="330">
          <cell r="A330" t="str">
            <v>N/A</v>
          </cell>
          <cell r="B330" t="str">
            <v/>
          </cell>
          <cell r="C330" t="str">
            <v>Customer Supplied Image &lt; 2000</v>
          </cell>
          <cell r="D330">
            <v>0</v>
          </cell>
          <cell r="E330" t="str">
            <v>N/A</v>
          </cell>
          <cell r="F330">
            <v>0</v>
          </cell>
          <cell r="G330" t="str">
            <v/>
          </cell>
          <cell r="H330" t="str">
            <v/>
          </cell>
          <cell r="I330" t="str">
            <v/>
          </cell>
          <cell r="J330" t="str">
            <v/>
          </cell>
          <cell r="K330" t="str">
            <v/>
          </cell>
          <cell r="L330" t="str">
            <v/>
          </cell>
          <cell r="M330">
            <v>3210</v>
          </cell>
        </row>
        <row r="331">
          <cell r="A331" t="str">
            <v>N/A</v>
          </cell>
          <cell r="B331" t="str">
            <v/>
          </cell>
          <cell r="C331" t="str">
            <v>IBM Supplied Image &lt; 2000</v>
          </cell>
          <cell r="D331">
            <v>0</v>
          </cell>
          <cell r="E331" t="str">
            <v>N/A</v>
          </cell>
          <cell r="F331">
            <v>0</v>
          </cell>
          <cell r="G331" t="str">
            <v/>
          </cell>
          <cell r="H331" t="str">
            <v/>
          </cell>
          <cell r="I331" t="str">
            <v/>
          </cell>
          <cell r="J331" t="str">
            <v/>
          </cell>
          <cell r="K331" t="str">
            <v/>
          </cell>
          <cell r="L331" t="str">
            <v/>
          </cell>
          <cell r="M331">
            <v>3220</v>
          </cell>
        </row>
        <row r="332">
          <cell r="A332" t="str">
            <v>N/A</v>
          </cell>
          <cell r="B332" t="str">
            <v/>
          </cell>
          <cell r="C332" t="str">
            <v>Customer Supplied Image &gt; 10k</v>
          </cell>
          <cell r="D332">
            <v>0</v>
          </cell>
          <cell r="E332" t="str">
            <v>N/A</v>
          </cell>
          <cell r="F332">
            <v>0</v>
          </cell>
          <cell r="G332" t="str">
            <v/>
          </cell>
          <cell r="H332" t="str">
            <v/>
          </cell>
          <cell r="I332" t="str">
            <v/>
          </cell>
          <cell r="J332" t="str">
            <v/>
          </cell>
          <cell r="K332" t="str">
            <v/>
          </cell>
          <cell r="L332" t="str">
            <v/>
          </cell>
          <cell r="M332">
            <v>3230</v>
          </cell>
        </row>
        <row r="333">
          <cell r="A333" t="str">
            <v>N/A</v>
          </cell>
          <cell r="B333" t="str">
            <v/>
          </cell>
          <cell r="C333" t="str">
            <v>IBM Supplied Image &gt; 10k</v>
          </cell>
          <cell r="D333">
            <v>0</v>
          </cell>
          <cell r="E333" t="str">
            <v>N/A</v>
          </cell>
          <cell r="F333">
            <v>0</v>
          </cell>
          <cell r="G333" t="str">
            <v/>
          </cell>
          <cell r="H333" t="str">
            <v/>
          </cell>
          <cell r="I333" t="str">
            <v/>
          </cell>
          <cell r="J333" t="str">
            <v/>
          </cell>
          <cell r="K333" t="str">
            <v/>
          </cell>
          <cell r="L333" t="str">
            <v/>
          </cell>
          <cell r="M333">
            <v>3240</v>
          </cell>
        </row>
        <row r="334">
          <cell r="A334" t="str">
            <v>N/A</v>
          </cell>
          <cell r="B334" t="str">
            <v/>
          </cell>
          <cell r="C334" t="str">
            <v>Custom Image - Image Prep for Manufacturing</v>
          </cell>
          <cell r="D334">
            <v>0</v>
          </cell>
          <cell r="E334" t="str">
            <v>N/A</v>
          </cell>
          <cell r="F334">
            <v>0</v>
          </cell>
          <cell r="G334" t="str">
            <v/>
          </cell>
          <cell r="H334" t="str">
            <v/>
          </cell>
          <cell r="I334" t="str">
            <v/>
          </cell>
          <cell r="J334" t="str">
            <v/>
          </cell>
          <cell r="K334" t="str">
            <v/>
          </cell>
          <cell r="L334" t="str">
            <v/>
          </cell>
          <cell r="M334">
            <v>3250</v>
          </cell>
        </row>
        <row r="335">
          <cell r="A335" t="str">
            <v>N/A</v>
          </cell>
          <cell r="B335" t="str">
            <v/>
          </cell>
          <cell r="C335" t="str">
            <v>Custom Image - Additional Device Drivers</v>
          </cell>
          <cell r="D335">
            <v>0</v>
          </cell>
          <cell r="E335" t="str">
            <v>N/A</v>
          </cell>
          <cell r="F335">
            <v>0</v>
          </cell>
          <cell r="G335" t="str">
            <v/>
          </cell>
          <cell r="H335" t="str">
            <v/>
          </cell>
          <cell r="I335" t="str">
            <v/>
          </cell>
          <cell r="J335" t="str">
            <v/>
          </cell>
          <cell r="K335" t="str">
            <v/>
          </cell>
          <cell r="L335" t="str">
            <v/>
          </cell>
          <cell r="M335">
            <v>3260</v>
          </cell>
        </row>
        <row r="336">
          <cell r="A336" t="str">
            <v>N/A</v>
          </cell>
          <cell r="B336" t="str">
            <v/>
          </cell>
          <cell r="C336" t="str">
            <v>xSeries Enterpise Rack Setup</v>
          </cell>
          <cell r="D336">
            <v>0</v>
          </cell>
          <cell r="E336" t="str">
            <v>N/A</v>
          </cell>
          <cell r="F336">
            <v>0</v>
          </cell>
          <cell r="G336" t="str">
            <v/>
          </cell>
          <cell r="H336" t="str">
            <v/>
          </cell>
          <cell r="I336" t="str">
            <v/>
          </cell>
          <cell r="J336" t="str">
            <v/>
          </cell>
          <cell r="K336" t="str">
            <v/>
          </cell>
          <cell r="L336" t="str">
            <v/>
          </cell>
          <cell r="M336">
            <v>3270</v>
          </cell>
        </row>
        <row r="337">
          <cell r="A337" t="str">
            <v>N/A</v>
          </cell>
          <cell r="B337" t="str">
            <v/>
          </cell>
          <cell r="C337" t="str">
            <v>xSeries Enterprise Rack Config</v>
          </cell>
          <cell r="D337">
            <v>0</v>
          </cell>
          <cell r="E337" t="str">
            <v>N/A</v>
          </cell>
          <cell r="F337">
            <v>0</v>
          </cell>
          <cell r="G337" t="str">
            <v/>
          </cell>
          <cell r="H337" t="str">
            <v/>
          </cell>
          <cell r="I337" t="str">
            <v/>
          </cell>
          <cell r="J337" t="str">
            <v/>
          </cell>
          <cell r="K337" t="str">
            <v/>
          </cell>
          <cell r="L337" t="str">
            <v/>
          </cell>
          <cell r="M337">
            <v>3280</v>
          </cell>
        </row>
        <row r="338">
          <cell r="A338" t="str">
            <v>06P7516</v>
          </cell>
          <cell r="B338" t="str">
            <v/>
          </cell>
          <cell r="C338" t="str">
            <v>xSeries RAID Configuration Simple</v>
          </cell>
          <cell r="D338">
            <v>0</v>
          </cell>
          <cell r="E338">
            <v>240</v>
          </cell>
          <cell r="F338">
            <v>0</v>
          </cell>
          <cell r="G338" t="str">
            <v/>
          </cell>
          <cell r="H338" t="str">
            <v/>
          </cell>
          <cell r="I338" t="str">
            <v/>
          </cell>
          <cell r="J338" t="str">
            <v/>
          </cell>
          <cell r="K338" t="str">
            <v/>
          </cell>
          <cell r="L338" t="str">
            <v/>
          </cell>
          <cell r="M338">
            <v>3290</v>
          </cell>
        </row>
        <row r="339">
          <cell r="A339" t="str">
            <v>N/A</v>
          </cell>
          <cell r="B339" t="str">
            <v/>
          </cell>
          <cell r="C339" t="str">
            <v>xSeries NOS Customization</v>
          </cell>
          <cell r="D339">
            <v>0</v>
          </cell>
          <cell r="E339" t="str">
            <v>N/A</v>
          </cell>
          <cell r="F339">
            <v>0</v>
          </cell>
          <cell r="G339" t="str">
            <v/>
          </cell>
          <cell r="H339" t="str">
            <v/>
          </cell>
          <cell r="I339" t="str">
            <v/>
          </cell>
          <cell r="J339" t="str">
            <v/>
          </cell>
          <cell r="K339" t="str">
            <v/>
          </cell>
          <cell r="L339" t="str">
            <v/>
          </cell>
          <cell r="M339">
            <v>3300</v>
          </cell>
        </row>
        <row r="340">
          <cell r="A340" t="str">
            <v>24P0238</v>
          </cell>
          <cell r="B340" t="str">
            <v/>
          </cell>
          <cell r="C340" t="str">
            <v>xSeries RAID Configuration Complex</v>
          </cell>
          <cell r="D340">
            <v>0</v>
          </cell>
          <cell r="E340">
            <v>401.01</v>
          </cell>
          <cell r="F340">
            <v>0</v>
          </cell>
          <cell r="G340" t="str">
            <v/>
          </cell>
          <cell r="H340" t="str">
            <v/>
          </cell>
          <cell r="I340" t="str">
            <v/>
          </cell>
          <cell r="J340" t="str">
            <v/>
          </cell>
          <cell r="K340" t="str">
            <v/>
          </cell>
          <cell r="L340" t="str">
            <v/>
          </cell>
          <cell r="M340">
            <v>3310</v>
          </cell>
        </row>
        <row r="341">
          <cell r="A341" t="str">
            <v>N/A</v>
          </cell>
          <cell r="B341" t="str">
            <v/>
          </cell>
          <cell r="C341" t="str">
            <v>Config &amp; Install xSeries Server 1U</v>
          </cell>
          <cell r="D341">
            <v>0</v>
          </cell>
          <cell r="E341" t="str">
            <v>N/A</v>
          </cell>
          <cell r="F341">
            <v>0</v>
          </cell>
          <cell r="G341" t="str">
            <v/>
          </cell>
          <cell r="H341" t="str">
            <v/>
          </cell>
          <cell r="I341" t="str">
            <v/>
          </cell>
          <cell r="J341" t="str">
            <v/>
          </cell>
          <cell r="K341" t="str">
            <v/>
          </cell>
          <cell r="L341" t="str">
            <v/>
          </cell>
          <cell r="M341">
            <v>3320</v>
          </cell>
        </row>
        <row r="342">
          <cell r="A342" t="str">
            <v>N/A</v>
          </cell>
          <cell r="B342" t="str">
            <v/>
          </cell>
          <cell r="C342" t="str">
            <v>IBM Custom Shipping Label - Server</v>
          </cell>
          <cell r="D342">
            <v>0</v>
          </cell>
          <cell r="E342" t="str">
            <v>N/A</v>
          </cell>
          <cell r="F342">
            <v>0</v>
          </cell>
          <cell r="G342" t="str">
            <v/>
          </cell>
          <cell r="H342" t="str">
            <v/>
          </cell>
          <cell r="I342" t="str">
            <v/>
          </cell>
          <cell r="J342" t="str">
            <v/>
          </cell>
          <cell r="K342" t="str">
            <v/>
          </cell>
          <cell r="L342" t="str">
            <v/>
          </cell>
          <cell r="M342">
            <v>3330</v>
          </cell>
        </row>
        <row r="343">
          <cell r="A343" t="str">
            <v>N/A</v>
          </cell>
          <cell r="B343" t="str">
            <v/>
          </cell>
          <cell r="C343" t="str">
            <v>IBM Custom Palletization - Server</v>
          </cell>
          <cell r="D343">
            <v>0</v>
          </cell>
          <cell r="E343" t="str">
            <v>N/A</v>
          </cell>
          <cell r="F343">
            <v>0</v>
          </cell>
          <cell r="G343" t="str">
            <v/>
          </cell>
          <cell r="H343" t="str">
            <v/>
          </cell>
          <cell r="I343" t="str">
            <v/>
          </cell>
          <cell r="J343" t="str">
            <v/>
          </cell>
          <cell r="K343" t="str">
            <v/>
          </cell>
          <cell r="L343" t="str">
            <v/>
          </cell>
          <cell r="M343">
            <v>3340</v>
          </cell>
        </row>
        <row r="344">
          <cell r="A344" t="str">
            <v>N/A</v>
          </cell>
          <cell r="B344" t="str">
            <v/>
          </cell>
          <cell r="C344" t="str">
            <v>Odyssey Asset Tag - Server</v>
          </cell>
          <cell r="D344">
            <v>0</v>
          </cell>
          <cell r="E344" t="str">
            <v>N/A</v>
          </cell>
          <cell r="F344">
            <v>0</v>
          </cell>
          <cell r="G344" t="str">
            <v/>
          </cell>
          <cell r="H344" t="str">
            <v/>
          </cell>
          <cell r="I344" t="str">
            <v/>
          </cell>
          <cell r="J344" t="str">
            <v/>
          </cell>
          <cell r="K344" t="str">
            <v/>
          </cell>
          <cell r="L344" t="str">
            <v/>
          </cell>
          <cell r="M344">
            <v>3350</v>
          </cell>
        </row>
        <row r="345">
          <cell r="M345">
            <v>3360</v>
          </cell>
        </row>
        <row r="346">
          <cell r="A346" t="str">
            <v>ServicePacs</v>
          </cell>
          <cell r="M346">
            <v>3370</v>
          </cell>
        </row>
        <row r="347">
          <cell r="C347" t="str">
            <v>NOTE THAT PRICES FOR SERVICEPACS ARE IBM LIST PRICE (DISCOUNTS MAY APPLY)</v>
          </cell>
          <cell r="M347">
            <v>3380</v>
          </cell>
        </row>
        <row r="348">
          <cell r="A348" t="str">
            <v>N/A</v>
          </cell>
          <cell r="B348" t="str">
            <v/>
          </cell>
          <cell r="C348" t="str">
            <v>180 days of Business Hours software support for a single xSeries server</v>
          </cell>
          <cell r="D348">
            <v>0</v>
          </cell>
          <cell r="E348" t="str">
            <v>N/A</v>
          </cell>
          <cell r="F348">
            <v>0</v>
          </cell>
          <cell r="G348" t="str">
            <v/>
          </cell>
          <cell r="H348" t="str">
            <v/>
          </cell>
          <cell r="I348" t="str">
            <v/>
          </cell>
          <cell r="J348" t="str">
            <v/>
          </cell>
          <cell r="K348" t="str">
            <v/>
          </cell>
          <cell r="L348" t="str">
            <v/>
          </cell>
          <cell r="M348">
            <v>3390</v>
          </cell>
        </row>
        <row r="349">
          <cell r="M349">
            <v>3400</v>
          </cell>
        </row>
        <row r="350">
          <cell r="A350" t="str">
            <v>N/A</v>
          </cell>
          <cell r="B350" t="str">
            <v/>
          </cell>
          <cell r="C350" t="str">
            <v>1 YR Support Line (x255)</v>
          </cell>
          <cell r="D350">
            <v>0</v>
          </cell>
          <cell r="E350" t="str">
            <v>N/A</v>
          </cell>
          <cell r="F350">
            <v>0</v>
          </cell>
          <cell r="G350" t="str">
            <v/>
          </cell>
          <cell r="H350" t="str">
            <v/>
          </cell>
          <cell r="I350" t="str">
            <v/>
          </cell>
          <cell r="J350" t="str">
            <v/>
          </cell>
          <cell r="K350" t="str">
            <v/>
          </cell>
          <cell r="L350" t="str">
            <v/>
          </cell>
          <cell r="M350">
            <v>3410</v>
          </cell>
        </row>
        <row r="351">
          <cell r="A351" t="str">
            <v>N/A</v>
          </cell>
          <cell r="B351" t="str">
            <v/>
          </cell>
          <cell r="C351" t="str">
            <v>1 YR IOR NBD (x255)</v>
          </cell>
          <cell r="D351">
            <v>0</v>
          </cell>
          <cell r="E351" t="str">
            <v>N/A</v>
          </cell>
          <cell r="F351">
            <v>0</v>
          </cell>
          <cell r="G351" t="str">
            <v/>
          </cell>
          <cell r="H351" t="str">
            <v/>
          </cell>
          <cell r="I351" t="str">
            <v/>
          </cell>
          <cell r="J351" t="str">
            <v/>
          </cell>
          <cell r="K351" t="str">
            <v/>
          </cell>
          <cell r="L351" t="str">
            <v/>
          </cell>
          <cell r="M351">
            <v>3420</v>
          </cell>
        </row>
        <row r="352">
          <cell r="A352" t="str">
            <v>N/A</v>
          </cell>
          <cell r="B352" t="str">
            <v/>
          </cell>
          <cell r="C352" t="str">
            <v>1 YR IOR 9x5/next day (x255)</v>
          </cell>
          <cell r="D352">
            <v>0</v>
          </cell>
          <cell r="E352" t="str">
            <v>N/A</v>
          </cell>
          <cell r="F352">
            <v>0</v>
          </cell>
          <cell r="G352" t="str">
            <v/>
          </cell>
          <cell r="H352" t="str">
            <v/>
          </cell>
          <cell r="I352" t="str">
            <v/>
          </cell>
          <cell r="J352" t="str">
            <v/>
          </cell>
          <cell r="K352" t="str">
            <v/>
          </cell>
          <cell r="L352" t="str">
            <v/>
          </cell>
          <cell r="M352">
            <v>3430</v>
          </cell>
        </row>
        <row r="353">
          <cell r="A353" t="str">
            <v>N/A</v>
          </cell>
          <cell r="B353" t="str">
            <v/>
          </cell>
          <cell r="C353" t="str">
            <v>1 YR IOR 9x5x4 (x255)</v>
          </cell>
          <cell r="D353">
            <v>0</v>
          </cell>
          <cell r="E353" t="str">
            <v>N/A</v>
          </cell>
          <cell r="F353">
            <v>0</v>
          </cell>
          <cell r="G353" t="str">
            <v/>
          </cell>
          <cell r="H353" t="str">
            <v/>
          </cell>
          <cell r="I353" t="str">
            <v/>
          </cell>
          <cell r="J353" t="str">
            <v/>
          </cell>
          <cell r="K353" t="str">
            <v/>
          </cell>
          <cell r="L353" t="str">
            <v/>
          </cell>
          <cell r="M353">
            <v>3440</v>
          </cell>
        </row>
        <row r="354">
          <cell r="A354" t="str">
            <v>N/A</v>
          </cell>
          <cell r="B354" t="str">
            <v/>
          </cell>
          <cell r="C354" t="str">
            <v>1 YR IOR 24x7x4 (x255)</v>
          </cell>
          <cell r="D354">
            <v>0</v>
          </cell>
          <cell r="E354" t="str">
            <v>N/A</v>
          </cell>
          <cell r="F354">
            <v>0</v>
          </cell>
          <cell r="G354" t="str">
            <v/>
          </cell>
          <cell r="H354" t="str">
            <v/>
          </cell>
          <cell r="I354" t="str">
            <v/>
          </cell>
          <cell r="J354" t="str">
            <v/>
          </cell>
          <cell r="K354" t="str">
            <v/>
          </cell>
          <cell r="L354" t="str">
            <v/>
          </cell>
          <cell r="M354">
            <v>3450</v>
          </cell>
        </row>
        <row r="355">
          <cell r="A355" t="str">
            <v>N/A</v>
          </cell>
          <cell r="B355" t="str">
            <v/>
          </cell>
          <cell r="C355" t="str">
            <v>1 YR IOR 24x7x2 hour  (x255)</v>
          </cell>
          <cell r="D355">
            <v>0</v>
          </cell>
          <cell r="E355" t="str">
            <v>N/A</v>
          </cell>
          <cell r="F355">
            <v>0</v>
          </cell>
          <cell r="G355" t="str">
            <v/>
          </cell>
          <cell r="H355" t="str">
            <v/>
          </cell>
          <cell r="I355" t="str">
            <v/>
          </cell>
          <cell r="J355" t="str">
            <v/>
          </cell>
          <cell r="K355" t="str">
            <v/>
          </cell>
          <cell r="L355" t="str">
            <v/>
          </cell>
          <cell r="M355">
            <v>3460</v>
          </cell>
        </row>
        <row r="356">
          <cell r="A356" t="str">
            <v>N/A</v>
          </cell>
          <cell r="B356" t="str">
            <v/>
          </cell>
          <cell r="C356" t="str">
            <v>2 YR IOR NBD (x255)</v>
          </cell>
          <cell r="D356">
            <v>0</v>
          </cell>
          <cell r="E356" t="str">
            <v>N/A</v>
          </cell>
          <cell r="F356">
            <v>0</v>
          </cell>
          <cell r="G356" t="str">
            <v/>
          </cell>
          <cell r="H356" t="str">
            <v/>
          </cell>
          <cell r="I356" t="str">
            <v/>
          </cell>
          <cell r="J356" t="str">
            <v/>
          </cell>
          <cell r="K356" t="str">
            <v/>
          </cell>
          <cell r="L356" t="str">
            <v/>
          </cell>
          <cell r="M356">
            <v>3470</v>
          </cell>
        </row>
        <row r="357">
          <cell r="A357" t="str">
            <v>N/A</v>
          </cell>
          <cell r="B357" t="str">
            <v/>
          </cell>
          <cell r="C357" t="str">
            <v>2 YR IOR 9x5/next day (x255)</v>
          </cell>
          <cell r="D357">
            <v>0</v>
          </cell>
          <cell r="E357" t="str">
            <v>N/A</v>
          </cell>
          <cell r="F357">
            <v>0</v>
          </cell>
          <cell r="G357" t="str">
            <v/>
          </cell>
          <cell r="H357" t="str">
            <v/>
          </cell>
          <cell r="I357" t="str">
            <v/>
          </cell>
          <cell r="J357" t="str">
            <v/>
          </cell>
          <cell r="K357" t="str">
            <v/>
          </cell>
          <cell r="L357" t="str">
            <v/>
          </cell>
          <cell r="M357">
            <v>3480</v>
          </cell>
        </row>
        <row r="358">
          <cell r="A358" t="str">
            <v>N/A</v>
          </cell>
          <cell r="B358" t="str">
            <v/>
          </cell>
          <cell r="C358" t="str">
            <v>2 YR IOR 9x5x4  (x255)</v>
          </cell>
          <cell r="D358">
            <v>0</v>
          </cell>
          <cell r="E358" t="str">
            <v>N/A</v>
          </cell>
          <cell r="F358">
            <v>0</v>
          </cell>
          <cell r="G358" t="str">
            <v/>
          </cell>
          <cell r="H358" t="str">
            <v/>
          </cell>
          <cell r="I358" t="str">
            <v/>
          </cell>
          <cell r="J358" t="str">
            <v/>
          </cell>
          <cell r="K358" t="str">
            <v/>
          </cell>
          <cell r="L358" t="str">
            <v/>
          </cell>
          <cell r="M358">
            <v>3490</v>
          </cell>
        </row>
        <row r="359">
          <cell r="A359" t="str">
            <v>N/A</v>
          </cell>
          <cell r="B359" t="str">
            <v/>
          </cell>
          <cell r="C359" t="str">
            <v>2 YR IOR 24x7x4 (x255)</v>
          </cell>
          <cell r="D359">
            <v>0</v>
          </cell>
          <cell r="E359" t="str">
            <v>N/A</v>
          </cell>
          <cell r="F359">
            <v>0</v>
          </cell>
          <cell r="G359" t="str">
            <v/>
          </cell>
          <cell r="H359" t="str">
            <v/>
          </cell>
          <cell r="I359" t="str">
            <v/>
          </cell>
          <cell r="J359" t="str">
            <v/>
          </cell>
          <cell r="K359" t="str">
            <v/>
          </cell>
          <cell r="L359" t="str">
            <v/>
          </cell>
          <cell r="M359">
            <v>3500</v>
          </cell>
        </row>
        <row r="360">
          <cell r="A360" t="str">
            <v>N/A</v>
          </cell>
          <cell r="B360" t="str">
            <v/>
          </cell>
          <cell r="C360" t="str">
            <v>2 YR IOR 24x7x2 hour  (x255)</v>
          </cell>
          <cell r="D360">
            <v>0</v>
          </cell>
          <cell r="E360" t="str">
            <v>N/A</v>
          </cell>
          <cell r="F360">
            <v>0</v>
          </cell>
          <cell r="G360" t="str">
            <v/>
          </cell>
          <cell r="H360" t="str">
            <v/>
          </cell>
          <cell r="I360" t="str">
            <v/>
          </cell>
          <cell r="J360" t="str">
            <v/>
          </cell>
          <cell r="K360" t="str">
            <v/>
          </cell>
          <cell r="L360" t="str">
            <v/>
          </cell>
          <cell r="M360">
            <v>3510</v>
          </cell>
        </row>
        <row r="361">
          <cell r="A361" t="str">
            <v>N/A</v>
          </cell>
          <cell r="B361" t="str">
            <v/>
          </cell>
          <cell r="C361" t="str">
            <v>3 YR IOR/24x7x4 BKK  Only (x255)</v>
          </cell>
          <cell r="D361">
            <v>0</v>
          </cell>
          <cell r="E361" t="str">
            <v>N/A</v>
          </cell>
          <cell r="F361">
            <v>0</v>
          </cell>
          <cell r="G361" t="str">
            <v/>
          </cell>
          <cell r="H361" t="str">
            <v/>
          </cell>
          <cell r="I361" t="str">
            <v/>
          </cell>
          <cell r="J361" t="str">
            <v/>
          </cell>
          <cell r="K361" t="str">
            <v/>
          </cell>
          <cell r="L361" t="str">
            <v/>
          </cell>
          <cell r="M361">
            <v>3520</v>
          </cell>
        </row>
        <row r="362">
          <cell r="A362" t="str">
            <v>N/A</v>
          </cell>
          <cell r="B362" t="str">
            <v/>
          </cell>
          <cell r="C362" t="str">
            <v>3 YR IOR /24x7( 3YR NBD Warrany ) (x255)</v>
          </cell>
          <cell r="D362">
            <v>0</v>
          </cell>
          <cell r="E362" t="str">
            <v>N/A</v>
          </cell>
          <cell r="F362">
            <v>0</v>
          </cell>
          <cell r="G362" t="str">
            <v/>
          </cell>
          <cell r="H362" t="str">
            <v/>
          </cell>
          <cell r="I362" t="str">
            <v/>
          </cell>
          <cell r="J362" t="str">
            <v/>
          </cell>
          <cell r="K362" t="str">
            <v/>
          </cell>
          <cell r="L362" t="str">
            <v/>
          </cell>
          <cell r="M362">
            <v>3530</v>
          </cell>
        </row>
        <row r="363">
          <cell r="A363" t="str">
            <v>N/A</v>
          </cell>
          <cell r="B363" t="str">
            <v/>
          </cell>
          <cell r="C363" t="str">
            <v>3 YR IOR /24x7( 3YR Parts 1YR Laber Warranty ) (x255)</v>
          </cell>
          <cell r="D363">
            <v>0</v>
          </cell>
          <cell r="E363" t="str">
            <v>N/A</v>
          </cell>
          <cell r="F363">
            <v>0</v>
          </cell>
          <cell r="G363" t="str">
            <v/>
          </cell>
          <cell r="H363" t="str">
            <v/>
          </cell>
          <cell r="I363" t="str">
            <v/>
          </cell>
          <cell r="J363" t="str">
            <v/>
          </cell>
          <cell r="K363" t="str">
            <v/>
          </cell>
          <cell r="L363" t="str">
            <v/>
          </cell>
          <cell r="M363">
            <v>3540</v>
          </cell>
        </row>
        <row r="364">
          <cell r="A364" t="str">
            <v>N/A</v>
          </cell>
          <cell r="B364" t="str">
            <v/>
          </cell>
          <cell r="C364" t="str">
            <v>3 YR OS/Config/Driver Support/9x5/NBD Respons (x255)</v>
          </cell>
          <cell r="D364">
            <v>0</v>
          </cell>
          <cell r="E364" t="str">
            <v>N/A</v>
          </cell>
          <cell r="F364">
            <v>0</v>
          </cell>
          <cell r="G364" t="str">
            <v/>
          </cell>
          <cell r="H364" t="str">
            <v/>
          </cell>
          <cell r="I364" t="str">
            <v/>
          </cell>
          <cell r="J364" t="str">
            <v/>
          </cell>
          <cell r="K364" t="str">
            <v/>
          </cell>
          <cell r="L364" t="str">
            <v/>
          </cell>
          <cell r="M364">
            <v>3550</v>
          </cell>
        </row>
        <row r="365">
          <cell r="A365" t="str">
            <v>N/A</v>
          </cell>
          <cell r="B365" t="str">
            <v/>
          </cell>
          <cell r="C365" t="str">
            <v>3 YR Parts &amp; Labour/IOR/9x5/4 hrs Response (x255)</v>
          </cell>
          <cell r="D365">
            <v>0</v>
          </cell>
          <cell r="E365" t="str">
            <v>N/A</v>
          </cell>
          <cell r="F365">
            <v>0</v>
          </cell>
          <cell r="G365" t="str">
            <v/>
          </cell>
          <cell r="H365" t="str">
            <v/>
          </cell>
          <cell r="I365" t="str">
            <v/>
          </cell>
          <cell r="J365" t="str">
            <v/>
          </cell>
          <cell r="K365" t="str">
            <v/>
          </cell>
          <cell r="L365" t="str">
            <v/>
          </cell>
          <cell r="M365">
            <v>3560</v>
          </cell>
        </row>
        <row r="366">
          <cell r="A366" t="str">
            <v>N/A</v>
          </cell>
          <cell r="B366" t="str">
            <v/>
          </cell>
          <cell r="C366" t="str">
            <v>3 YR Parts &amp; Labour/IOR/24x7/4hrs Response (x255)</v>
          </cell>
          <cell r="D366">
            <v>0</v>
          </cell>
          <cell r="E366" t="str">
            <v>N/A</v>
          </cell>
          <cell r="F366">
            <v>0</v>
          </cell>
          <cell r="G366" t="str">
            <v/>
          </cell>
          <cell r="H366" t="str">
            <v/>
          </cell>
          <cell r="I366" t="str">
            <v/>
          </cell>
          <cell r="J366" t="str">
            <v/>
          </cell>
          <cell r="K366" t="str">
            <v/>
          </cell>
          <cell r="L366" t="str">
            <v/>
          </cell>
          <cell r="M366">
            <v>3570</v>
          </cell>
        </row>
        <row r="367">
          <cell r="A367" t="str">
            <v>N/A</v>
          </cell>
          <cell r="B367" t="str">
            <v/>
          </cell>
          <cell r="C367" t="str">
            <v>3 YR IOR 24x7x4 + 1 YR Support Line (x255)</v>
          </cell>
          <cell r="D367">
            <v>0</v>
          </cell>
          <cell r="E367" t="str">
            <v>N/A</v>
          </cell>
          <cell r="F367">
            <v>0</v>
          </cell>
          <cell r="G367" t="str">
            <v/>
          </cell>
          <cell r="H367" t="str">
            <v/>
          </cell>
          <cell r="I367" t="str">
            <v/>
          </cell>
          <cell r="J367" t="str">
            <v/>
          </cell>
          <cell r="K367" t="str">
            <v/>
          </cell>
          <cell r="L367" t="str">
            <v/>
          </cell>
          <cell r="M367">
            <v>3580</v>
          </cell>
        </row>
        <row r="368">
          <cell r="A368" t="str">
            <v>N/A</v>
          </cell>
          <cell r="B368" t="str">
            <v/>
          </cell>
          <cell r="C368" t="str">
            <v>3 YR IOR 9x5x4 + 1 YR Support Line (x255)</v>
          </cell>
          <cell r="D368">
            <v>0</v>
          </cell>
          <cell r="E368" t="str">
            <v>N/A</v>
          </cell>
          <cell r="F368">
            <v>0</v>
          </cell>
          <cell r="G368" t="str">
            <v/>
          </cell>
          <cell r="H368" t="str">
            <v/>
          </cell>
          <cell r="I368" t="str">
            <v/>
          </cell>
          <cell r="J368" t="str">
            <v/>
          </cell>
          <cell r="K368" t="str">
            <v/>
          </cell>
          <cell r="L368" t="str">
            <v/>
          </cell>
          <cell r="M368">
            <v>3590</v>
          </cell>
        </row>
        <row r="369">
          <cell r="A369" t="str">
            <v>N/A</v>
          </cell>
          <cell r="B369" t="str">
            <v/>
          </cell>
          <cell r="C369" t="str">
            <v>3 YR IOR /24x7x4x6 (x255)</v>
          </cell>
          <cell r="D369">
            <v>0</v>
          </cell>
          <cell r="E369" t="str">
            <v>N/A</v>
          </cell>
          <cell r="F369">
            <v>0</v>
          </cell>
          <cell r="G369" t="str">
            <v/>
          </cell>
          <cell r="H369" t="str">
            <v/>
          </cell>
          <cell r="I369" t="str">
            <v/>
          </cell>
          <cell r="J369" t="str">
            <v/>
          </cell>
          <cell r="K369" t="str">
            <v/>
          </cell>
          <cell r="L369" t="str">
            <v/>
          </cell>
          <cell r="M369">
            <v>3600</v>
          </cell>
        </row>
        <row r="370">
          <cell r="A370" t="str">
            <v>N/A</v>
          </cell>
          <cell r="B370" t="str">
            <v/>
          </cell>
          <cell r="C370" t="str">
            <v>3 YR IOR /24x7x8x24 (x255)</v>
          </cell>
          <cell r="D370">
            <v>0</v>
          </cell>
          <cell r="E370" t="str">
            <v>N/A</v>
          </cell>
          <cell r="F370">
            <v>0</v>
          </cell>
          <cell r="G370" t="str">
            <v/>
          </cell>
          <cell r="H370" t="str">
            <v/>
          </cell>
          <cell r="I370" t="str">
            <v/>
          </cell>
          <cell r="J370" t="str">
            <v/>
          </cell>
          <cell r="K370" t="str">
            <v/>
          </cell>
          <cell r="L370" t="str">
            <v/>
          </cell>
          <cell r="M370">
            <v>3610</v>
          </cell>
        </row>
        <row r="371">
          <cell r="A371" t="str">
            <v>N/A</v>
          </cell>
          <cell r="B371" t="str">
            <v/>
          </cell>
          <cell r="C371" t="str">
            <v>3 YR IOR /24x7x8 (x255)</v>
          </cell>
          <cell r="D371">
            <v>0</v>
          </cell>
          <cell r="E371" t="str">
            <v>N/A</v>
          </cell>
          <cell r="F371">
            <v>0</v>
          </cell>
          <cell r="G371" t="str">
            <v/>
          </cell>
          <cell r="H371" t="str">
            <v/>
          </cell>
          <cell r="I371" t="str">
            <v/>
          </cell>
          <cell r="J371" t="str">
            <v/>
          </cell>
          <cell r="K371" t="str">
            <v/>
          </cell>
          <cell r="L371" t="str">
            <v/>
          </cell>
          <cell r="M371">
            <v>3620</v>
          </cell>
        </row>
        <row r="372">
          <cell r="A372" t="str">
            <v>N/A</v>
          </cell>
          <cell r="B372" t="str">
            <v/>
          </cell>
          <cell r="C372" t="str">
            <v>3 YR 12x6x2 (x255)</v>
          </cell>
          <cell r="D372">
            <v>0</v>
          </cell>
          <cell r="E372" t="str">
            <v>N/A</v>
          </cell>
          <cell r="F372">
            <v>0</v>
          </cell>
          <cell r="G372" t="str">
            <v/>
          </cell>
          <cell r="H372" t="str">
            <v/>
          </cell>
          <cell r="I372" t="str">
            <v/>
          </cell>
          <cell r="J372" t="str">
            <v/>
          </cell>
          <cell r="K372" t="str">
            <v/>
          </cell>
          <cell r="L372" t="str">
            <v/>
          </cell>
          <cell r="M372">
            <v>3630</v>
          </cell>
        </row>
        <row r="373">
          <cell r="A373" t="str">
            <v>96P2967</v>
          </cell>
          <cell r="B373" t="str">
            <v/>
          </cell>
          <cell r="C373" t="str">
            <v>3 YR IOR /8x5x4 (x255)</v>
          </cell>
          <cell r="D373">
            <v>0</v>
          </cell>
          <cell r="E373">
            <v>837</v>
          </cell>
          <cell r="F373">
            <v>0</v>
          </cell>
          <cell r="G373" t="str">
            <v/>
          </cell>
          <cell r="H373" t="str">
            <v/>
          </cell>
          <cell r="I373" t="str">
            <v/>
          </cell>
          <cell r="J373" t="str">
            <v/>
          </cell>
          <cell r="K373" t="str">
            <v/>
          </cell>
          <cell r="L373" t="str">
            <v/>
          </cell>
          <cell r="M373">
            <v>3640</v>
          </cell>
        </row>
        <row r="374">
          <cell r="A374" t="str">
            <v>N/A</v>
          </cell>
          <cell r="B374" t="str">
            <v/>
          </cell>
          <cell r="C374" t="str">
            <v>3 YR IOR 9x5x4 (x255)</v>
          </cell>
          <cell r="D374">
            <v>0</v>
          </cell>
          <cell r="E374" t="str">
            <v>N/A</v>
          </cell>
          <cell r="F374">
            <v>0</v>
          </cell>
          <cell r="G374" t="str">
            <v/>
          </cell>
          <cell r="H374" t="str">
            <v/>
          </cell>
          <cell r="I374" t="str">
            <v/>
          </cell>
          <cell r="J374" t="str">
            <v/>
          </cell>
          <cell r="K374" t="str">
            <v/>
          </cell>
          <cell r="L374" t="str">
            <v/>
          </cell>
          <cell r="M374">
            <v>3650</v>
          </cell>
        </row>
        <row r="375">
          <cell r="A375" t="str">
            <v>96P2968</v>
          </cell>
          <cell r="B375" t="str">
            <v/>
          </cell>
          <cell r="C375" t="str">
            <v>3 YR IOR /24x7x4 (x255)</v>
          </cell>
          <cell r="D375">
            <v>0</v>
          </cell>
          <cell r="E375">
            <v>2100</v>
          </cell>
          <cell r="F375">
            <v>0</v>
          </cell>
          <cell r="G375" t="str">
            <v/>
          </cell>
          <cell r="H375" t="str">
            <v/>
          </cell>
          <cell r="I375" t="str">
            <v/>
          </cell>
          <cell r="J375" t="str">
            <v/>
          </cell>
          <cell r="K375" t="str">
            <v/>
          </cell>
          <cell r="L375" t="str">
            <v/>
          </cell>
          <cell r="M375">
            <v>3660</v>
          </cell>
        </row>
        <row r="376">
          <cell r="A376" t="str">
            <v>96P2969</v>
          </cell>
          <cell r="B376" t="str">
            <v/>
          </cell>
          <cell r="C376" t="str">
            <v>3 YR IOR /24x7x2 (x255)</v>
          </cell>
          <cell r="D376">
            <v>0</v>
          </cell>
          <cell r="E376">
            <v>2970</v>
          </cell>
          <cell r="F376">
            <v>0</v>
          </cell>
          <cell r="G376" t="str">
            <v/>
          </cell>
          <cell r="H376" t="str">
            <v/>
          </cell>
          <cell r="I376" t="str">
            <v/>
          </cell>
          <cell r="J376" t="str">
            <v/>
          </cell>
          <cell r="K376" t="str">
            <v/>
          </cell>
          <cell r="L376" t="str">
            <v/>
          </cell>
          <cell r="M376">
            <v>3670</v>
          </cell>
        </row>
        <row r="377">
          <cell r="A377" t="str">
            <v>N/A</v>
          </cell>
          <cell r="B377" t="str">
            <v/>
          </cell>
          <cell r="C377" t="str">
            <v>4 YR IOR/24x7x4 BKK  Only (x255)</v>
          </cell>
          <cell r="D377">
            <v>0</v>
          </cell>
          <cell r="E377" t="str">
            <v>N/A</v>
          </cell>
          <cell r="F377">
            <v>0</v>
          </cell>
          <cell r="G377" t="str">
            <v/>
          </cell>
          <cell r="H377" t="str">
            <v/>
          </cell>
          <cell r="I377" t="str">
            <v/>
          </cell>
          <cell r="J377" t="str">
            <v/>
          </cell>
          <cell r="K377" t="str">
            <v/>
          </cell>
          <cell r="L377" t="str">
            <v/>
          </cell>
          <cell r="M377">
            <v>3680</v>
          </cell>
        </row>
        <row r="378">
          <cell r="A378" t="str">
            <v>N/A</v>
          </cell>
          <cell r="B378" t="str">
            <v/>
          </cell>
          <cell r="C378" t="str">
            <v>4 YR IOR  9x5/next day  (x255)</v>
          </cell>
          <cell r="D378">
            <v>0</v>
          </cell>
          <cell r="E378" t="str">
            <v>N/A</v>
          </cell>
          <cell r="F378">
            <v>0</v>
          </cell>
          <cell r="G378" t="str">
            <v/>
          </cell>
          <cell r="H378" t="str">
            <v/>
          </cell>
          <cell r="I378" t="str">
            <v/>
          </cell>
          <cell r="J378" t="str">
            <v/>
          </cell>
          <cell r="K378" t="str">
            <v/>
          </cell>
          <cell r="L378" t="str">
            <v/>
          </cell>
          <cell r="M378">
            <v>3690</v>
          </cell>
        </row>
        <row r="379">
          <cell r="A379" t="str">
            <v>N/A</v>
          </cell>
          <cell r="B379" t="str">
            <v/>
          </cell>
          <cell r="C379" t="str">
            <v>4 YR IOR 9x5x4 (x255)</v>
          </cell>
          <cell r="D379">
            <v>0</v>
          </cell>
          <cell r="E379" t="str">
            <v>N/A</v>
          </cell>
          <cell r="F379">
            <v>0</v>
          </cell>
          <cell r="G379" t="str">
            <v/>
          </cell>
          <cell r="H379" t="str">
            <v/>
          </cell>
          <cell r="I379" t="str">
            <v/>
          </cell>
          <cell r="J379" t="str">
            <v/>
          </cell>
          <cell r="K379" t="str">
            <v/>
          </cell>
          <cell r="L379" t="str">
            <v/>
          </cell>
          <cell r="M379">
            <v>3700</v>
          </cell>
        </row>
        <row r="380">
          <cell r="A380" t="str">
            <v>N/A</v>
          </cell>
          <cell r="B380" t="str">
            <v/>
          </cell>
          <cell r="C380" t="str">
            <v>4 YR IOR /24x7x4 (x255)</v>
          </cell>
          <cell r="D380">
            <v>0</v>
          </cell>
          <cell r="E380" t="str">
            <v>N/A</v>
          </cell>
          <cell r="F380">
            <v>0</v>
          </cell>
          <cell r="G380" t="str">
            <v/>
          </cell>
          <cell r="H380" t="str">
            <v/>
          </cell>
          <cell r="I380" t="str">
            <v/>
          </cell>
          <cell r="J380" t="str">
            <v/>
          </cell>
          <cell r="K380" t="str">
            <v/>
          </cell>
          <cell r="L380" t="str">
            <v/>
          </cell>
          <cell r="M380">
            <v>3710</v>
          </cell>
        </row>
        <row r="381">
          <cell r="A381" t="str">
            <v>N/A</v>
          </cell>
          <cell r="B381" t="str">
            <v/>
          </cell>
          <cell r="C381" t="str">
            <v>4 YR IOR/24x7x2 (x255)</v>
          </cell>
          <cell r="D381">
            <v>0</v>
          </cell>
          <cell r="E381" t="str">
            <v>N/A</v>
          </cell>
          <cell r="F381">
            <v>0</v>
          </cell>
          <cell r="G381" t="str">
            <v/>
          </cell>
          <cell r="H381" t="str">
            <v/>
          </cell>
          <cell r="I381" t="str">
            <v/>
          </cell>
          <cell r="J381" t="str">
            <v/>
          </cell>
          <cell r="K381" t="str">
            <v/>
          </cell>
          <cell r="L381" t="str">
            <v/>
          </cell>
          <cell r="M381">
            <v>3720</v>
          </cell>
        </row>
        <row r="382">
          <cell r="A382" t="str">
            <v>N/A</v>
          </cell>
          <cell r="B382" t="str">
            <v/>
          </cell>
          <cell r="C382" t="str">
            <v>5 YR IOR/24x7x4 BKK  Only (x255)</v>
          </cell>
          <cell r="D382">
            <v>0</v>
          </cell>
          <cell r="E382" t="str">
            <v>N/A</v>
          </cell>
          <cell r="F382">
            <v>0</v>
          </cell>
          <cell r="G382" t="str">
            <v/>
          </cell>
          <cell r="H382" t="str">
            <v/>
          </cell>
          <cell r="I382" t="str">
            <v/>
          </cell>
          <cell r="J382" t="str">
            <v/>
          </cell>
          <cell r="K382" t="str">
            <v/>
          </cell>
          <cell r="L382" t="str">
            <v/>
          </cell>
          <cell r="M382">
            <v>3730</v>
          </cell>
        </row>
        <row r="383">
          <cell r="A383" t="str">
            <v>96P2972</v>
          </cell>
          <cell r="B383" t="str">
            <v/>
          </cell>
          <cell r="C383" t="str">
            <v>5 YR IOR /8x5x4 (x255)</v>
          </cell>
          <cell r="D383">
            <v>0</v>
          </cell>
          <cell r="E383">
            <v>2519</v>
          </cell>
          <cell r="F383">
            <v>0</v>
          </cell>
          <cell r="G383" t="str">
            <v/>
          </cell>
          <cell r="H383" t="str">
            <v/>
          </cell>
          <cell r="I383" t="str">
            <v/>
          </cell>
          <cell r="J383" t="str">
            <v/>
          </cell>
          <cell r="K383" t="str">
            <v/>
          </cell>
          <cell r="L383" t="str">
            <v/>
          </cell>
          <cell r="M383">
            <v>3740</v>
          </cell>
        </row>
        <row r="384">
          <cell r="A384" t="str">
            <v>N/A</v>
          </cell>
          <cell r="B384" t="str">
            <v/>
          </cell>
          <cell r="C384" t="str">
            <v>5 YR IOR  9x5/next day  (x255)</v>
          </cell>
          <cell r="D384">
            <v>0</v>
          </cell>
          <cell r="E384" t="str">
            <v>N/A</v>
          </cell>
          <cell r="F384">
            <v>0</v>
          </cell>
          <cell r="G384" t="str">
            <v/>
          </cell>
          <cell r="H384" t="str">
            <v/>
          </cell>
          <cell r="I384" t="str">
            <v/>
          </cell>
          <cell r="J384" t="str">
            <v/>
          </cell>
          <cell r="K384" t="str">
            <v/>
          </cell>
          <cell r="L384" t="str">
            <v/>
          </cell>
          <cell r="M384">
            <v>3750</v>
          </cell>
        </row>
        <row r="385">
          <cell r="A385" t="str">
            <v>N/A</v>
          </cell>
          <cell r="B385" t="str">
            <v/>
          </cell>
          <cell r="C385" t="str">
            <v>5 YR IOR /9x5x4 (x255)</v>
          </cell>
          <cell r="D385">
            <v>0</v>
          </cell>
          <cell r="E385" t="str">
            <v>N/A</v>
          </cell>
          <cell r="F385">
            <v>0</v>
          </cell>
          <cell r="G385" t="str">
            <v/>
          </cell>
          <cell r="H385" t="str">
            <v/>
          </cell>
          <cell r="I385" t="str">
            <v/>
          </cell>
          <cell r="J385" t="str">
            <v/>
          </cell>
          <cell r="K385" t="str">
            <v/>
          </cell>
          <cell r="L385" t="str">
            <v/>
          </cell>
          <cell r="M385">
            <v>3760</v>
          </cell>
        </row>
        <row r="386">
          <cell r="A386" t="str">
            <v>96P2973</v>
          </cell>
          <cell r="B386" t="str">
            <v/>
          </cell>
          <cell r="C386" t="str">
            <v>5 YR IOR /24x7x4 (x255)</v>
          </cell>
          <cell r="D386">
            <v>0</v>
          </cell>
          <cell r="E386">
            <v>4620</v>
          </cell>
          <cell r="F386">
            <v>0</v>
          </cell>
          <cell r="G386" t="str">
            <v/>
          </cell>
          <cell r="H386" t="str">
            <v/>
          </cell>
          <cell r="I386" t="str">
            <v/>
          </cell>
          <cell r="J386" t="str">
            <v/>
          </cell>
          <cell r="K386" t="str">
            <v/>
          </cell>
          <cell r="L386" t="str">
            <v/>
          </cell>
          <cell r="M386">
            <v>3770</v>
          </cell>
        </row>
        <row r="387">
          <cell r="A387" t="str">
            <v>96P2974</v>
          </cell>
          <cell r="B387" t="str">
            <v/>
          </cell>
          <cell r="C387" t="str">
            <v>5 YR IOR /24x7x2 (x255)</v>
          </cell>
          <cell r="D387">
            <v>0</v>
          </cell>
          <cell r="E387">
            <v>6600</v>
          </cell>
          <cell r="F387">
            <v>0</v>
          </cell>
          <cell r="G387" t="str">
            <v/>
          </cell>
          <cell r="H387" t="str">
            <v/>
          </cell>
          <cell r="I387" t="str">
            <v/>
          </cell>
          <cell r="J387" t="str">
            <v/>
          </cell>
          <cell r="K387" t="str">
            <v/>
          </cell>
          <cell r="L387" t="str">
            <v/>
          </cell>
          <cell r="M387">
            <v>3780</v>
          </cell>
        </row>
        <row r="388">
          <cell r="A388" t="str">
            <v>N/A</v>
          </cell>
          <cell r="B388" t="str">
            <v/>
          </cell>
          <cell r="C388" t="str">
            <v>6 YR IOR/24x7x4 (x255)</v>
          </cell>
          <cell r="D388">
            <v>0</v>
          </cell>
          <cell r="E388" t="str">
            <v>N/A</v>
          </cell>
          <cell r="F388">
            <v>0</v>
          </cell>
          <cell r="G388" t="str">
            <v/>
          </cell>
          <cell r="H388" t="str">
            <v/>
          </cell>
          <cell r="I388" t="str">
            <v/>
          </cell>
          <cell r="J388" t="str">
            <v/>
          </cell>
          <cell r="K388" t="str">
            <v/>
          </cell>
          <cell r="L388" t="str">
            <v/>
          </cell>
          <cell r="M388">
            <v>3790</v>
          </cell>
        </row>
        <row r="389">
          <cell r="A389" t="str">
            <v>N/A</v>
          </cell>
          <cell r="B389" t="str">
            <v/>
          </cell>
          <cell r="C389" t="str">
            <v>6 YR IOR/9x5x4 (x255)</v>
          </cell>
          <cell r="D389">
            <v>0</v>
          </cell>
          <cell r="E389" t="str">
            <v>N/A</v>
          </cell>
          <cell r="F389">
            <v>0</v>
          </cell>
          <cell r="G389" t="str">
            <v/>
          </cell>
          <cell r="H389" t="str">
            <v/>
          </cell>
          <cell r="I389" t="str">
            <v/>
          </cell>
          <cell r="J389" t="str">
            <v/>
          </cell>
          <cell r="K389" t="str">
            <v/>
          </cell>
          <cell r="L389" t="str">
            <v/>
          </cell>
          <cell r="M389">
            <v>3800</v>
          </cell>
        </row>
        <row r="390">
          <cell r="M390">
            <v>3810</v>
          </cell>
        </row>
        <row r="391">
          <cell r="A391" t="str">
            <v>96P2975</v>
          </cell>
          <cell r="B391" t="str">
            <v/>
          </cell>
          <cell r="C391" t="str">
            <v>Extend to YR 4&amp;5 IOR /8x5x4 (x255)</v>
          </cell>
          <cell r="D391">
            <v>0</v>
          </cell>
          <cell r="E391">
            <v>1954</v>
          </cell>
          <cell r="F391">
            <v>0</v>
          </cell>
          <cell r="G391" t="str">
            <v/>
          </cell>
          <cell r="H391" t="str">
            <v/>
          </cell>
          <cell r="I391" t="str">
            <v/>
          </cell>
          <cell r="J391" t="str">
            <v/>
          </cell>
          <cell r="K391" t="str">
            <v/>
          </cell>
          <cell r="L391" t="str">
            <v/>
          </cell>
          <cell r="M391">
            <v>3820</v>
          </cell>
        </row>
        <row r="392">
          <cell r="A392" t="str">
            <v>96P2976</v>
          </cell>
          <cell r="B392" t="str">
            <v/>
          </cell>
          <cell r="C392" t="str">
            <v>Extend to YR 4&amp;5 IOR /24x7x4 (x255)</v>
          </cell>
          <cell r="D392">
            <v>0</v>
          </cell>
          <cell r="E392">
            <v>2963</v>
          </cell>
          <cell r="F392">
            <v>0</v>
          </cell>
          <cell r="G392" t="str">
            <v/>
          </cell>
          <cell r="H392" t="str">
            <v/>
          </cell>
          <cell r="I392" t="str">
            <v/>
          </cell>
          <cell r="J392" t="str">
            <v/>
          </cell>
          <cell r="K392" t="str">
            <v/>
          </cell>
          <cell r="L392" t="str">
            <v/>
          </cell>
          <cell r="M392">
            <v>3830</v>
          </cell>
        </row>
        <row r="393">
          <cell r="A393" t="str">
            <v>96P2977</v>
          </cell>
          <cell r="B393" t="str">
            <v/>
          </cell>
          <cell r="C393" t="str">
            <v>Extend to YR 4&amp;5 IOR /24x7x2 (x255)</v>
          </cell>
          <cell r="D393">
            <v>0</v>
          </cell>
          <cell r="E393">
            <v>3764</v>
          </cell>
          <cell r="F393">
            <v>0</v>
          </cell>
          <cell r="G393" t="str">
            <v/>
          </cell>
          <cell r="H393" t="str">
            <v/>
          </cell>
          <cell r="I393" t="str">
            <v/>
          </cell>
          <cell r="J393" t="str">
            <v/>
          </cell>
          <cell r="K393" t="str">
            <v/>
          </cell>
          <cell r="L393" t="str">
            <v/>
          </cell>
          <cell r="M393">
            <v>3840</v>
          </cell>
        </row>
        <row r="394">
          <cell r="M394">
            <v>3850</v>
          </cell>
        </row>
        <row r="395">
          <cell r="A395" t="str">
            <v>N/A</v>
          </cell>
          <cell r="B395" t="str">
            <v/>
          </cell>
          <cell r="C395" t="str">
            <v>1 YR RTS for xSeries, IntelliStation, IBM Director, Windows, Linux (x255)</v>
          </cell>
          <cell r="D395">
            <v>0</v>
          </cell>
          <cell r="E395" t="str">
            <v>N/A</v>
          </cell>
          <cell r="F395">
            <v>0</v>
          </cell>
          <cell r="G395" t="str">
            <v/>
          </cell>
          <cell r="H395" t="str">
            <v/>
          </cell>
          <cell r="I395" t="str">
            <v/>
          </cell>
          <cell r="J395" t="str">
            <v/>
          </cell>
          <cell r="K395" t="str">
            <v/>
          </cell>
          <cell r="L395" t="str">
            <v/>
          </cell>
          <cell r="M395">
            <v>3860</v>
          </cell>
        </row>
        <row r="396">
          <cell r="A396" t="str">
            <v>N/A</v>
          </cell>
          <cell r="B396" t="str">
            <v/>
          </cell>
          <cell r="C396" t="str">
            <v>1 YR RTS for xSeries, IntelliStation, IBM Director, Windows, Linux, plus Vmware (x255)</v>
          </cell>
          <cell r="D396">
            <v>0</v>
          </cell>
          <cell r="E396" t="str">
            <v>N/A</v>
          </cell>
          <cell r="F396">
            <v>0</v>
          </cell>
          <cell r="G396" t="str">
            <v/>
          </cell>
          <cell r="H396" t="str">
            <v/>
          </cell>
          <cell r="I396" t="str">
            <v/>
          </cell>
          <cell r="J396" t="str">
            <v/>
          </cell>
          <cell r="K396" t="str">
            <v/>
          </cell>
          <cell r="L396" t="str">
            <v/>
          </cell>
          <cell r="M396">
            <v>3870</v>
          </cell>
        </row>
        <row r="397">
          <cell r="A397" t="str">
            <v>N/A</v>
          </cell>
          <cell r="B397" t="str">
            <v/>
          </cell>
          <cell r="C397" t="str">
            <v>3 YR RTS for xSeries, IBM Director, Windows and Linux (x255)</v>
          </cell>
          <cell r="D397">
            <v>0</v>
          </cell>
          <cell r="E397" t="str">
            <v>N/A</v>
          </cell>
          <cell r="F397">
            <v>0</v>
          </cell>
          <cell r="G397" t="str">
            <v/>
          </cell>
          <cell r="H397" t="str">
            <v/>
          </cell>
          <cell r="I397" t="str">
            <v/>
          </cell>
          <cell r="J397" t="str">
            <v/>
          </cell>
          <cell r="K397" t="str">
            <v/>
          </cell>
          <cell r="L397" t="str">
            <v/>
          </cell>
          <cell r="M397">
            <v>3880</v>
          </cell>
        </row>
        <row r="398">
          <cell r="A398" t="str">
            <v>N/A</v>
          </cell>
          <cell r="B398" t="str">
            <v/>
          </cell>
          <cell r="C398" t="str">
            <v>3 YR RTS for xSeries, IBM Director, Windows and Linux with Vmware (x255)</v>
          </cell>
          <cell r="D398">
            <v>0</v>
          </cell>
          <cell r="E398" t="str">
            <v>N/A</v>
          </cell>
          <cell r="F398">
            <v>0</v>
          </cell>
          <cell r="G398" t="str">
            <v/>
          </cell>
          <cell r="H398" t="str">
            <v/>
          </cell>
          <cell r="I398" t="str">
            <v/>
          </cell>
          <cell r="J398" t="str">
            <v/>
          </cell>
          <cell r="K398" t="str">
            <v/>
          </cell>
          <cell r="L398" t="str">
            <v/>
          </cell>
          <cell r="M398">
            <v>3890</v>
          </cell>
        </row>
        <row r="399">
          <cell r="M399">
            <v>3900</v>
          </cell>
        </row>
        <row r="400">
          <cell r="A400" t="str">
            <v>N/A</v>
          </cell>
          <cell r="B400" t="str">
            <v/>
          </cell>
          <cell r="C400" t="str">
            <v>ServicePac for Inst. Services - Inst. of a floor-standing / tower model server(x255)</v>
          </cell>
          <cell r="D400">
            <v>0</v>
          </cell>
          <cell r="E400" t="str">
            <v>N/A</v>
          </cell>
          <cell r="F400">
            <v>0</v>
          </cell>
          <cell r="G400" t="str">
            <v/>
          </cell>
          <cell r="H400" t="str">
            <v/>
          </cell>
          <cell r="I400" t="str">
            <v/>
          </cell>
          <cell r="J400" t="str">
            <v/>
          </cell>
          <cell r="K400" t="str">
            <v/>
          </cell>
          <cell r="L400" t="str">
            <v/>
          </cell>
          <cell r="M400">
            <v>3910</v>
          </cell>
        </row>
        <row r="401">
          <cell r="A401" t="str">
            <v>N/A</v>
          </cell>
          <cell r="B401" t="str">
            <v/>
          </cell>
          <cell r="C401" t="str">
            <v>ServicePac for Inst. Services - Inst. of a floor-standing / tower model server and the network operating system(x255)</v>
          </cell>
          <cell r="D401">
            <v>0</v>
          </cell>
          <cell r="E401" t="str">
            <v>N/A</v>
          </cell>
          <cell r="F401">
            <v>0</v>
          </cell>
          <cell r="G401" t="str">
            <v/>
          </cell>
          <cell r="H401" t="str">
            <v/>
          </cell>
          <cell r="I401" t="str">
            <v/>
          </cell>
          <cell r="J401" t="str">
            <v/>
          </cell>
          <cell r="K401" t="str">
            <v/>
          </cell>
          <cell r="L401" t="str">
            <v/>
          </cell>
          <cell r="M401">
            <v>3920</v>
          </cell>
        </row>
        <row r="402">
          <cell r="M402">
            <v>3930</v>
          </cell>
        </row>
        <row r="403">
          <cell r="A403" t="str">
            <v>N/A</v>
          </cell>
          <cell r="B403" t="str">
            <v/>
          </cell>
          <cell r="C403" t="str">
            <v>Unpack server, install IBM additional HW in Rack, OS (Windows NT, Windows 2000, Novell Netware or Linux ) Inst., verify Inst..(x255)</v>
          </cell>
          <cell r="D403">
            <v>0</v>
          </cell>
          <cell r="E403" t="str">
            <v>N/A</v>
          </cell>
          <cell r="F403">
            <v>0</v>
          </cell>
          <cell r="G403" t="str">
            <v/>
          </cell>
          <cell r="H403" t="str">
            <v/>
          </cell>
          <cell r="I403" t="str">
            <v/>
          </cell>
          <cell r="J403" t="str">
            <v/>
          </cell>
          <cell r="K403" t="str">
            <v/>
          </cell>
          <cell r="L403" t="str">
            <v/>
          </cell>
          <cell r="M403">
            <v>3940</v>
          </cell>
        </row>
        <row r="404">
          <cell r="A404" t="str">
            <v>N/A</v>
          </cell>
          <cell r="B404" t="str">
            <v/>
          </cell>
          <cell r="C404" t="str">
            <v>H/W &amp; Windows OS Inst.(x255)</v>
          </cell>
          <cell r="D404">
            <v>0</v>
          </cell>
          <cell r="E404" t="str">
            <v>N/A</v>
          </cell>
          <cell r="F404">
            <v>0</v>
          </cell>
          <cell r="G404" t="str">
            <v/>
          </cell>
          <cell r="H404" t="str">
            <v/>
          </cell>
          <cell r="I404" t="str">
            <v/>
          </cell>
          <cell r="J404" t="str">
            <v/>
          </cell>
          <cell r="K404" t="str">
            <v/>
          </cell>
          <cell r="L404" t="str">
            <v/>
          </cell>
          <cell r="M404">
            <v>3950</v>
          </cell>
        </row>
        <row r="405">
          <cell r="A405" t="str">
            <v>N/A</v>
          </cell>
          <cell r="B405" t="str">
            <v/>
          </cell>
          <cell r="C405" t="str">
            <v>IOR Hardware Inst./OS Config (x255)</v>
          </cell>
          <cell r="D405">
            <v>0</v>
          </cell>
          <cell r="E405" t="str">
            <v>N/A</v>
          </cell>
          <cell r="F405">
            <v>0</v>
          </cell>
          <cell r="G405" t="str">
            <v/>
          </cell>
          <cell r="H405" t="str">
            <v/>
          </cell>
          <cell r="I405" t="str">
            <v/>
          </cell>
          <cell r="J405" t="str">
            <v/>
          </cell>
          <cell r="K405" t="str">
            <v/>
          </cell>
          <cell r="L405" t="str">
            <v/>
          </cell>
          <cell r="M405">
            <v>3960</v>
          </cell>
        </row>
        <row r="406">
          <cell r="M406">
            <v>3970</v>
          </cell>
        </row>
        <row r="407">
          <cell r="A407" t="str">
            <v>N/A</v>
          </cell>
          <cell r="B407" t="str">
            <v/>
          </cell>
          <cell r="C407" t="str">
            <v>ServicePac for Inst. Services - Inst. of an expansion storage unit (EXP300)</v>
          </cell>
          <cell r="D407">
            <v>0</v>
          </cell>
          <cell r="E407" t="str">
            <v>N/A</v>
          </cell>
          <cell r="F407">
            <v>0</v>
          </cell>
          <cell r="G407" t="str">
            <v/>
          </cell>
          <cell r="H407" t="str">
            <v/>
          </cell>
          <cell r="I407" t="str">
            <v/>
          </cell>
          <cell r="J407" t="str">
            <v/>
          </cell>
          <cell r="K407" t="str">
            <v/>
          </cell>
          <cell r="L407" t="str">
            <v/>
          </cell>
          <cell r="M407">
            <v>3980</v>
          </cell>
        </row>
        <row r="408">
          <cell r="A408" t="str">
            <v>N/A</v>
          </cell>
          <cell r="B408" t="str">
            <v/>
          </cell>
          <cell r="C408" t="str">
            <v>1 yr IOR 9x5x4 - Post Warranty (EXP300)</v>
          </cell>
          <cell r="D408">
            <v>0</v>
          </cell>
          <cell r="E408" t="str">
            <v>N/A</v>
          </cell>
          <cell r="F408">
            <v>0</v>
          </cell>
          <cell r="G408" t="str">
            <v/>
          </cell>
          <cell r="H408" t="str">
            <v/>
          </cell>
          <cell r="I408" t="str">
            <v/>
          </cell>
          <cell r="J408" t="str">
            <v/>
          </cell>
          <cell r="K408" t="str">
            <v/>
          </cell>
          <cell r="L408" t="str">
            <v/>
          </cell>
          <cell r="M408">
            <v>3990</v>
          </cell>
        </row>
        <row r="409">
          <cell r="A409" t="str">
            <v>N/A</v>
          </cell>
          <cell r="B409" t="str">
            <v/>
          </cell>
          <cell r="C409" t="str">
            <v>1 yr IOR 24x7x4 - Post Warranty (EXP300)</v>
          </cell>
          <cell r="D409">
            <v>0</v>
          </cell>
          <cell r="E409" t="str">
            <v>N/A</v>
          </cell>
          <cell r="F409">
            <v>0</v>
          </cell>
          <cell r="G409" t="str">
            <v/>
          </cell>
          <cell r="H409" t="str">
            <v/>
          </cell>
          <cell r="I409" t="str">
            <v/>
          </cell>
          <cell r="J409" t="str">
            <v/>
          </cell>
          <cell r="K409" t="str">
            <v/>
          </cell>
          <cell r="L409" t="str">
            <v/>
          </cell>
          <cell r="M409">
            <v>4000</v>
          </cell>
        </row>
        <row r="410">
          <cell r="A410" t="str">
            <v>N/A</v>
          </cell>
          <cell r="B410" t="str">
            <v/>
          </cell>
          <cell r="C410" t="str">
            <v>1 YR IOR 9x5x4 (EXP300)</v>
          </cell>
          <cell r="D410">
            <v>0</v>
          </cell>
          <cell r="E410" t="str">
            <v>N/A</v>
          </cell>
          <cell r="F410">
            <v>0</v>
          </cell>
          <cell r="G410" t="str">
            <v/>
          </cell>
          <cell r="H410" t="str">
            <v/>
          </cell>
          <cell r="I410" t="str">
            <v/>
          </cell>
          <cell r="J410" t="str">
            <v/>
          </cell>
          <cell r="K410" t="str">
            <v/>
          </cell>
          <cell r="L410" t="str">
            <v/>
          </cell>
          <cell r="M410">
            <v>4010</v>
          </cell>
        </row>
        <row r="411">
          <cell r="A411" t="str">
            <v>N/A</v>
          </cell>
          <cell r="B411" t="str">
            <v/>
          </cell>
          <cell r="C411" t="str">
            <v>2 YR IOR 9x5x4 (EXP300)</v>
          </cell>
          <cell r="D411">
            <v>0</v>
          </cell>
          <cell r="E411" t="str">
            <v>N/A</v>
          </cell>
          <cell r="F411">
            <v>0</v>
          </cell>
          <cell r="G411" t="str">
            <v/>
          </cell>
          <cell r="H411" t="str">
            <v/>
          </cell>
          <cell r="I411" t="str">
            <v/>
          </cell>
          <cell r="J411" t="str">
            <v/>
          </cell>
          <cell r="K411" t="str">
            <v/>
          </cell>
          <cell r="L411" t="str">
            <v/>
          </cell>
          <cell r="M411">
            <v>4020</v>
          </cell>
        </row>
        <row r="412">
          <cell r="A412" t="str">
            <v>N/A</v>
          </cell>
          <cell r="B412" t="str">
            <v/>
          </cell>
          <cell r="C412" t="str">
            <v>1 YR IOR 24x7x4 (EXP300)</v>
          </cell>
          <cell r="D412">
            <v>0</v>
          </cell>
          <cell r="E412" t="str">
            <v>N/A</v>
          </cell>
          <cell r="F412">
            <v>0</v>
          </cell>
          <cell r="G412" t="str">
            <v/>
          </cell>
          <cell r="H412" t="str">
            <v/>
          </cell>
          <cell r="I412" t="str">
            <v/>
          </cell>
          <cell r="J412" t="str">
            <v/>
          </cell>
          <cell r="K412" t="str">
            <v/>
          </cell>
          <cell r="L412" t="str">
            <v/>
          </cell>
          <cell r="M412">
            <v>4030</v>
          </cell>
        </row>
        <row r="413">
          <cell r="A413" t="str">
            <v>N/A</v>
          </cell>
          <cell r="B413" t="str">
            <v/>
          </cell>
          <cell r="C413" t="str">
            <v>2 YR IOR 24x7x4 (EXP300)</v>
          </cell>
          <cell r="D413">
            <v>0</v>
          </cell>
          <cell r="E413" t="str">
            <v>N/A</v>
          </cell>
          <cell r="F413">
            <v>0</v>
          </cell>
          <cell r="G413" t="str">
            <v/>
          </cell>
          <cell r="H413" t="str">
            <v/>
          </cell>
          <cell r="I413" t="str">
            <v/>
          </cell>
          <cell r="J413" t="str">
            <v/>
          </cell>
          <cell r="K413" t="str">
            <v/>
          </cell>
          <cell r="L413" t="str">
            <v/>
          </cell>
          <cell r="M413">
            <v>4040</v>
          </cell>
        </row>
        <row r="414">
          <cell r="A414" t="str">
            <v>14R1635</v>
          </cell>
          <cell r="B414" t="str">
            <v/>
          </cell>
          <cell r="C414" t="str">
            <v>3 YR IOR /8x5x4 (EXP300)</v>
          </cell>
          <cell r="D414">
            <v>0</v>
          </cell>
          <cell r="E414">
            <v>345</v>
          </cell>
          <cell r="F414">
            <v>0</v>
          </cell>
          <cell r="G414" t="str">
            <v/>
          </cell>
          <cell r="H414" t="str">
            <v/>
          </cell>
          <cell r="I414" t="str">
            <v/>
          </cell>
          <cell r="J414" t="str">
            <v/>
          </cell>
          <cell r="K414" t="str">
            <v/>
          </cell>
          <cell r="L414" t="str">
            <v/>
          </cell>
          <cell r="M414">
            <v>4050</v>
          </cell>
        </row>
        <row r="415">
          <cell r="A415" t="str">
            <v>N/A</v>
          </cell>
          <cell r="B415" t="str">
            <v/>
          </cell>
          <cell r="C415" t="str">
            <v>3 YR IOR  9x5x4 hour (EXP300)</v>
          </cell>
          <cell r="D415">
            <v>0</v>
          </cell>
          <cell r="E415" t="str">
            <v>N/A</v>
          </cell>
          <cell r="F415">
            <v>0</v>
          </cell>
          <cell r="G415" t="str">
            <v/>
          </cell>
          <cell r="H415" t="str">
            <v/>
          </cell>
          <cell r="I415" t="str">
            <v/>
          </cell>
          <cell r="J415" t="str">
            <v/>
          </cell>
          <cell r="K415" t="str">
            <v/>
          </cell>
          <cell r="L415" t="str">
            <v/>
          </cell>
          <cell r="M415">
            <v>4060</v>
          </cell>
        </row>
        <row r="416">
          <cell r="A416" t="str">
            <v>14R1636</v>
          </cell>
          <cell r="B416" t="str">
            <v/>
          </cell>
          <cell r="C416" t="str">
            <v>3 YR IOR /24x7x4 (EXP300)</v>
          </cell>
          <cell r="D416">
            <v>0</v>
          </cell>
          <cell r="E416">
            <v>1019</v>
          </cell>
          <cell r="F416">
            <v>0</v>
          </cell>
          <cell r="G416" t="str">
            <v/>
          </cell>
          <cell r="H416" t="str">
            <v/>
          </cell>
          <cell r="I416" t="str">
            <v/>
          </cell>
          <cell r="J416" t="str">
            <v/>
          </cell>
          <cell r="K416" t="str">
            <v/>
          </cell>
          <cell r="L416" t="str">
            <v/>
          </cell>
          <cell r="M416">
            <v>4070</v>
          </cell>
        </row>
        <row r="417">
          <cell r="A417" t="str">
            <v>14R1637</v>
          </cell>
          <cell r="B417" t="str">
            <v/>
          </cell>
          <cell r="C417" t="str">
            <v>3 YR IOR /24x7x2 (EXP300)</v>
          </cell>
          <cell r="D417">
            <v>0</v>
          </cell>
          <cell r="E417">
            <v>1531</v>
          </cell>
          <cell r="F417">
            <v>0</v>
          </cell>
          <cell r="G417" t="str">
            <v/>
          </cell>
          <cell r="H417" t="str">
            <v/>
          </cell>
          <cell r="I417" t="str">
            <v/>
          </cell>
          <cell r="J417" t="str">
            <v/>
          </cell>
          <cell r="K417" t="str">
            <v/>
          </cell>
          <cell r="L417" t="str">
            <v/>
          </cell>
          <cell r="M417">
            <v>4080</v>
          </cell>
        </row>
        <row r="418">
          <cell r="A418" t="str">
            <v>N/A</v>
          </cell>
          <cell r="B418" t="str">
            <v/>
          </cell>
          <cell r="C418" t="str">
            <v>5 YR IOR  24x7x4 hour (EXP300)</v>
          </cell>
          <cell r="D418">
            <v>0</v>
          </cell>
          <cell r="E418" t="str">
            <v>N/A</v>
          </cell>
          <cell r="F418">
            <v>0</v>
          </cell>
          <cell r="G418" t="str">
            <v/>
          </cell>
          <cell r="H418" t="str">
            <v/>
          </cell>
          <cell r="I418" t="str">
            <v/>
          </cell>
          <cell r="J418" t="str">
            <v/>
          </cell>
          <cell r="K418" t="str">
            <v/>
          </cell>
          <cell r="L418" t="str">
            <v/>
          </cell>
          <cell r="M418">
            <v>4090</v>
          </cell>
        </row>
        <row r="419">
          <cell r="A419" t="str">
            <v>N/A</v>
          </cell>
          <cell r="B419" t="str">
            <v/>
          </cell>
          <cell r="C419" t="str">
            <v>5 YR IOR  24x7x2 hour (EXP300)</v>
          </cell>
          <cell r="D419">
            <v>0</v>
          </cell>
          <cell r="E419" t="str">
            <v>N/A</v>
          </cell>
          <cell r="F419">
            <v>0</v>
          </cell>
          <cell r="G419" t="str">
            <v/>
          </cell>
          <cell r="H419" t="str">
            <v/>
          </cell>
          <cell r="I419" t="str">
            <v/>
          </cell>
          <cell r="J419" t="str">
            <v/>
          </cell>
          <cell r="K419" t="str">
            <v/>
          </cell>
          <cell r="L419" t="str">
            <v/>
          </cell>
          <cell r="M419">
            <v>4100</v>
          </cell>
        </row>
        <row r="420">
          <cell r="A420" t="str">
            <v>N/A</v>
          </cell>
          <cell r="B420" t="str">
            <v/>
          </cell>
          <cell r="C420" t="str">
            <v>3 YR IOR /24x7( 3 YR Parts 1 YR Laber Warranty )(EXP400)</v>
          </cell>
          <cell r="D420">
            <v>0</v>
          </cell>
          <cell r="E420" t="str">
            <v>N/A</v>
          </cell>
          <cell r="F420">
            <v>0</v>
          </cell>
          <cell r="G420" t="str">
            <v/>
          </cell>
          <cell r="H420" t="str">
            <v/>
          </cell>
          <cell r="I420" t="str">
            <v/>
          </cell>
          <cell r="J420" t="str">
            <v/>
          </cell>
          <cell r="K420" t="str">
            <v/>
          </cell>
          <cell r="L420" t="str">
            <v/>
          </cell>
          <cell r="M420">
            <v>4110</v>
          </cell>
        </row>
        <row r="421">
          <cell r="A421" t="str">
            <v>N/A</v>
          </cell>
          <cell r="B421" t="str">
            <v/>
          </cell>
          <cell r="C421" t="str">
            <v>1 YR IOR 9x5/next day (EXP400)</v>
          </cell>
          <cell r="D421">
            <v>0</v>
          </cell>
          <cell r="E421" t="str">
            <v>N/A</v>
          </cell>
          <cell r="F421">
            <v>0</v>
          </cell>
          <cell r="G421" t="str">
            <v/>
          </cell>
          <cell r="H421" t="str">
            <v/>
          </cell>
          <cell r="I421" t="str">
            <v/>
          </cell>
          <cell r="J421" t="str">
            <v/>
          </cell>
          <cell r="K421" t="str">
            <v/>
          </cell>
          <cell r="L421" t="str">
            <v/>
          </cell>
          <cell r="M421">
            <v>4120</v>
          </cell>
        </row>
        <row r="422">
          <cell r="A422" t="str">
            <v>N/A</v>
          </cell>
          <cell r="B422" t="str">
            <v/>
          </cell>
          <cell r="C422" t="str">
            <v>1 YR IOR 9x5x4 (EXP400)</v>
          </cell>
          <cell r="D422">
            <v>0</v>
          </cell>
          <cell r="E422" t="str">
            <v>N/A</v>
          </cell>
          <cell r="F422">
            <v>0</v>
          </cell>
          <cell r="G422" t="str">
            <v/>
          </cell>
          <cell r="H422" t="str">
            <v/>
          </cell>
          <cell r="I422" t="str">
            <v/>
          </cell>
          <cell r="J422" t="str">
            <v/>
          </cell>
          <cell r="K422" t="str">
            <v/>
          </cell>
          <cell r="L422" t="str">
            <v/>
          </cell>
          <cell r="M422">
            <v>4130</v>
          </cell>
        </row>
        <row r="423">
          <cell r="A423" t="str">
            <v>N/A</v>
          </cell>
          <cell r="B423" t="str">
            <v/>
          </cell>
          <cell r="C423" t="str">
            <v>1 YR IOR 24x7x4 hour (EXP400)</v>
          </cell>
          <cell r="D423">
            <v>0</v>
          </cell>
          <cell r="E423" t="str">
            <v>N/A</v>
          </cell>
          <cell r="F423">
            <v>0</v>
          </cell>
          <cell r="G423" t="str">
            <v/>
          </cell>
          <cell r="H423" t="str">
            <v/>
          </cell>
          <cell r="I423" t="str">
            <v/>
          </cell>
          <cell r="J423" t="str">
            <v/>
          </cell>
          <cell r="K423" t="str">
            <v/>
          </cell>
          <cell r="L423" t="str">
            <v/>
          </cell>
          <cell r="M423">
            <v>4140</v>
          </cell>
        </row>
        <row r="424">
          <cell r="A424" t="str">
            <v>N/A</v>
          </cell>
          <cell r="B424" t="str">
            <v/>
          </cell>
          <cell r="C424" t="str">
            <v>1 YR IOR 24x7x2 hour (EXP400)</v>
          </cell>
          <cell r="D424">
            <v>0</v>
          </cell>
          <cell r="E424" t="str">
            <v>N/A</v>
          </cell>
          <cell r="F424">
            <v>0</v>
          </cell>
          <cell r="G424" t="str">
            <v/>
          </cell>
          <cell r="H424" t="str">
            <v/>
          </cell>
          <cell r="I424" t="str">
            <v/>
          </cell>
          <cell r="J424" t="str">
            <v/>
          </cell>
          <cell r="K424" t="str">
            <v/>
          </cell>
          <cell r="L424" t="str">
            <v/>
          </cell>
          <cell r="M424">
            <v>4150</v>
          </cell>
        </row>
        <row r="425">
          <cell r="A425" t="str">
            <v>N/A</v>
          </cell>
          <cell r="B425" t="str">
            <v/>
          </cell>
          <cell r="C425" t="str">
            <v>2 YR IOR 9x5/next day(EXP400)</v>
          </cell>
          <cell r="D425">
            <v>0</v>
          </cell>
          <cell r="E425" t="str">
            <v>N/A</v>
          </cell>
          <cell r="F425">
            <v>0</v>
          </cell>
          <cell r="G425" t="str">
            <v/>
          </cell>
          <cell r="H425" t="str">
            <v/>
          </cell>
          <cell r="I425" t="str">
            <v/>
          </cell>
          <cell r="J425" t="str">
            <v/>
          </cell>
          <cell r="K425" t="str">
            <v/>
          </cell>
          <cell r="L425" t="str">
            <v/>
          </cell>
          <cell r="M425">
            <v>4160</v>
          </cell>
        </row>
        <row r="426">
          <cell r="A426" t="str">
            <v>N/A</v>
          </cell>
          <cell r="B426" t="str">
            <v/>
          </cell>
          <cell r="C426" t="str">
            <v>2 YR IOR 9x5x4 (EXP400)</v>
          </cell>
          <cell r="D426">
            <v>0</v>
          </cell>
          <cell r="E426" t="str">
            <v>N/A</v>
          </cell>
          <cell r="F426">
            <v>0</v>
          </cell>
          <cell r="G426" t="str">
            <v/>
          </cell>
          <cell r="H426" t="str">
            <v/>
          </cell>
          <cell r="I426" t="str">
            <v/>
          </cell>
          <cell r="J426" t="str">
            <v/>
          </cell>
          <cell r="K426" t="str">
            <v/>
          </cell>
          <cell r="L426" t="str">
            <v/>
          </cell>
          <cell r="M426">
            <v>4170</v>
          </cell>
        </row>
        <row r="427">
          <cell r="A427" t="str">
            <v>N/A</v>
          </cell>
          <cell r="B427" t="str">
            <v/>
          </cell>
          <cell r="C427" t="str">
            <v>2 YR IOR 24x7x4 hour (EXP400)</v>
          </cell>
          <cell r="D427">
            <v>0</v>
          </cell>
          <cell r="E427" t="str">
            <v>N/A</v>
          </cell>
          <cell r="F427">
            <v>0</v>
          </cell>
          <cell r="G427" t="str">
            <v/>
          </cell>
          <cell r="H427" t="str">
            <v/>
          </cell>
          <cell r="I427" t="str">
            <v/>
          </cell>
          <cell r="J427" t="str">
            <v/>
          </cell>
          <cell r="K427" t="str">
            <v/>
          </cell>
          <cell r="L427" t="str">
            <v/>
          </cell>
          <cell r="M427">
            <v>4180</v>
          </cell>
        </row>
        <row r="428">
          <cell r="A428" t="str">
            <v>N/A</v>
          </cell>
          <cell r="B428" t="str">
            <v/>
          </cell>
          <cell r="C428" t="str">
            <v>2 YR IOR 24x7x2 hour(EXP400)</v>
          </cell>
          <cell r="D428">
            <v>0</v>
          </cell>
          <cell r="E428" t="str">
            <v>N/A</v>
          </cell>
          <cell r="F428">
            <v>0</v>
          </cell>
          <cell r="G428" t="str">
            <v/>
          </cell>
          <cell r="H428" t="str">
            <v/>
          </cell>
          <cell r="I428" t="str">
            <v/>
          </cell>
          <cell r="J428" t="str">
            <v/>
          </cell>
          <cell r="K428" t="str">
            <v/>
          </cell>
          <cell r="L428" t="str">
            <v/>
          </cell>
          <cell r="M428">
            <v>4190</v>
          </cell>
        </row>
        <row r="429">
          <cell r="A429" t="str">
            <v>N/A</v>
          </cell>
          <cell r="B429" t="str">
            <v/>
          </cell>
          <cell r="C429" t="str">
            <v>3 YR IOR  9x5x4 hour (EXP400)</v>
          </cell>
          <cell r="D429">
            <v>0</v>
          </cell>
          <cell r="E429" t="str">
            <v>N/A</v>
          </cell>
          <cell r="F429">
            <v>0</v>
          </cell>
          <cell r="G429" t="str">
            <v/>
          </cell>
          <cell r="H429" t="str">
            <v/>
          </cell>
          <cell r="I429" t="str">
            <v/>
          </cell>
          <cell r="J429" t="str">
            <v/>
          </cell>
          <cell r="K429" t="str">
            <v/>
          </cell>
          <cell r="L429" t="str">
            <v/>
          </cell>
          <cell r="M429">
            <v>4200</v>
          </cell>
        </row>
        <row r="430">
          <cell r="A430" t="str">
            <v>N/A</v>
          </cell>
          <cell r="B430" t="str">
            <v/>
          </cell>
          <cell r="C430" t="str">
            <v>3 YR IOR  24x7x4 hour (EXP400)</v>
          </cell>
          <cell r="D430">
            <v>0</v>
          </cell>
          <cell r="E430" t="str">
            <v>N/A</v>
          </cell>
          <cell r="F430">
            <v>0</v>
          </cell>
          <cell r="G430" t="str">
            <v/>
          </cell>
          <cell r="H430" t="str">
            <v/>
          </cell>
          <cell r="I430" t="str">
            <v/>
          </cell>
          <cell r="J430" t="str">
            <v/>
          </cell>
          <cell r="K430" t="str">
            <v/>
          </cell>
          <cell r="L430" t="str">
            <v/>
          </cell>
          <cell r="M430">
            <v>4210</v>
          </cell>
        </row>
        <row r="431">
          <cell r="A431" t="str">
            <v>N/A</v>
          </cell>
          <cell r="B431" t="str">
            <v/>
          </cell>
          <cell r="C431" t="str">
            <v>3 YR IOR  24x7x2 hour (EXP400)</v>
          </cell>
          <cell r="D431">
            <v>0</v>
          </cell>
          <cell r="E431" t="str">
            <v>N/A</v>
          </cell>
          <cell r="F431">
            <v>0</v>
          </cell>
          <cell r="G431" t="str">
            <v/>
          </cell>
          <cell r="H431" t="str">
            <v/>
          </cell>
          <cell r="I431" t="str">
            <v/>
          </cell>
          <cell r="J431" t="str">
            <v/>
          </cell>
          <cell r="K431" t="str">
            <v/>
          </cell>
          <cell r="L431" t="str">
            <v/>
          </cell>
          <cell r="M431">
            <v>4220</v>
          </cell>
        </row>
        <row r="432">
          <cell r="A432" t="str">
            <v>N/A</v>
          </cell>
          <cell r="B432" t="str">
            <v/>
          </cell>
          <cell r="C432" t="str">
            <v>5 YR IOR  24x7x4 hour (EXP400)</v>
          </cell>
          <cell r="D432">
            <v>0</v>
          </cell>
          <cell r="E432" t="str">
            <v>N/A</v>
          </cell>
          <cell r="F432">
            <v>0</v>
          </cell>
          <cell r="G432" t="str">
            <v/>
          </cell>
          <cell r="H432" t="str">
            <v/>
          </cell>
          <cell r="I432" t="str">
            <v/>
          </cell>
          <cell r="J432" t="str">
            <v/>
          </cell>
          <cell r="K432" t="str">
            <v/>
          </cell>
          <cell r="L432" t="str">
            <v/>
          </cell>
          <cell r="M432">
            <v>4230</v>
          </cell>
        </row>
        <row r="433">
          <cell r="A433" t="str">
            <v>N/A</v>
          </cell>
          <cell r="B433" t="str">
            <v/>
          </cell>
          <cell r="C433" t="str">
            <v>5 YR IOR  24x7x2 hour (EXP400)</v>
          </cell>
          <cell r="D433">
            <v>0</v>
          </cell>
          <cell r="E433" t="str">
            <v>N/A</v>
          </cell>
          <cell r="F433">
            <v>0</v>
          </cell>
          <cell r="G433" t="str">
            <v/>
          </cell>
          <cell r="H433" t="str">
            <v/>
          </cell>
          <cell r="I433" t="str">
            <v/>
          </cell>
          <cell r="J433" t="str">
            <v/>
          </cell>
          <cell r="K433" t="str">
            <v/>
          </cell>
          <cell r="L433" t="str">
            <v/>
          </cell>
          <cell r="M433">
            <v>4240</v>
          </cell>
        </row>
        <row r="434">
          <cell r="A434" t="str">
            <v>29R5029</v>
          </cell>
          <cell r="B434" t="str">
            <v/>
          </cell>
          <cell r="C434" t="str">
            <v>xSeries SW 1yr, Remote dual processor</v>
          </cell>
          <cell r="D434">
            <v>0</v>
          </cell>
          <cell r="E434">
            <v>880</v>
          </cell>
          <cell r="F434">
            <v>0</v>
          </cell>
          <cell r="G434" t="str">
            <v/>
          </cell>
          <cell r="H434" t="str">
            <v/>
          </cell>
          <cell r="I434" t="str">
            <v/>
          </cell>
          <cell r="J434" t="str">
            <v/>
          </cell>
          <cell r="K434" t="str">
            <v/>
          </cell>
          <cell r="L434" t="str">
            <v/>
          </cell>
          <cell r="M434">
            <v>4250</v>
          </cell>
        </row>
        <row r="435">
          <cell r="M435">
            <v>4260</v>
          </cell>
        </row>
        <row r="436">
          <cell r="A436" t="str">
            <v>Smoothstart Services</v>
          </cell>
          <cell r="M436">
            <v>4270</v>
          </cell>
        </row>
        <row r="437">
          <cell r="M437">
            <v>4280</v>
          </cell>
        </row>
        <row r="438">
          <cell r="A438" t="str">
            <v>SPAC253</v>
          </cell>
          <cell r="B438" t="str">
            <v/>
          </cell>
          <cell r="C438" t="str">
            <v>Server Option 3 - Basic Install (unpacking of a preconfigured system, install and test)</v>
          </cell>
          <cell r="D438">
            <v>0</v>
          </cell>
          <cell r="E438">
            <v>1726</v>
          </cell>
          <cell r="F438">
            <v>0</v>
          </cell>
          <cell r="G438" t="str">
            <v/>
          </cell>
          <cell r="H438" t="str">
            <v/>
          </cell>
          <cell r="I438" t="str">
            <v/>
          </cell>
          <cell r="J438" t="str">
            <v/>
          </cell>
          <cell r="K438" t="str">
            <v/>
          </cell>
          <cell r="L438" t="str">
            <v/>
          </cell>
          <cell r="M438">
            <v>4290</v>
          </cell>
        </row>
        <row r="439">
          <cell r="A439" t="str">
            <v>SPAC293</v>
          </cell>
          <cell r="B439" t="str">
            <v/>
          </cell>
          <cell r="C439" t="str">
            <v>Server Option 3 - Enhanced (unpacking of a preconfigured system, install/NOS and test)</v>
          </cell>
          <cell r="D439">
            <v>0</v>
          </cell>
          <cell r="E439">
            <v>2632</v>
          </cell>
          <cell r="F439">
            <v>0</v>
          </cell>
          <cell r="G439" t="str">
            <v/>
          </cell>
          <cell r="H439" t="str">
            <v/>
          </cell>
          <cell r="I439" t="str">
            <v/>
          </cell>
          <cell r="J439" t="str">
            <v/>
          </cell>
          <cell r="K439" t="str">
            <v/>
          </cell>
          <cell r="L439" t="str">
            <v/>
          </cell>
          <cell r="M439">
            <v>4300</v>
          </cell>
        </row>
        <row r="440">
          <cell r="A440" t="str">
            <v>SPAC254</v>
          </cell>
          <cell r="B440" t="str">
            <v/>
          </cell>
          <cell r="C440" t="str">
            <v>Server Rack Assembly Includes installing an IBM certified rack.</v>
          </cell>
          <cell r="D440">
            <v>0</v>
          </cell>
          <cell r="E440">
            <v>395</v>
          </cell>
          <cell r="F440">
            <v>0</v>
          </cell>
          <cell r="G440" t="str">
            <v/>
          </cell>
          <cell r="H440" t="str">
            <v/>
          </cell>
          <cell r="I440" t="str">
            <v/>
          </cell>
          <cell r="J440" t="str">
            <v/>
          </cell>
          <cell r="K440" t="str">
            <v/>
          </cell>
          <cell r="L440" t="str">
            <v/>
          </cell>
          <cell r="M440">
            <v>4310</v>
          </cell>
        </row>
        <row r="441">
          <cell r="A441" t="str">
            <v>SPAC388</v>
          </cell>
          <cell r="B441" t="str">
            <v/>
          </cell>
          <cell r="C441" t="str">
            <v>Install 1 FastT &amp; 1 EXP (unpack, install, basic configure, NOS install and test)</v>
          </cell>
          <cell r="D441">
            <v>0</v>
          </cell>
          <cell r="E441">
            <v>1169</v>
          </cell>
          <cell r="F441">
            <v>0</v>
          </cell>
          <cell r="G441" t="str">
            <v/>
          </cell>
          <cell r="H441" t="str">
            <v/>
          </cell>
          <cell r="I441" t="str">
            <v/>
          </cell>
          <cell r="J441" t="str">
            <v/>
          </cell>
          <cell r="K441" t="str">
            <v/>
          </cell>
          <cell r="L441" t="str">
            <v/>
          </cell>
          <cell r="M441">
            <v>4320</v>
          </cell>
        </row>
        <row r="442">
          <cell r="A442" t="str">
            <v>SPAC389</v>
          </cell>
          <cell r="B442" t="str">
            <v/>
          </cell>
          <cell r="C442" t="str">
            <v>Install 1 FastT &amp; 1 EXP &amp; 1 additional server (unpack, install, basic configure, NOS install and test)</v>
          </cell>
          <cell r="D442">
            <v>0</v>
          </cell>
          <cell r="E442">
            <v>1749</v>
          </cell>
          <cell r="F442">
            <v>0</v>
          </cell>
          <cell r="G442" t="str">
            <v/>
          </cell>
          <cell r="H442" t="str">
            <v/>
          </cell>
          <cell r="I442" t="str">
            <v/>
          </cell>
          <cell r="J442" t="str">
            <v/>
          </cell>
          <cell r="K442" t="str">
            <v/>
          </cell>
          <cell r="L442" t="str">
            <v/>
          </cell>
          <cell r="M442">
            <v>4330</v>
          </cell>
        </row>
        <row r="443">
          <cell r="A443" t="str">
            <v>SPAC390</v>
          </cell>
          <cell r="B443" t="str">
            <v/>
          </cell>
          <cell r="C443" t="str">
            <v>Install 1 FastT &amp; 1 EXP &amp; up to 4 additional servers (unpack, install, basic configure, NOS install and test)</v>
          </cell>
          <cell r="D443">
            <v>0</v>
          </cell>
          <cell r="E443">
            <v>5227</v>
          </cell>
          <cell r="F443">
            <v>0</v>
          </cell>
          <cell r="G443" t="str">
            <v/>
          </cell>
          <cell r="H443" t="str">
            <v/>
          </cell>
          <cell r="I443" t="str">
            <v/>
          </cell>
          <cell r="J443" t="str">
            <v/>
          </cell>
          <cell r="K443" t="str">
            <v/>
          </cell>
          <cell r="L443" t="str">
            <v/>
          </cell>
          <cell r="M443">
            <v>4340</v>
          </cell>
        </row>
        <row r="444">
          <cell r="A444" t="str">
            <v>SPAC393</v>
          </cell>
          <cell r="B444" t="str">
            <v/>
          </cell>
          <cell r="C444" t="str">
            <v>Install 1additional server with SPAC389 or SPAC390</v>
          </cell>
          <cell r="D444">
            <v>0</v>
          </cell>
          <cell r="E444">
            <v>850</v>
          </cell>
          <cell r="F444">
            <v>0</v>
          </cell>
          <cell r="G444" t="str">
            <v/>
          </cell>
          <cell r="H444" t="str">
            <v/>
          </cell>
          <cell r="I444" t="str">
            <v/>
          </cell>
          <cell r="J444" t="str">
            <v/>
          </cell>
          <cell r="K444" t="str">
            <v/>
          </cell>
          <cell r="L444" t="str">
            <v/>
          </cell>
          <cell r="M444">
            <v>4350</v>
          </cell>
        </row>
        <row r="445">
          <cell r="A445" t="str">
            <v>SPAC394</v>
          </cell>
          <cell r="B445" t="str">
            <v/>
          </cell>
          <cell r="C445" t="str">
            <v>Install 1 additional EXP with SPAC388, SPAC389 or SPAC390</v>
          </cell>
          <cell r="D445">
            <v>0</v>
          </cell>
          <cell r="E445">
            <v>319</v>
          </cell>
          <cell r="F445">
            <v>0</v>
          </cell>
          <cell r="G445" t="str">
            <v/>
          </cell>
          <cell r="H445" t="str">
            <v/>
          </cell>
          <cell r="I445" t="str">
            <v/>
          </cell>
          <cell r="J445" t="str">
            <v/>
          </cell>
          <cell r="K445" t="str">
            <v/>
          </cell>
          <cell r="L445" t="str">
            <v/>
          </cell>
          <cell r="M445">
            <v>4360</v>
          </cell>
        </row>
        <row r="446">
          <cell r="M446">
            <v>4370</v>
          </cell>
        </row>
        <row r="447">
          <cell r="A447" t="str">
            <v>ContactIBM</v>
          </cell>
          <cell r="B447">
            <v>0</v>
          </cell>
          <cell r="C447" t="str">
            <v>VMware software support on 2-way (licence purchase required)</v>
          </cell>
          <cell r="D447">
            <v>0</v>
          </cell>
          <cell r="E447" t="str">
            <v>N/A</v>
          </cell>
          <cell r="F447">
            <v>0</v>
          </cell>
          <cell r="G447" t="str">
            <v/>
          </cell>
          <cell r="H447" t="str">
            <v/>
          </cell>
          <cell r="I447" t="str">
            <v/>
          </cell>
          <cell r="J447" t="str">
            <v/>
          </cell>
          <cell r="K447" t="str">
            <v/>
          </cell>
          <cell r="L447" t="str">
            <v/>
          </cell>
          <cell r="M447">
            <v>4380</v>
          </cell>
        </row>
        <row r="448">
          <cell r="M448">
            <v>4390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cess"/>
      <sheetName val="Director Remuneration"/>
      <sheetName val="Copal"/>
      <sheetName val="TB - Focus"/>
      <sheetName val="To Tally"/>
      <sheetName val="Provision Working"/>
      <sheetName val="Adv Tax"/>
      <sheetName val="Summary"/>
      <sheetName val="Provisions"/>
      <sheetName val="Adv Woff"/>
      <sheetName val="Doubtful"/>
      <sheetName val="Bad Debt"/>
      <sheetName val="Monthly P&amp;L"/>
      <sheetName val="TB - SAP"/>
      <sheetName val="Dividend Working"/>
      <sheetName val="Publish"/>
      <sheetName val="Reports"/>
      <sheetName val="BS Diff"/>
      <sheetName val="BS (2)"/>
      <sheetName val="DR"/>
      <sheetName val="PL Diff"/>
      <sheetName val="PL (2)"/>
      <sheetName val="Results"/>
      <sheetName val="Note-FA"/>
      <sheetName val="Other TBs"/>
      <sheetName val="BS"/>
      <sheetName val="PL"/>
      <sheetName val="CFS"/>
      <sheetName val="CF-W"/>
      <sheetName val="Note-1"/>
      <sheetName val="Result Diff"/>
      <sheetName val="Results Final"/>
      <sheetName val="TB"/>
      <sheetName val="Note-B"/>
      <sheetName val="DT"/>
      <sheetName val="Note-P"/>
      <sheetName val="Note-2"/>
      <sheetName val="C &amp; NC"/>
      <sheetName val="Segment"/>
      <sheetName val="Segment YTD"/>
      <sheetName val="Clients"/>
      <sheetName val="Tax Prov."/>
      <sheetName val="Segment Old"/>
      <sheetName val="Vendor bal."/>
      <sheetName val="ARCK"/>
      <sheetName val="ITax"/>
      <sheetName val="Seg Cur Qtr"/>
      <sheetName val="Seg Q3 YTD"/>
      <sheetName val="Seg Q2 YTD"/>
      <sheetName val="Seg Q3"/>
      <sheetName val="Seg Q2"/>
      <sheetName val="Seg Q1"/>
      <sheetName val="EPS"/>
      <sheetName val="Cap Adv"/>
      <sheetName val="PMS"/>
      <sheetName val="SEBI"/>
      <sheetName val="GNW"/>
      <sheetName val="NSE MT"/>
      <sheetName val="BSE MT"/>
      <sheetName val="LC Gupta "/>
      <sheetName val="NSDL"/>
      <sheetName val="CDSL"/>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C1">
            <v>1.4776705938857049E-6</v>
          </cell>
        </row>
        <row r="2">
          <cell r="A2" t="str">
            <v>G/L Account</v>
          </cell>
          <cell r="B2" t="str">
            <v>G/L Acct Long Text</v>
          </cell>
          <cell r="C2" t="str">
            <v>BIW Balance</v>
          </cell>
          <cell r="D2" t="str">
            <v>Back Date</v>
          </cell>
          <cell r="E2" t="str">
            <v>Final Balance</v>
          </cell>
        </row>
        <row r="3">
          <cell r="A3">
            <v>10100015</v>
          </cell>
          <cell r="B3" t="str">
            <v>Equity Share Capital Face Value Rs.2</v>
          </cell>
          <cell r="C3">
            <v>-462225022</v>
          </cell>
          <cell r="D3">
            <v>0</v>
          </cell>
          <cell r="E3">
            <v>-462225022</v>
          </cell>
        </row>
        <row r="4">
          <cell r="A4">
            <v>11000001</v>
          </cell>
          <cell r="B4" t="str">
            <v>Capital Redemption Reserve</v>
          </cell>
          <cell r="C4">
            <v>-360036184</v>
          </cell>
          <cell r="D4">
            <v>0</v>
          </cell>
          <cell r="E4">
            <v>-360036184</v>
          </cell>
        </row>
        <row r="5">
          <cell r="A5">
            <v>11000003</v>
          </cell>
          <cell r="B5" t="str">
            <v>Foreign Currency Translation Reserve Account</v>
          </cell>
          <cell r="C5">
            <v>-7294807</v>
          </cell>
          <cell r="D5">
            <v>0</v>
          </cell>
          <cell r="E5">
            <v>-7294807</v>
          </cell>
        </row>
        <row r="6">
          <cell r="A6">
            <v>11100000</v>
          </cell>
          <cell r="B6" t="str">
            <v>Share Premium Account</v>
          </cell>
          <cell r="C6">
            <v>-18046690.199999999</v>
          </cell>
          <cell r="D6">
            <v>0</v>
          </cell>
          <cell r="E6">
            <v>-18046690.199999999</v>
          </cell>
        </row>
        <row r="7">
          <cell r="A7">
            <v>11400000</v>
          </cell>
          <cell r="B7" t="str">
            <v>General Reserve</v>
          </cell>
          <cell r="C7">
            <v>-154535527</v>
          </cell>
          <cell r="D7">
            <v>0</v>
          </cell>
          <cell r="E7">
            <v>-154535527</v>
          </cell>
        </row>
        <row r="8">
          <cell r="A8">
            <v>11600000</v>
          </cell>
          <cell r="B8" t="str">
            <v>Balance in Profit &amp; Loss Account</v>
          </cell>
          <cell r="C8">
            <v>-1866858745.1700001</v>
          </cell>
          <cell r="D8">
            <v>0</v>
          </cell>
          <cell r="E8">
            <v>-1866858745.1700001</v>
          </cell>
        </row>
        <row r="9">
          <cell r="A9">
            <v>11610000</v>
          </cell>
          <cell r="B9" t="str">
            <v>Unappropriated Retained Earnings Prev yr</v>
          </cell>
          <cell r="C9">
            <v>903002436.50999999</v>
          </cell>
          <cell r="D9">
            <v>0</v>
          </cell>
          <cell r="E9">
            <v>903002436.50999999</v>
          </cell>
        </row>
        <row r="10">
          <cell r="A10">
            <v>12140032</v>
          </cell>
          <cell r="B10" t="str">
            <v>Auto Loan Honda City Vikas Sachdeva (Legal)</v>
          </cell>
          <cell r="C10">
            <v>-81280.899999999994</v>
          </cell>
          <cell r="D10">
            <v>0</v>
          </cell>
          <cell r="E10">
            <v>-81280.899999999994</v>
          </cell>
        </row>
        <row r="11">
          <cell r="A11">
            <v>12140154</v>
          </cell>
          <cell r="B11" t="str">
            <v>AUTO LOAN</v>
          </cell>
          <cell r="C11">
            <v>-3329942.27</v>
          </cell>
          <cell r="D11">
            <v>0</v>
          </cell>
          <cell r="E11">
            <v>-3329942.27</v>
          </cell>
        </row>
        <row r="12">
          <cell r="A12">
            <v>12160051</v>
          </cell>
          <cell r="B12" t="str">
            <v>Oriental Bank of Commerce A/c 04195011000692 O/D</v>
          </cell>
          <cell r="C12">
            <v>83361</v>
          </cell>
          <cell r="D12">
            <v>0</v>
          </cell>
          <cell r="E12">
            <v>83361</v>
          </cell>
        </row>
        <row r="13">
          <cell r="A13">
            <v>12211007</v>
          </cell>
          <cell r="B13" t="str">
            <v>Commercial Paper - Reliance</v>
          </cell>
          <cell r="C13">
            <v>-250000000</v>
          </cell>
          <cell r="D13">
            <v>0</v>
          </cell>
          <cell r="E13">
            <v>-250000000</v>
          </cell>
        </row>
        <row r="14">
          <cell r="A14">
            <v>12211010</v>
          </cell>
          <cell r="B14" t="str">
            <v>Commercial Paper - Peerless Mutual Fund</v>
          </cell>
          <cell r="C14">
            <v>-250000000</v>
          </cell>
          <cell r="D14">
            <v>0</v>
          </cell>
          <cell r="E14">
            <v>-250000000</v>
          </cell>
        </row>
        <row r="15">
          <cell r="A15">
            <v>13110100</v>
          </cell>
          <cell r="B15" t="str">
            <v>GR/IR-clearing - ext procurement - Dom</v>
          </cell>
          <cell r="C15">
            <v>-801882.24</v>
          </cell>
          <cell r="D15">
            <v>0</v>
          </cell>
          <cell r="E15">
            <v>-801882.24</v>
          </cell>
        </row>
        <row r="16">
          <cell r="A16">
            <v>13113000</v>
          </cell>
          <cell r="B16" t="str">
            <v>Salary, wages payable</v>
          </cell>
          <cell r="C16">
            <v>-7728800.5999999996</v>
          </cell>
          <cell r="D16">
            <v>0</v>
          </cell>
          <cell r="E16">
            <v>-7728800.5999999996</v>
          </cell>
        </row>
        <row r="17">
          <cell r="A17">
            <v>13113001</v>
          </cell>
          <cell r="B17" t="str">
            <v>Salary Payable</v>
          </cell>
          <cell r="C17">
            <v>0</v>
          </cell>
          <cell r="D17">
            <v>0</v>
          </cell>
          <cell r="E17">
            <v>0</v>
          </cell>
        </row>
        <row r="18">
          <cell r="A18">
            <v>13113004</v>
          </cell>
          <cell r="B18" t="str">
            <v>Incentive Payable</v>
          </cell>
          <cell r="C18">
            <v>-29003000</v>
          </cell>
          <cell r="D18">
            <v>0</v>
          </cell>
          <cell r="E18">
            <v>-29003000</v>
          </cell>
        </row>
        <row r="19">
          <cell r="A19">
            <v>13113008</v>
          </cell>
          <cell r="B19" t="str">
            <v>Other Payable</v>
          </cell>
          <cell r="C19">
            <v>-99786643.680000007</v>
          </cell>
          <cell r="D19">
            <v>0</v>
          </cell>
          <cell r="E19">
            <v>-99786643.680000007</v>
          </cell>
        </row>
        <row r="20">
          <cell r="A20">
            <v>13113012</v>
          </cell>
          <cell r="B20" t="str">
            <v>Labour Welfare Fund Payable</v>
          </cell>
          <cell r="C20">
            <v>-5028</v>
          </cell>
          <cell r="D20">
            <v>0</v>
          </cell>
          <cell r="E20">
            <v>-5028</v>
          </cell>
        </row>
        <row r="21">
          <cell r="A21">
            <v>13113350</v>
          </cell>
          <cell r="B21" t="str">
            <v>Other salary deductions - Non Statutory</v>
          </cell>
          <cell r="C21">
            <v>-14804.68</v>
          </cell>
          <cell r="D21">
            <v>0</v>
          </cell>
          <cell r="E21">
            <v>-14804.68</v>
          </cell>
        </row>
        <row r="22">
          <cell r="A22">
            <v>13113799</v>
          </cell>
          <cell r="B22" t="str">
            <v>Advance  from Customers</v>
          </cell>
          <cell r="C22">
            <v>-2446303</v>
          </cell>
          <cell r="D22">
            <v>0</v>
          </cell>
          <cell r="E22">
            <v>-2446303</v>
          </cell>
        </row>
        <row r="23">
          <cell r="A23">
            <v>13113802</v>
          </cell>
          <cell r="B23" t="str">
            <v>Deposit Received From Clients</v>
          </cell>
          <cell r="C23">
            <v>-5600000</v>
          </cell>
          <cell r="D23">
            <v>0</v>
          </cell>
          <cell r="E23">
            <v>-5600000</v>
          </cell>
        </row>
        <row r="24">
          <cell r="A24">
            <v>13113940</v>
          </cell>
          <cell r="B24" t="str">
            <v>Withholding Tax (TDS) SALARY payable</v>
          </cell>
          <cell r="C24">
            <v>-13800346.75</v>
          </cell>
          <cell r="D24">
            <v>0</v>
          </cell>
          <cell r="E24">
            <v>-13800346.75</v>
          </cell>
        </row>
        <row r="25">
          <cell r="A25">
            <v>13113941</v>
          </cell>
          <cell r="B25" t="str">
            <v>Withholding Tax (Tds) Rent Payable</v>
          </cell>
          <cell r="C25">
            <v>-468854</v>
          </cell>
          <cell r="D25">
            <v>0</v>
          </cell>
          <cell r="E25">
            <v>-468854</v>
          </cell>
        </row>
        <row r="26">
          <cell r="A26">
            <v>13113942</v>
          </cell>
          <cell r="B26" t="str">
            <v>Withholding Tax (Tds) Contractor Payable</v>
          </cell>
          <cell r="C26">
            <v>-20518</v>
          </cell>
          <cell r="D26">
            <v>0</v>
          </cell>
          <cell r="E26">
            <v>-20518</v>
          </cell>
        </row>
        <row r="27">
          <cell r="A27">
            <v>13113943</v>
          </cell>
          <cell r="B27" t="str">
            <v>Withholding Tax (Tds) Professional  Payable</v>
          </cell>
          <cell r="C27">
            <v>-325583</v>
          </cell>
          <cell r="D27">
            <v>0</v>
          </cell>
          <cell r="E27">
            <v>-325583</v>
          </cell>
        </row>
        <row r="28">
          <cell r="A28">
            <v>13113944</v>
          </cell>
          <cell r="B28" t="str">
            <v>Withholding Tax (Tds) Commission  Payable</v>
          </cell>
          <cell r="C28">
            <v>0</v>
          </cell>
          <cell r="D28">
            <v>0</v>
          </cell>
          <cell r="E28">
            <v>0</v>
          </cell>
        </row>
        <row r="29">
          <cell r="A29">
            <v>13113958</v>
          </cell>
          <cell r="B29" t="str">
            <v>Gratuity Payable</v>
          </cell>
          <cell r="C29">
            <v>-34649758.189999998</v>
          </cell>
          <cell r="D29">
            <v>0</v>
          </cell>
          <cell r="E29">
            <v>-34649758.189999998</v>
          </cell>
        </row>
        <row r="30">
          <cell r="A30">
            <v>13113961</v>
          </cell>
          <cell r="B30" t="str">
            <v>EPF Payable</v>
          </cell>
          <cell r="C30">
            <v>-71579.95</v>
          </cell>
          <cell r="D30">
            <v>0</v>
          </cell>
          <cell r="E30">
            <v>-71579.95</v>
          </cell>
        </row>
        <row r="31">
          <cell r="A31">
            <v>13113991</v>
          </cell>
          <cell r="B31" t="str">
            <v>Provision For Wealth Tax</v>
          </cell>
          <cell r="C31">
            <v>-263368</v>
          </cell>
          <cell r="D31">
            <v>0</v>
          </cell>
          <cell r="E31">
            <v>-263368</v>
          </cell>
        </row>
        <row r="32">
          <cell r="A32">
            <v>13114004</v>
          </cell>
          <cell r="B32" t="str">
            <v>Dividend Clients Payable</v>
          </cell>
          <cell r="C32">
            <v>-3865</v>
          </cell>
          <cell r="D32">
            <v>0</v>
          </cell>
          <cell r="E32">
            <v>-3865</v>
          </cell>
        </row>
        <row r="33">
          <cell r="A33">
            <v>13114020</v>
          </cell>
          <cell r="B33" t="str">
            <v>Laptop Deduction</v>
          </cell>
          <cell r="C33">
            <v>-972750</v>
          </cell>
          <cell r="D33">
            <v>0</v>
          </cell>
          <cell r="E33">
            <v>-972750</v>
          </cell>
        </row>
        <row r="34">
          <cell r="A34">
            <v>13114097</v>
          </cell>
          <cell r="B34" t="str">
            <v>CDS Service Tax</v>
          </cell>
          <cell r="C34">
            <v>-323442.90000000002</v>
          </cell>
          <cell r="D34">
            <v>0</v>
          </cell>
          <cell r="E34">
            <v>-323442.90000000002</v>
          </cell>
        </row>
        <row r="35">
          <cell r="A35">
            <v>13114102</v>
          </cell>
          <cell r="B35" t="str">
            <v>Salary Payable (C.Y.)</v>
          </cell>
          <cell r="C35">
            <v>-8900326</v>
          </cell>
          <cell r="D35">
            <v>0</v>
          </cell>
          <cell r="E35">
            <v>-8900326</v>
          </cell>
        </row>
        <row r="36">
          <cell r="A36">
            <v>13114111</v>
          </cell>
          <cell r="B36" t="str">
            <v>Provision Of Lease Rent (AS-19)</v>
          </cell>
          <cell r="C36">
            <v>-12693876.51</v>
          </cell>
          <cell r="D36">
            <v>0</v>
          </cell>
          <cell r="E36">
            <v>-12693876.51</v>
          </cell>
        </row>
        <row r="37">
          <cell r="A37">
            <v>13114411</v>
          </cell>
          <cell r="B37" t="str">
            <v>Advance  from Customers - DP</v>
          </cell>
          <cell r="C37">
            <v>-2301693.2999999998</v>
          </cell>
          <cell r="D37">
            <v>0</v>
          </cell>
          <cell r="E37">
            <v>-2301693.2999999998</v>
          </cell>
        </row>
        <row r="38">
          <cell r="A38">
            <v>14400000</v>
          </cell>
          <cell r="B38" t="str">
            <v>Prov-dimunition in value-long term investm</v>
          </cell>
          <cell r="C38">
            <v>-500000</v>
          </cell>
          <cell r="D38">
            <v>0</v>
          </cell>
          <cell r="E38">
            <v>-500000</v>
          </cell>
        </row>
        <row r="39">
          <cell r="A39">
            <v>14700000</v>
          </cell>
          <cell r="B39" t="str">
            <v>Provision-leave encashment at retirement</v>
          </cell>
          <cell r="C39">
            <v>-10358775</v>
          </cell>
          <cell r="D39">
            <v>0</v>
          </cell>
          <cell r="E39">
            <v>-10358775</v>
          </cell>
        </row>
        <row r="40">
          <cell r="A40">
            <v>14880002</v>
          </cell>
          <cell r="B40" t="str">
            <v>Corporate Dividend Tax Payable</v>
          </cell>
          <cell r="C40">
            <v>-39277571</v>
          </cell>
          <cell r="D40">
            <v>0</v>
          </cell>
          <cell r="E40">
            <v>-39277571</v>
          </cell>
        </row>
        <row r="41">
          <cell r="A41">
            <v>14890011</v>
          </cell>
          <cell r="B41" t="str">
            <v>Provision For Telephone Exp.</v>
          </cell>
          <cell r="C41">
            <v>-3752036.04</v>
          </cell>
          <cell r="D41">
            <v>0</v>
          </cell>
          <cell r="E41">
            <v>-3752036.04</v>
          </cell>
        </row>
        <row r="42">
          <cell r="A42">
            <v>14890013</v>
          </cell>
          <cell r="B42" t="str">
            <v>Provision For Doubtful Debts</v>
          </cell>
          <cell r="C42">
            <v>-92999999.629999995</v>
          </cell>
          <cell r="D42">
            <v>0</v>
          </cell>
          <cell r="E42">
            <v>-92999999.629999995</v>
          </cell>
        </row>
        <row r="43">
          <cell r="A43">
            <v>14890020</v>
          </cell>
          <cell r="B43" t="str">
            <v>Stale Cheque Account</v>
          </cell>
          <cell r="C43">
            <v>-4100557.24</v>
          </cell>
          <cell r="D43">
            <v>0</v>
          </cell>
          <cell r="E43">
            <v>-4100557.24</v>
          </cell>
        </row>
        <row r="44">
          <cell r="A44">
            <v>14890023</v>
          </cell>
          <cell r="B44" t="str">
            <v>Other Processing Charges Payable</v>
          </cell>
          <cell r="C44">
            <v>37667.5</v>
          </cell>
          <cell r="D44">
            <v>0</v>
          </cell>
          <cell r="E44">
            <v>37667.5</v>
          </cell>
        </row>
        <row r="45">
          <cell r="A45">
            <v>14890030</v>
          </cell>
          <cell r="B45" t="str">
            <v>Service Tax Payable Nse CM</v>
          </cell>
          <cell r="C45">
            <v>366817.82</v>
          </cell>
          <cell r="D45">
            <v>0</v>
          </cell>
          <cell r="E45">
            <v>366817.82</v>
          </cell>
        </row>
        <row r="46">
          <cell r="A46">
            <v>14890031</v>
          </cell>
          <cell r="B46" t="str">
            <v>Service Tax Payable Nse F&amp;O</v>
          </cell>
          <cell r="C46">
            <v>-2650166.9900000002</v>
          </cell>
          <cell r="D46">
            <v>0</v>
          </cell>
          <cell r="E46">
            <v>-2650166.9900000002</v>
          </cell>
        </row>
        <row r="47">
          <cell r="A47">
            <v>14890032</v>
          </cell>
          <cell r="B47" t="str">
            <v>Service Tax Payable Bse CM</v>
          </cell>
          <cell r="C47">
            <v>-102080.69</v>
          </cell>
          <cell r="D47">
            <v>0</v>
          </cell>
          <cell r="E47">
            <v>-102080.69</v>
          </cell>
        </row>
        <row r="48">
          <cell r="A48">
            <v>14890034</v>
          </cell>
          <cell r="B48" t="str">
            <v>Service Tax Payable Account Opening</v>
          </cell>
          <cell r="C48">
            <v>-13365</v>
          </cell>
          <cell r="D48">
            <v>0</v>
          </cell>
          <cell r="E48">
            <v>-13365</v>
          </cell>
        </row>
        <row r="49">
          <cell r="A49">
            <v>14890036</v>
          </cell>
          <cell r="B49" t="str">
            <v>Service Tax Payable Other</v>
          </cell>
          <cell r="C49">
            <v>-6406.36</v>
          </cell>
          <cell r="D49">
            <v>0</v>
          </cell>
          <cell r="E49">
            <v>-6406.36</v>
          </cell>
        </row>
        <row r="50">
          <cell r="A50">
            <v>14890051</v>
          </cell>
          <cell r="B50" t="str">
            <v>Turnover Tax Payable</v>
          </cell>
          <cell r="C50">
            <v>329822.99</v>
          </cell>
          <cell r="D50">
            <v>0</v>
          </cell>
          <cell r="E50">
            <v>329822.99</v>
          </cell>
        </row>
        <row r="51">
          <cell r="A51">
            <v>14890060</v>
          </cell>
          <cell r="B51" t="str">
            <v>Sundry Creditors- Vendors Balances Advertisement</v>
          </cell>
          <cell r="C51">
            <v>-21331</v>
          </cell>
          <cell r="D51">
            <v>0</v>
          </cell>
          <cell r="E51">
            <v>-21331</v>
          </cell>
        </row>
        <row r="52">
          <cell r="A52">
            <v>14890063</v>
          </cell>
          <cell r="B52" t="str">
            <v>Sundry Creditors- Vendors Communication</v>
          </cell>
          <cell r="C52">
            <v>-5011424.91</v>
          </cell>
          <cell r="D52">
            <v>0</v>
          </cell>
          <cell r="E52">
            <v>-5011424.91</v>
          </cell>
        </row>
        <row r="53">
          <cell r="A53">
            <v>14890070</v>
          </cell>
          <cell r="B53" t="str">
            <v>Sundry Creditors- Vendors Housekeeping</v>
          </cell>
          <cell r="C53">
            <v>0</v>
          </cell>
          <cell r="D53">
            <v>0</v>
          </cell>
          <cell r="E53">
            <v>0</v>
          </cell>
        </row>
        <row r="54">
          <cell r="A54">
            <v>14890071</v>
          </cell>
          <cell r="B54" t="str">
            <v>Sundry Creditors- Vendors Legal &amp; Professional</v>
          </cell>
          <cell r="C54">
            <v>-659217.85</v>
          </cell>
          <cell r="D54">
            <v>0</v>
          </cell>
          <cell r="E54">
            <v>-659217.85</v>
          </cell>
        </row>
        <row r="55">
          <cell r="A55">
            <v>14890072</v>
          </cell>
          <cell r="B55" t="str">
            <v>Sundry Creditors- Vendors Marketing Associates/DSA</v>
          </cell>
          <cell r="C55">
            <v>-157500</v>
          </cell>
          <cell r="D55">
            <v>0</v>
          </cell>
          <cell r="E55">
            <v>-157500</v>
          </cell>
        </row>
        <row r="56">
          <cell r="A56">
            <v>14890073</v>
          </cell>
          <cell r="B56" t="str">
            <v>Sundry Creditors- Vendors Materials</v>
          </cell>
          <cell r="C56">
            <v>-0.25</v>
          </cell>
          <cell r="D56">
            <v>0</v>
          </cell>
          <cell r="E56">
            <v>-0.25</v>
          </cell>
        </row>
        <row r="57">
          <cell r="A57">
            <v>14890077</v>
          </cell>
          <cell r="B57" t="str">
            <v>Sundry Creditors- Vendors Services</v>
          </cell>
          <cell r="C57">
            <v>-4437843.74</v>
          </cell>
          <cell r="D57">
            <v>0</v>
          </cell>
          <cell r="E57">
            <v>-4437843.74</v>
          </cell>
        </row>
        <row r="58">
          <cell r="A58">
            <v>14890078</v>
          </cell>
          <cell r="B58" t="str">
            <v>Sundry Creditors- Vendors Subbroker Distribution</v>
          </cell>
          <cell r="C58">
            <v>-930</v>
          </cell>
          <cell r="D58">
            <v>0</v>
          </cell>
          <cell r="E58">
            <v>-930</v>
          </cell>
        </row>
        <row r="59">
          <cell r="A59">
            <v>14890082</v>
          </cell>
          <cell r="B59" t="str">
            <v>Sundry Creditors-Vendors Travelling</v>
          </cell>
          <cell r="C59">
            <v>0</v>
          </cell>
          <cell r="D59">
            <v>0</v>
          </cell>
          <cell r="E59">
            <v>0</v>
          </cell>
        </row>
        <row r="60">
          <cell r="A60">
            <v>14890085</v>
          </cell>
          <cell r="B60" t="str">
            <v>Dividend Payable(Indiabulls)</v>
          </cell>
          <cell r="C60">
            <v>-231112511</v>
          </cell>
          <cell r="D60">
            <v>0</v>
          </cell>
          <cell r="E60">
            <v>-231112511</v>
          </cell>
        </row>
        <row r="61">
          <cell r="A61">
            <v>14890123</v>
          </cell>
          <cell r="B61" t="str">
            <v>Avinash Kumar</v>
          </cell>
          <cell r="C61">
            <v>-50000</v>
          </cell>
          <cell r="D61">
            <v>0</v>
          </cell>
          <cell r="E61">
            <v>-50000</v>
          </cell>
        </row>
        <row r="62">
          <cell r="A62">
            <v>14890124</v>
          </cell>
          <cell r="B62" t="str">
            <v>Gurmeet Singh Oberoi</v>
          </cell>
          <cell r="C62">
            <v>-50000</v>
          </cell>
          <cell r="D62">
            <v>0</v>
          </cell>
          <cell r="E62">
            <v>-50000</v>
          </cell>
        </row>
        <row r="63">
          <cell r="A63">
            <v>14890127</v>
          </cell>
          <cell r="B63" t="str">
            <v>Mitul Ashwin Adhiya</v>
          </cell>
          <cell r="C63">
            <v>-50000</v>
          </cell>
          <cell r="D63">
            <v>0</v>
          </cell>
          <cell r="E63">
            <v>-50000</v>
          </cell>
        </row>
        <row r="64">
          <cell r="A64">
            <v>14890148</v>
          </cell>
          <cell r="B64" t="str">
            <v>S K Singhal</v>
          </cell>
          <cell r="C64">
            <v>-10000</v>
          </cell>
          <cell r="D64">
            <v>0</v>
          </cell>
          <cell r="E64">
            <v>-10000</v>
          </cell>
        </row>
        <row r="65">
          <cell r="A65">
            <v>14890149</v>
          </cell>
          <cell r="B65" t="str">
            <v>Surinder Madhavan</v>
          </cell>
          <cell r="C65">
            <v>-1000</v>
          </cell>
          <cell r="D65">
            <v>0</v>
          </cell>
          <cell r="E65">
            <v>-1000</v>
          </cell>
        </row>
        <row r="66">
          <cell r="A66">
            <v>14890183</v>
          </cell>
          <cell r="B66" t="str">
            <v>Indiabulls DP</v>
          </cell>
          <cell r="C66">
            <v>54285335.5</v>
          </cell>
          <cell r="D66">
            <v>0</v>
          </cell>
          <cell r="E66">
            <v>54285335.5</v>
          </cell>
        </row>
        <row r="67">
          <cell r="A67">
            <v>14890185</v>
          </cell>
          <cell r="B67" t="str">
            <v>Ch Cleared In Bank</v>
          </cell>
          <cell r="C67">
            <v>-2712953.01</v>
          </cell>
          <cell r="D67">
            <v>0</v>
          </cell>
          <cell r="E67">
            <v>-2712953.01</v>
          </cell>
        </row>
        <row r="68">
          <cell r="A68">
            <v>14890186</v>
          </cell>
          <cell r="B68" t="str">
            <v>Nse Penalty Charges Payable</v>
          </cell>
          <cell r="C68">
            <v>-8317.49</v>
          </cell>
          <cell r="D68">
            <v>0</v>
          </cell>
          <cell r="E68">
            <v>-8317.49</v>
          </cell>
        </row>
        <row r="69">
          <cell r="A69">
            <v>14890367</v>
          </cell>
          <cell r="B69" t="str">
            <v>Cheque Cleared In Bank</v>
          </cell>
          <cell r="C69">
            <v>-62264</v>
          </cell>
          <cell r="D69">
            <v>0</v>
          </cell>
          <cell r="E69">
            <v>-62264</v>
          </cell>
        </row>
        <row r="70">
          <cell r="A70">
            <v>14890368</v>
          </cell>
          <cell r="B70" t="str">
            <v>Chq Cleared In Bank</v>
          </cell>
          <cell r="C70">
            <v>-372465.12</v>
          </cell>
          <cell r="D70">
            <v>0</v>
          </cell>
          <cell r="E70">
            <v>-372465.12</v>
          </cell>
        </row>
        <row r="71">
          <cell r="A71">
            <v>14890369</v>
          </cell>
          <cell r="B71" t="str">
            <v>Professional Tax  Payable</v>
          </cell>
          <cell r="C71">
            <v>-55670</v>
          </cell>
          <cell r="D71">
            <v>0</v>
          </cell>
          <cell r="E71">
            <v>-55670</v>
          </cell>
        </row>
        <row r="72">
          <cell r="A72">
            <v>14890371</v>
          </cell>
          <cell r="B72" t="str">
            <v>Service Tax  Payable -GSTAX</v>
          </cell>
          <cell r="C72">
            <v>-1134770.55</v>
          </cell>
          <cell r="D72">
            <v>0</v>
          </cell>
          <cell r="E72">
            <v>-1134770.55</v>
          </cell>
        </row>
        <row r="73">
          <cell r="A73">
            <v>14890373</v>
          </cell>
          <cell r="B73" t="str">
            <v>Advance Against Sale Of Car</v>
          </cell>
          <cell r="C73">
            <v>-2916632</v>
          </cell>
          <cell r="D73">
            <v>0</v>
          </cell>
          <cell r="E73">
            <v>-2916632</v>
          </cell>
        </row>
        <row r="74">
          <cell r="A74">
            <v>14890377</v>
          </cell>
          <cell r="B74" t="str">
            <v>Provision For Repair &amp; Maint. Expenses</v>
          </cell>
          <cell r="C74">
            <v>-458075</v>
          </cell>
          <cell r="D74">
            <v>0</v>
          </cell>
          <cell r="E74">
            <v>-458075</v>
          </cell>
        </row>
        <row r="75">
          <cell r="A75">
            <v>14890378</v>
          </cell>
          <cell r="B75" t="str">
            <v>Unpaid Equity Dividend Account 2007-08</v>
          </cell>
          <cell r="C75">
            <v>-4172453</v>
          </cell>
          <cell r="D75">
            <v>0</v>
          </cell>
          <cell r="E75">
            <v>-4172453</v>
          </cell>
        </row>
        <row r="76">
          <cell r="A76">
            <v>14890383</v>
          </cell>
          <cell r="B76" t="str">
            <v>Prov For Doubtful Advance</v>
          </cell>
          <cell r="C76">
            <v>-2677301.59</v>
          </cell>
          <cell r="D76">
            <v>0</v>
          </cell>
          <cell r="E76">
            <v>-2677301.59</v>
          </cell>
        </row>
        <row r="77">
          <cell r="A77">
            <v>14890384</v>
          </cell>
          <cell r="B77" t="str">
            <v>Deffered Tax-Liablities</v>
          </cell>
          <cell r="C77">
            <v>55520450</v>
          </cell>
          <cell r="D77">
            <v>0</v>
          </cell>
          <cell r="E77">
            <v>55520450</v>
          </cell>
        </row>
        <row r="78">
          <cell r="A78">
            <v>14890410</v>
          </cell>
          <cell r="B78" t="str">
            <v>Provision For Income Tax - 2007-08</v>
          </cell>
          <cell r="C78">
            <v>-1220860580.75</v>
          </cell>
          <cell r="D78">
            <v>0</v>
          </cell>
          <cell r="E78">
            <v>-1220860580.75</v>
          </cell>
        </row>
        <row r="79">
          <cell r="A79">
            <v>14890509</v>
          </cell>
          <cell r="B79" t="str">
            <v>Prov For Postage &amp; Couirer (C.Y.)</v>
          </cell>
          <cell r="C79">
            <v>-1778959.77</v>
          </cell>
          <cell r="D79">
            <v>0</v>
          </cell>
          <cell r="E79">
            <v>-1778959.77</v>
          </cell>
        </row>
        <row r="80">
          <cell r="A80">
            <v>14890513</v>
          </cell>
          <cell r="B80" t="str">
            <v>Prov For Electricity Expenses (C.Y.)</v>
          </cell>
          <cell r="C80">
            <v>-2728362</v>
          </cell>
          <cell r="D80">
            <v>0</v>
          </cell>
          <cell r="E80">
            <v>-2728362</v>
          </cell>
        </row>
        <row r="81">
          <cell r="A81">
            <v>14890514</v>
          </cell>
          <cell r="B81" t="str">
            <v>Prov For Repairs &amp; Maintenance (C.Y.)</v>
          </cell>
          <cell r="C81">
            <v>-1146028.1499999999</v>
          </cell>
          <cell r="D81">
            <v>0</v>
          </cell>
          <cell r="E81">
            <v>-1146028.1499999999</v>
          </cell>
        </row>
        <row r="82">
          <cell r="A82">
            <v>14890517</v>
          </cell>
          <cell r="B82" t="str">
            <v>Prov For Printing &amp; Stationary Expenses (C.Y.)</v>
          </cell>
          <cell r="C82">
            <v>-1195263.48</v>
          </cell>
          <cell r="D82">
            <v>0</v>
          </cell>
          <cell r="E82">
            <v>-1195263.48</v>
          </cell>
        </row>
        <row r="83">
          <cell r="A83">
            <v>14890521</v>
          </cell>
          <cell r="B83" t="str">
            <v>Prov For Travelling Expenses (C.Y.)</v>
          </cell>
          <cell r="C83">
            <v>-717258</v>
          </cell>
          <cell r="D83">
            <v>0</v>
          </cell>
          <cell r="E83">
            <v>-717258</v>
          </cell>
        </row>
        <row r="84">
          <cell r="A84">
            <v>14890533</v>
          </cell>
          <cell r="B84" t="str">
            <v>Provision For Fbt F.Y(08-09)</v>
          </cell>
          <cell r="C84">
            <v>0.4</v>
          </cell>
          <cell r="D84">
            <v>0</v>
          </cell>
          <cell r="E84">
            <v>0.4</v>
          </cell>
        </row>
        <row r="85">
          <cell r="A85">
            <v>14890534</v>
          </cell>
          <cell r="B85" t="str">
            <v>Prov For Office Maintenance (C.Y.)</v>
          </cell>
          <cell r="C85">
            <v>-1641029.26</v>
          </cell>
          <cell r="D85">
            <v>0</v>
          </cell>
          <cell r="E85">
            <v>-1641029.26</v>
          </cell>
        </row>
        <row r="86">
          <cell r="A86">
            <v>14890538</v>
          </cell>
          <cell r="B86" t="str">
            <v>Service tax on Manpower Deployment</v>
          </cell>
          <cell r="C86">
            <v>124307.2</v>
          </cell>
          <cell r="D86">
            <v>0</v>
          </cell>
          <cell r="E86">
            <v>124307.2</v>
          </cell>
        </row>
        <row r="87">
          <cell r="A87">
            <v>14890556</v>
          </cell>
          <cell r="B87" t="str">
            <v>Rates &amp; Tax Payable</v>
          </cell>
          <cell r="C87">
            <v>-376716</v>
          </cell>
          <cell r="D87">
            <v>0</v>
          </cell>
          <cell r="E87">
            <v>-376716</v>
          </cell>
        </row>
        <row r="88">
          <cell r="A88">
            <v>14890592</v>
          </cell>
          <cell r="B88" t="str">
            <v>Service Tax On Scheme Charges</v>
          </cell>
          <cell r="C88">
            <v>-89786.240000000005</v>
          </cell>
          <cell r="D88">
            <v>0</v>
          </cell>
          <cell r="E88">
            <v>-89786.240000000005</v>
          </cell>
        </row>
        <row r="89">
          <cell r="A89">
            <v>14890597</v>
          </cell>
          <cell r="B89" t="str">
            <v>Amc Charges Hardware (C.Y.) Payable</v>
          </cell>
          <cell r="C89">
            <v>-2020811.77</v>
          </cell>
          <cell r="D89">
            <v>0</v>
          </cell>
          <cell r="E89">
            <v>-2020811.77</v>
          </cell>
        </row>
        <row r="90">
          <cell r="A90">
            <v>14890598</v>
          </cell>
          <cell r="B90" t="str">
            <v>Amc Charges Software (C.Y.) Payable</v>
          </cell>
          <cell r="C90">
            <v>-778336.42</v>
          </cell>
          <cell r="D90">
            <v>0</v>
          </cell>
          <cell r="E90">
            <v>-778336.42</v>
          </cell>
        </row>
        <row r="91">
          <cell r="A91">
            <v>14890600</v>
          </cell>
          <cell r="B91" t="str">
            <v>Business Promotion Expenses (C.Y.) Payable</v>
          </cell>
          <cell r="C91">
            <v>-896194</v>
          </cell>
          <cell r="D91">
            <v>0</v>
          </cell>
          <cell r="E91">
            <v>-896194</v>
          </cell>
        </row>
        <row r="92">
          <cell r="A92">
            <v>14890602</v>
          </cell>
          <cell r="B92" t="str">
            <v>Commission (C.Y.) Payable</v>
          </cell>
          <cell r="C92">
            <v>-988153</v>
          </cell>
          <cell r="D92">
            <v>0</v>
          </cell>
          <cell r="E92">
            <v>-988153</v>
          </cell>
        </row>
        <row r="93">
          <cell r="A93">
            <v>14890603</v>
          </cell>
          <cell r="B93" t="str">
            <v>Content Expenses (C.Y.) Payable</v>
          </cell>
          <cell r="C93">
            <v>-500836</v>
          </cell>
          <cell r="D93">
            <v>0</v>
          </cell>
          <cell r="E93">
            <v>-500836</v>
          </cell>
        </row>
        <row r="94">
          <cell r="A94">
            <v>14890604</v>
          </cell>
          <cell r="B94" t="str">
            <v>Depository Charges (C.Y.) Payable</v>
          </cell>
          <cell r="C94">
            <v>-422148.06</v>
          </cell>
          <cell r="D94">
            <v>0</v>
          </cell>
          <cell r="E94">
            <v>-422148.06</v>
          </cell>
        </row>
        <row r="95">
          <cell r="A95">
            <v>14890608</v>
          </cell>
          <cell r="B95" t="str">
            <v>Interest On Car Loans (C.Y.) Payable</v>
          </cell>
          <cell r="C95">
            <v>0</v>
          </cell>
          <cell r="D95">
            <v>0</v>
          </cell>
          <cell r="E95">
            <v>0</v>
          </cell>
        </row>
        <row r="96">
          <cell r="A96">
            <v>14890610</v>
          </cell>
          <cell r="B96" t="str">
            <v>Lease line Charges (C.Y.) Payable</v>
          </cell>
          <cell r="C96">
            <v>-1886000</v>
          </cell>
          <cell r="D96">
            <v>0</v>
          </cell>
          <cell r="E96">
            <v>-1886000</v>
          </cell>
        </row>
        <row r="97">
          <cell r="A97">
            <v>14890611</v>
          </cell>
          <cell r="B97" t="str">
            <v>Legal &amp; Professional Expenses (C.Y.) Payable</v>
          </cell>
          <cell r="C97">
            <v>-3395406.44</v>
          </cell>
          <cell r="D97">
            <v>0</v>
          </cell>
          <cell r="E97">
            <v>-3395406.44</v>
          </cell>
        </row>
        <row r="98">
          <cell r="A98">
            <v>14890622</v>
          </cell>
          <cell r="B98" t="str">
            <v>Software Charges (C.Y.) Payable</v>
          </cell>
          <cell r="C98">
            <v>-461257</v>
          </cell>
          <cell r="D98">
            <v>0</v>
          </cell>
          <cell r="E98">
            <v>-461257</v>
          </cell>
        </row>
        <row r="99">
          <cell r="A99">
            <v>14890623</v>
          </cell>
          <cell r="B99" t="str">
            <v>Staff Welfare Expenses (C.Y.) Payable</v>
          </cell>
          <cell r="C99">
            <v>-449583</v>
          </cell>
          <cell r="D99">
            <v>0</v>
          </cell>
          <cell r="E99">
            <v>-449583</v>
          </cell>
        </row>
        <row r="100">
          <cell r="A100">
            <v>14890624</v>
          </cell>
          <cell r="B100" t="str">
            <v>Telephone Expense (C.Y.) Payable</v>
          </cell>
          <cell r="C100">
            <v>-3315927.14</v>
          </cell>
          <cell r="D100">
            <v>0</v>
          </cell>
          <cell r="E100">
            <v>-3315927.14</v>
          </cell>
        </row>
        <row r="101">
          <cell r="A101">
            <v>14890625</v>
          </cell>
          <cell r="B101" t="str">
            <v>Transaction Charges (C.Y.) Payable</v>
          </cell>
          <cell r="C101">
            <v>0</v>
          </cell>
          <cell r="D101">
            <v>0</v>
          </cell>
          <cell r="E101">
            <v>0</v>
          </cell>
        </row>
        <row r="102">
          <cell r="A102">
            <v>14890627</v>
          </cell>
          <cell r="B102" t="str">
            <v>V Sat Charges (C.Y.) Payable</v>
          </cell>
          <cell r="C102">
            <v>-798000.54</v>
          </cell>
          <cell r="D102">
            <v>0</v>
          </cell>
          <cell r="E102">
            <v>-798000.54</v>
          </cell>
        </row>
        <row r="103">
          <cell r="A103">
            <v>14890628</v>
          </cell>
          <cell r="B103" t="str">
            <v>Web Hosting Charges (C.Y.) Payable</v>
          </cell>
          <cell r="C103">
            <v>-1507000</v>
          </cell>
          <cell r="D103">
            <v>0</v>
          </cell>
          <cell r="E103">
            <v>-1507000</v>
          </cell>
        </row>
        <row r="104">
          <cell r="A104">
            <v>14890640</v>
          </cell>
          <cell r="B104" t="str">
            <v>Prov. For Membership &amp; Subscription Fee (C.Y.)</v>
          </cell>
          <cell r="C104">
            <v>-400000</v>
          </cell>
          <cell r="D104">
            <v>0</v>
          </cell>
          <cell r="E104">
            <v>-400000</v>
          </cell>
        </row>
        <row r="105">
          <cell r="A105">
            <v>14890643</v>
          </cell>
          <cell r="B105" t="str">
            <v>Prov. For Statutory Fee (C.Y.)</v>
          </cell>
          <cell r="C105">
            <v>-5250000</v>
          </cell>
          <cell r="D105">
            <v>0</v>
          </cell>
          <cell r="E105">
            <v>-5250000</v>
          </cell>
        </row>
        <row r="106">
          <cell r="A106">
            <v>14890671</v>
          </cell>
          <cell r="B106" t="str">
            <v>Provision For Doubtful Security Deposits</v>
          </cell>
          <cell r="C106">
            <v>-16903402.91</v>
          </cell>
          <cell r="D106">
            <v>0</v>
          </cell>
          <cell r="E106">
            <v>-16903402.91</v>
          </cell>
        </row>
        <row r="107">
          <cell r="A107">
            <v>14890687</v>
          </cell>
          <cell r="B107" t="str">
            <v>ISL Unpaid Equity Dividend Account 2008-09</v>
          </cell>
          <cell r="C107">
            <v>-2008790</v>
          </cell>
          <cell r="D107">
            <v>0</v>
          </cell>
          <cell r="E107">
            <v>-2008790</v>
          </cell>
        </row>
        <row r="108">
          <cell r="A108">
            <v>14890697</v>
          </cell>
          <cell r="B108" t="str">
            <v>Client To Client Auction</v>
          </cell>
          <cell r="C108">
            <v>-6190033.6200000001</v>
          </cell>
          <cell r="D108">
            <v>0</v>
          </cell>
          <cell r="E108">
            <v>-6190033.6200000001</v>
          </cell>
        </row>
        <row r="109">
          <cell r="A109">
            <v>14890730</v>
          </cell>
          <cell r="B109" t="str">
            <v>ISL Unpaid Equity Dividend Account 2009-10</v>
          </cell>
          <cell r="C109">
            <v>-2487704</v>
          </cell>
          <cell r="D109">
            <v>0</v>
          </cell>
          <cell r="E109">
            <v>-2487704</v>
          </cell>
        </row>
        <row r="110">
          <cell r="A110">
            <v>14890731</v>
          </cell>
          <cell r="B110" t="str">
            <v>Security Deposit from Authorised Persons</v>
          </cell>
          <cell r="C110">
            <v>-1410669</v>
          </cell>
          <cell r="D110">
            <v>0</v>
          </cell>
          <cell r="E110">
            <v>-1410669</v>
          </cell>
        </row>
        <row r="111">
          <cell r="A111">
            <v>14890732</v>
          </cell>
          <cell r="B111" t="str">
            <v>Provision For Income Tax F.Y(2010-11)</v>
          </cell>
          <cell r="C111">
            <v>-240943552</v>
          </cell>
          <cell r="D111">
            <v>0</v>
          </cell>
          <cell r="E111">
            <v>-240943552</v>
          </cell>
        </row>
        <row r="112">
          <cell r="A112">
            <v>14890736</v>
          </cell>
          <cell r="B112" t="str">
            <v>Security Deposit - Vehicle</v>
          </cell>
          <cell r="C112">
            <v>-894991</v>
          </cell>
          <cell r="D112">
            <v>0</v>
          </cell>
          <cell r="E112">
            <v>-894991</v>
          </cell>
        </row>
        <row r="113">
          <cell r="A113">
            <v>14890751</v>
          </cell>
          <cell r="B113" t="str">
            <v>Unpaid Interim Dividend a/c 10-11</v>
          </cell>
          <cell r="C113">
            <v>-1879551</v>
          </cell>
          <cell r="D113">
            <v>0</v>
          </cell>
          <cell r="E113">
            <v>-1879551</v>
          </cell>
        </row>
        <row r="114">
          <cell r="A114">
            <v>14890772</v>
          </cell>
          <cell r="B114" t="str">
            <v>Provison for Stamp Duty (C.Y)</v>
          </cell>
          <cell r="C114">
            <v>0</v>
          </cell>
          <cell r="D114">
            <v>0</v>
          </cell>
          <cell r="E114">
            <v>0</v>
          </cell>
        </row>
        <row r="115">
          <cell r="A115">
            <v>14890777</v>
          </cell>
          <cell r="B115" t="str">
            <v>AP- DIVIDEND PAYABLE</v>
          </cell>
          <cell r="C115">
            <v>-31714.6</v>
          </cell>
          <cell r="D115">
            <v>0</v>
          </cell>
          <cell r="E115">
            <v>-31714.6</v>
          </cell>
        </row>
        <row r="116">
          <cell r="A116">
            <v>14890789</v>
          </cell>
          <cell r="B116" t="str">
            <v>Provision For Income Tax F.Y(2011-12)</v>
          </cell>
          <cell r="C116">
            <v>-50610000</v>
          </cell>
          <cell r="D116">
            <v>0</v>
          </cell>
          <cell r="E116">
            <v>-50610000</v>
          </cell>
        </row>
        <row r="117">
          <cell r="A117">
            <v>14890825</v>
          </cell>
          <cell r="B117" t="str">
            <v>Interest Payable - Custodial FD</v>
          </cell>
          <cell r="C117">
            <v>-85507205.819999993</v>
          </cell>
          <cell r="D117">
            <v>0</v>
          </cell>
          <cell r="E117">
            <v>-85507205.819999993</v>
          </cell>
        </row>
        <row r="118">
          <cell r="A118">
            <v>14890853</v>
          </cell>
          <cell r="B118" t="str">
            <v>Other Liabilities</v>
          </cell>
          <cell r="C118">
            <v>-10871546.039999999</v>
          </cell>
          <cell r="D118">
            <v>0</v>
          </cell>
          <cell r="E118">
            <v>-10871546.039999999</v>
          </cell>
        </row>
        <row r="119">
          <cell r="A119">
            <v>14890857</v>
          </cell>
          <cell r="B119" t="str">
            <v>Income Tax Refund FY 2010-11</v>
          </cell>
          <cell r="C119">
            <v>-36375187</v>
          </cell>
          <cell r="D119">
            <v>0</v>
          </cell>
          <cell r="E119">
            <v>-36375187</v>
          </cell>
        </row>
        <row r="120">
          <cell r="A120">
            <v>14890858</v>
          </cell>
          <cell r="B120" t="str">
            <v>MANOHARMMA HOTEL INVEST PVT LTD DIVIDEND SUNTV</v>
          </cell>
          <cell r="C120">
            <v>-59108</v>
          </cell>
          <cell r="D120">
            <v>0</v>
          </cell>
          <cell r="E120">
            <v>-59108</v>
          </cell>
        </row>
        <row r="121">
          <cell r="A121">
            <v>14890891</v>
          </cell>
          <cell r="B121" t="str">
            <v>Provision For Income Tax F.Y(2012-13)</v>
          </cell>
          <cell r="C121">
            <v>-136600000</v>
          </cell>
          <cell r="D121">
            <v>0</v>
          </cell>
          <cell r="E121">
            <v>-136600000</v>
          </cell>
        </row>
        <row r="122">
          <cell r="A122">
            <v>14890893</v>
          </cell>
          <cell r="B122" t="str">
            <v>ST Pay-Receiver-GTA</v>
          </cell>
          <cell r="C122">
            <v>15.4</v>
          </cell>
          <cell r="D122">
            <v>0</v>
          </cell>
          <cell r="E122">
            <v>15.4</v>
          </cell>
        </row>
        <row r="123">
          <cell r="A123">
            <v>14890894</v>
          </cell>
          <cell r="B123" t="str">
            <v>ST Pay-Receiver-Legal Services</v>
          </cell>
          <cell r="C123">
            <v>-103811.64</v>
          </cell>
          <cell r="D123">
            <v>0</v>
          </cell>
          <cell r="E123">
            <v>-103811.64</v>
          </cell>
        </row>
        <row r="124">
          <cell r="A124">
            <v>14890896</v>
          </cell>
          <cell r="B124" t="str">
            <v>ST Pay-Receiver-Car Hire</v>
          </cell>
          <cell r="C124">
            <v>17.489999999999998</v>
          </cell>
          <cell r="D124">
            <v>0</v>
          </cell>
          <cell r="E124">
            <v>17.489999999999998</v>
          </cell>
        </row>
        <row r="125">
          <cell r="A125">
            <v>14890897</v>
          </cell>
          <cell r="B125" t="str">
            <v>ST Pay-Receiver-Manpower/Security Service</v>
          </cell>
          <cell r="C125">
            <v>-12008.92</v>
          </cell>
          <cell r="D125">
            <v>0</v>
          </cell>
          <cell r="E125">
            <v>-12008.92</v>
          </cell>
        </row>
        <row r="126">
          <cell r="A126">
            <v>14890898</v>
          </cell>
          <cell r="B126" t="str">
            <v>ST Pay-Receiver-Work Contract</v>
          </cell>
          <cell r="C126">
            <v>12.1</v>
          </cell>
          <cell r="D126">
            <v>0</v>
          </cell>
          <cell r="E126">
            <v>12.1</v>
          </cell>
        </row>
        <row r="127">
          <cell r="A127">
            <v>14890909</v>
          </cell>
          <cell r="B127" t="str">
            <v>Unpaid Interim Dividend a/c FY 2012-13</v>
          </cell>
          <cell r="C127">
            <v>-2771435</v>
          </cell>
          <cell r="D127">
            <v>0</v>
          </cell>
          <cell r="E127">
            <v>-2771435</v>
          </cell>
        </row>
        <row r="128">
          <cell r="A128">
            <v>14890916</v>
          </cell>
          <cell r="B128" t="str">
            <v>Unpaid Interim Dividend a/c 12-13 -II</v>
          </cell>
          <cell r="C128">
            <v>-2749319</v>
          </cell>
          <cell r="D128">
            <v>0</v>
          </cell>
          <cell r="E128">
            <v>-2749319</v>
          </cell>
        </row>
        <row r="129">
          <cell r="A129">
            <v>15000011</v>
          </cell>
          <cell r="B129" t="str">
            <v>Sundry Creditors Vendors Fixed Assets &amp; Other</v>
          </cell>
          <cell r="C129">
            <v>-12804404.060000001</v>
          </cell>
          <cell r="D129">
            <v>0</v>
          </cell>
          <cell r="E129">
            <v>-12804404.060000001</v>
          </cell>
        </row>
        <row r="130">
          <cell r="A130">
            <v>15000018</v>
          </cell>
          <cell r="B130" t="str">
            <v>Sundry Creditors Vendors Emp (Other Than Salary)</v>
          </cell>
          <cell r="C130">
            <v>122784.66</v>
          </cell>
          <cell r="D130">
            <v>0</v>
          </cell>
          <cell r="E130">
            <v>122784.66</v>
          </cell>
        </row>
        <row r="131">
          <cell r="A131">
            <v>15000024</v>
          </cell>
          <cell r="B131" t="str">
            <v>Sundry Creditors- Vendors Misc</v>
          </cell>
          <cell r="C131">
            <v>-2487881.38</v>
          </cell>
          <cell r="D131">
            <v>0</v>
          </cell>
          <cell r="E131">
            <v>-2487881.38</v>
          </cell>
        </row>
        <row r="132">
          <cell r="A132">
            <v>15000025</v>
          </cell>
          <cell r="B132" t="str">
            <v>Sundry Creditors -Vendors (Landlord)</v>
          </cell>
          <cell r="C132">
            <v>-2069720.25</v>
          </cell>
          <cell r="D132">
            <v>0</v>
          </cell>
          <cell r="E132">
            <v>-2069720.25</v>
          </cell>
        </row>
        <row r="133">
          <cell r="A133">
            <v>15000026</v>
          </cell>
          <cell r="B133" t="str">
            <v>Sundry Creditors- Vendors Security Services</v>
          </cell>
          <cell r="C133">
            <v>-9911</v>
          </cell>
          <cell r="D133">
            <v>0</v>
          </cell>
          <cell r="E133">
            <v>-9911</v>
          </cell>
        </row>
        <row r="134">
          <cell r="A134">
            <v>20500000</v>
          </cell>
          <cell r="B134" t="str">
            <v>Computers and peripherals - Cost</v>
          </cell>
          <cell r="C134">
            <v>435517836.99000001</v>
          </cell>
          <cell r="D134">
            <v>0</v>
          </cell>
          <cell r="E134">
            <v>435517836.99000001</v>
          </cell>
        </row>
        <row r="135">
          <cell r="A135">
            <v>20510000</v>
          </cell>
          <cell r="B135" t="str">
            <v>Computers and peripherals -Acc dep</v>
          </cell>
          <cell r="C135">
            <v>-397566370.31</v>
          </cell>
          <cell r="D135">
            <v>0</v>
          </cell>
          <cell r="E135">
            <v>-397566370.31</v>
          </cell>
        </row>
        <row r="136">
          <cell r="A136">
            <v>20600000</v>
          </cell>
          <cell r="B136" t="str">
            <v>Furnitures - Cost</v>
          </cell>
          <cell r="C136">
            <v>140149717.40000001</v>
          </cell>
          <cell r="D136">
            <v>0</v>
          </cell>
          <cell r="E136">
            <v>140149717.40000001</v>
          </cell>
        </row>
        <row r="137">
          <cell r="A137">
            <v>20602000</v>
          </cell>
          <cell r="B137" t="str">
            <v>Office equipment - Cost</v>
          </cell>
          <cell r="C137">
            <v>221286227.58000001</v>
          </cell>
          <cell r="D137">
            <v>0</v>
          </cell>
          <cell r="E137">
            <v>221286227.58000001</v>
          </cell>
        </row>
        <row r="138">
          <cell r="A138">
            <v>20610000</v>
          </cell>
          <cell r="B138" t="str">
            <v>Acc dep - Furnitures</v>
          </cell>
          <cell r="C138">
            <v>-64333755.890000001</v>
          </cell>
          <cell r="D138">
            <v>0</v>
          </cell>
          <cell r="E138">
            <v>-64333755.890000001</v>
          </cell>
        </row>
        <row r="139">
          <cell r="A139">
            <v>20612000</v>
          </cell>
          <cell r="B139" t="str">
            <v>Acc dep-Office equipment</v>
          </cell>
          <cell r="C139">
            <v>-73981757.269999996</v>
          </cell>
          <cell r="D139">
            <v>0</v>
          </cell>
          <cell r="E139">
            <v>-73981757.269999996</v>
          </cell>
        </row>
        <row r="140">
          <cell r="A140">
            <v>20700000</v>
          </cell>
          <cell r="B140" t="str">
            <v>Vehicles - Cost</v>
          </cell>
          <cell r="C140">
            <v>75959727</v>
          </cell>
          <cell r="D140">
            <v>0</v>
          </cell>
          <cell r="E140">
            <v>75959727</v>
          </cell>
        </row>
        <row r="141">
          <cell r="A141">
            <v>20710000</v>
          </cell>
          <cell r="B141" t="str">
            <v>Vehicles -Acc dep</v>
          </cell>
          <cell r="C141">
            <v>-43611616.770000003</v>
          </cell>
          <cell r="D141">
            <v>0</v>
          </cell>
          <cell r="E141">
            <v>-43611616.770000003</v>
          </cell>
        </row>
        <row r="142">
          <cell r="A142">
            <v>20810001</v>
          </cell>
          <cell r="B142" t="str">
            <v>Software-Cost</v>
          </cell>
          <cell r="C142">
            <v>596860049.74000001</v>
          </cell>
          <cell r="D142">
            <v>0</v>
          </cell>
          <cell r="E142">
            <v>596860049.74000001</v>
          </cell>
        </row>
        <row r="143">
          <cell r="A143">
            <v>20810002</v>
          </cell>
          <cell r="B143" t="str">
            <v>Software-Acc dep</v>
          </cell>
          <cell r="C143">
            <v>-593235495.19000006</v>
          </cell>
          <cell r="D143">
            <v>0</v>
          </cell>
          <cell r="E143">
            <v>-593235495.19000006</v>
          </cell>
        </row>
        <row r="144">
          <cell r="A144">
            <v>20810003</v>
          </cell>
          <cell r="B144" t="str">
            <v>BSE-Membership Rights</v>
          </cell>
          <cell r="C144">
            <v>7005000</v>
          </cell>
          <cell r="D144">
            <v>0</v>
          </cell>
          <cell r="E144">
            <v>7005000</v>
          </cell>
        </row>
        <row r="145">
          <cell r="A145">
            <v>20810004</v>
          </cell>
          <cell r="B145" t="str">
            <v>BSE-Membership Rights-Acc dep</v>
          </cell>
          <cell r="C145">
            <v>-7005000</v>
          </cell>
          <cell r="D145">
            <v>0</v>
          </cell>
          <cell r="E145">
            <v>-7005000</v>
          </cell>
        </row>
        <row r="146">
          <cell r="A146">
            <v>22001002</v>
          </cell>
          <cell r="B146" t="str">
            <v>Investment In Bse</v>
          </cell>
          <cell r="C146">
            <v>10000</v>
          </cell>
          <cell r="D146">
            <v>0</v>
          </cell>
          <cell r="E146">
            <v>10000</v>
          </cell>
        </row>
        <row r="147">
          <cell r="A147">
            <v>22010158</v>
          </cell>
          <cell r="B147" t="str">
            <v>Investment in Copal Partners Limited</v>
          </cell>
          <cell r="C147">
            <v>125332487.87</v>
          </cell>
          <cell r="D147">
            <v>0</v>
          </cell>
          <cell r="E147">
            <v>125332487.87</v>
          </cell>
        </row>
        <row r="148">
          <cell r="A148">
            <v>22011131</v>
          </cell>
          <cell r="B148" t="str">
            <v>Investment in Subsidiary</v>
          </cell>
          <cell r="C148">
            <v>62500000</v>
          </cell>
          <cell r="D148">
            <v>0</v>
          </cell>
          <cell r="E148">
            <v>62500000</v>
          </cell>
        </row>
        <row r="149">
          <cell r="A149">
            <v>22401079</v>
          </cell>
          <cell r="B149" t="str">
            <v>Investment in Indiabulls Mutual Fund</v>
          </cell>
          <cell r="C149">
            <v>-0.37</v>
          </cell>
          <cell r="D149">
            <v>0</v>
          </cell>
          <cell r="E149">
            <v>-0.37</v>
          </cell>
        </row>
        <row r="150">
          <cell r="A150">
            <v>23500090</v>
          </cell>
          <cell r="B150" t="str">
            <v>Hdfc Bank (Brokers) 10340005474</v>
          </cell>
          <cell r="C150">
            <v>54843.88</v>
          </cell>
          <cell r="D150">
            <v>0</v>
          </cell>
          <cell r="E150">
            <v>54843.88</v>
          </cell>
        </row>
        <row r="151">
          <cell r="A151">
            <v>23500190</v>
          </cell>
          <cell r="B151" t="str">
            <v>Icici Bank  &lt;Delhi&gt; 05/22 705000229</v>
          </cell>
          <cell r="C151">
            <v>-9928337.2699999996</v>
          </cell>
          <cell r="D151">
            <v>0</v>
          </cell>
          <cell r="E151">
            <v>-9928337.2699999996</v>
          </cell>
        </row>
        <row r="152">
          <cell r="A152">
            <v>23500270</v>
          </cell>
          <cell r="B152" t="str">
            <v>Ing Vysya Bank 503011007955</v>
          </cell>
          <cell r="C152">
            <v>986172.96</v>
          </cell>
          <cell r="D152">
            <v>0</v>
          </cell>
          <cell r="E152">
            <v>986172.96</v>
          </cell>
        </row>
        <row r="153">
          <cell r="A153">
            <v>23500380</v>
          </cell>
          <cell r="B153" t="str">
            <v>ISL A/c No-02612340000011 HDFC BANK LTD</v>
          </cell>
          <cell r="C153">
            <v>20911.75</v>
          </cell>
          <cell r="D153">
            <v>0</v>
          </cell>
          <cell r="E153">
            <v>20911.75</v>
          </cell>
        </row>
        <row r="154">
          <cell r="A154">
            <v>23500400</v>
          </cell>
          <cell r="B154" t="str">
            <v>ISL A/c No-01270340002975 HDFC BANK LTD</v>
          </cell>
          <cell r="C154">
            <v>-223.94</v>
          </cell>
          <cell r="D154">
            <v>0</v>
          </cell>
          <cell r="E154">
            <v>-223.94</v>
          </cell>
        </row>
        <row r="155">
          <cell r="A155">
            <v>23500410</v>
          </cell>
          <cell r="B155" t="str">
            <v>ISL A/c No-00880340000064 HDFC BANK LTD</v>
          </cell>
          <cell r="C155">
            <v>14849.02</v>
          </cell>
          <cell r="D155">
            <v>0</v>
          </cell>
          <cell r="E155">
            <v>14849.02</v>
          </cell>
        </row>
        <row r="156">
          <cell r="A156">
            <v>23500470</v>
          </cell>
          <cell r="B156" t="str">
            <v>ISL -ICICI-HO -000705001615</v>
          </cell>
          <cell r="C156">
            <v>307622.17</v>
          </cell>
          <cell r="D156">
            <v>0</v>
          </cell>
          <cell r="E156">
            <v>307622.17</v>
          </cell>
        </row>
        <row r="157">
          <cell r="A157">
            <v>23500490</v>
          </cell>
          <cell r="B157" t="str">
            <v>Standard Chartered Bank-52505051059</v>
          </cell>
          <cell r="C157">
            <v>57846.559999999998</v>
          </cell>
          <cell r="D157">
            <v>0</v>
          </cell>
          <cell r="E157">
            <v>57846.559999999998</v>
          </cell>
        </row>
        <row r="158">
          <cell r="A158">
            <v>23500560</v>
          </cell>
          <cell r="B158" t="str">
            <v>0030340018472-HDFC ISL</v>
          </cell>
          <cell r="C158">
            <v>-1202409.26</v>
          </cell>
          <cell r="D158">
            <v>0</v>
          </cell>
          <cell r="E158">
            <v>-1202409.26</v>
          </cell>
        </row>
        <row r="159">
          <cell r="A159">
            <v>23500570</v>
          </cell>
          <cell r="B159" t="str">
            <v>Dena Bank a/c no116211001016</v>
          </cell>
          <cell r="C159">
            <v>6651.7</v>
          </cell>
          <cell r="D159">
            <v>0</v>
          </cell>
          <cell r="E159">
            <v>6651.7</v>
          </cell>
        </row>
        <row r="160">
          <cell r="A160">
            <v>23500640</v>
          </cell>
          <cell r="B160" t="str">
            <v>Union Bank Of India Mumbai 317901010025136</v>
          </cell>
          <cell r="C160">
            <v>12688.8</v>
          </cell>
          <cell r="D160">
            <v>0</v>
          </cell>
          <cell r="E160">
            <v>12688.8</v>
          </cell>
        </row>
        <row r="161">
          <cell r="A161">
            <v>23500660</v>
          </cell>
          <cell r="B161" t="str">
            <v>Royal Bank of Scotland (ABN) 6523927</v>
          </cell>
          <cell r="C161">
            <v>95095.79</v>
          </cell>
          <cell r="D161">
            <v>0</v>
          </cell>
          <cell r="E161">
            <v>95095.79</v>
          </cell>
        </row>
        <row r="162">
          <cell r="A162">
            <v>23500670</v>
          </cell>
          <cell r="B162" t="str">
            <v>Hdfc Bank A/C - Nri Product (5982340002925)</v>
          </cell>
          <cell r="C162">
            <v>9102.1200000000008</v>
          </cell>
          <cell r="D162">
            <v>0</v>
          </cell>
          <cell r="E162">
            <v>9102.1200000000008</v>
          </cell>
        </row>
        <row r="163">
          <cell r="A163">
            <v>23500840</v>
          </cell>
          <cell r="B163" t="str">
            <v>ISL A/c No-00030340022261 HDFC BANK LTD</v>
          </cell>
          <cell r="C163">
            <v>1244.23</v>
          </cell>
          <cell r="D163">
            <v>0</v>
          </cell>
          <cell r="E163">
            <v>1244.23</v>
          </cell>
        </row>
        <row r="164">
          <cell r="A164">
            <v>23500890</v>
          </cell>
          <cell r="B164" t="str">
            <v>ICICI Bank ( Mumbai) A/C 000405015895</v>
          </cell>
          <cell r="C164">
            <v>5422373.6699999999</v>
          </cell>
          <cell r="D164">
            <v>0</v>
          </cell>
          <cell r="E164">
            <v>5422373.6699999999</v>
          </cell>
        </row>
        <row r="165">
          <cell r="A165">
            <v>23500900</v>
          </cell>
          <cell r="B165" t="str">
            <v>ISL A/c No-00780340000853 HDFC BANK LTD</v>
          </cell>
          <cell r="C165">
            <v>99466.55</v>
          </cell>
          <cell r="D165">
            <v>0</v>
          </cell>
          <cell r="E165">
            <v>99466.55</v>
          </cell>
        </row>
        <row r="166">
          <cell r="A166">
            <v>23500940</v>
          </cell>
          <cell r="B166" t="str">
            <v>Karnataka Bank-Mumbai A/c 1012000100615201</v>
          </cell>
          <cell r="C166">
            <v>9451.5</v>
          </cell>
          <cell r="D166">
            <v>0</v>
          </cell>
          <cell r="E166">
            <v>9451.5</v>
          </cell>
        </row>
        <row r="167">
          <cell r="A167">
            <v>23501000</v>
          </cell>
          <cell r="B167" t="str">
            <v>ISL A/c No-00040340002766 HDFC BANK LTD</v>
          </cell>
          <cell r="C167">
            <v>110546.63</v>
          </cell>
          <cell r="D167">
            <v>0</v>
          </cell>
          <cell r="E167">
            <v>110546.63</v>
          </cell>
        </row>
        <row r="168">
          <cell r="A168">
            <v>23501330</v>
          </cell>
          <cell r="B168" t="str">
            <v>Royal Bank of Scotland (Dividend A/C04-05) 6528414</v>
          </cell>
          <cell r="C168">
            <v>807.03</v>
          </cell>
          <cell r="D168">
            <v>0</v>
          </cell>
          <cell r="E168">
            <v>807.03</v>
          </cell>
        </row>
        <row r="169">
          <cell r="A169">
            <v>23501360</v>
          </cell>
          <cell r="B169" t="str">
            <v>ISL A/c No-00500340000185 HDFC BANK LTD</v>
          </cell>
          <cell r="C169">
            <v>143717.66</v>
          </cell>
          <cell r="D169">
            <v>0</v>
          </cell>
          <cell r="E169">
            <v>143717.66</v>
          </cell>
        </row>
        <row r="170">
          <cell r="A170">
            <v>23501370</v>
          </cell>
          <cell r="B170" t="str">
            <v>ISL A/c No-00590340000047 HDFC BANK LTD</v>
          </cell>
          <cell r="C170">
            <v>55724.21</v>
          </cell>
          <cell r="D170">
            <v>0</v>
          </cell>
          <cell r="E170">
            <v>55724.21</v>
          </cell>
        </row>
        <row r="171">
          <cell r="A171">
            <v>23501400</v>
          </cell>
          <cell r="B171" t="str">
            <v>ISL A/c No-00540340000958 HDFC BANK LTD</v>
          </cell>
          <cell r="C171">
            <v>1359.85</v>
          </cell>
          <cell r="D171">
            <v>0</v>
          </cell>
          <cell r="E171">
            <v>1359.85</v>
          </cell>
        </row>
        <row r="172">
          <cell r="A172">
            <v>23501420</v>
          </cell>
          <cell r="B172" t="str">
            <v>ISL A/c No-01010340000329 HDFC BANK LTD</v>
          </cell>
          <cell r="C172">
            <v>24734.28</v>
          </cell>
          <cell r="D172">
            <v>0</v>
          </cell>
          <cell r="E172">
            <v>24734.28</v>
          </cell>
        </row>
        <row r="173">
          <cell r="A173">
            <v>23501470</v>
          </cell>
          <cell r="B173" t="str">
            <v>Hdfc Bank - Mumbai 0032340000395</v>
          </cell>
          <cell r="C173">
            <v>12873.45</v>
          </cell>
          <cell r="D173">
            <v>0</v>
          </cell>
          <cell r="E173">
            <v>12873.45</v>
          </cell>
        </row>
        <row r="174">
          <cell r="A174">
            <v>23501510</v>
          </cell>
          <cell r="B174" t="str">
            <v>Indusind Bank 200003174252 (old 0033-567046-050)</v>
          </cell>
          <cell r="C174">
            <v>20770.98</v>
          </cell>
          <cell r="D174">
            <v>0</v>
          </cell>
          <cell r="E174">
            <v>20770.98</v>
          </cell>
        </row>
        <row r="175">
          <cell r="A175">
            <v>23501570</v>
          </cell>
          <cell r="B175" t="str">
            <v>Hdfc Bank Ltd. - 0030340015511</v>
          </cell>
          <cell r="C175">
            <v>6601133.8700000001</v>
          </cell>
          <cell r="D175">
            <v>0</v>
          </cell>
          <cell r="E175">
            <v>6601133.8700000001</v>
          </cell>
        </row>
        <row r="176">
          <cell r="A176">
            <v>23501590</v>
          </cell>
          <cell r="B176" t="str">
            <v>HSBC Account 51-895951-002</v>
          </cell>
          <cell r="C176">
            <v>25905.84</v>
          </cell>
          <cell r="D176">
            <v>0</v>
          </cell>
          <cell r="E176">
            <v>25905.84</v>
          </cell>
        </row>
        <row r="177">
          <cell r="A177">
            <v>23501690</v>
          </cell>
          <cell r="B177" t="str">
            <v>Punjab National Bank - 0061002101604825</v>
          </cell>
          <cell r="C177">
            <v>21980</v>
          </cell>
          <cell r="D177">
            <v>0</v>
          </cell>
          <cell r="E177">
            <v>21980</v>
          </cell>
        </row>
        <row r="178">
          <cell r="A178">
            <v>23501750</v>
          </cell>
          <cell r="B178" t="str">
            <v>0600340006963 Hdfc Bank</v>
          </cell>
          <cell r="C178">
            <v>44894.55</v>
          </cell>
          <cell r="D178">
            <v>0</v>
          </cell>
          <cell r="E178">
            <v>44894.55</v>
          </cell>
        </row>
        <row r="179">
          <cell r="A179">
            <v>23501930</v>
          </cell>
          <cell r="B179" t="str">
            <v>4290340000281  Hdfc Bank Ltd.</v>
          </cell>
          <cell r="C179">
            <v>44938.99</v>
          </cell>
          <cell r="D179">
            <v>0</v>
          </cell>
          <cell r="E179">
            <v>44938.99</v>
          </cell>
        </row>
        <row r="180">
          <cell r="A180">
            <v>23502020</v>
          </cell>
          <cell r="B180" t="str">
            <v>ISL A/c No-00200340000425 HDFC BANK LTD</v>
          </cell>
          <cell r="C180">
            <v>0</v>
          </cell>
          <cell r="D180">
            <v>0</v>
          </cell>
          <cell r="E180">
            <v>0</v>
          </cell>
        </row>
        <row r="181">
          <cell r="A181">
            <v>23502040</v>
          </cell>
          <cell r="B181" t="str">
            <v>Canara Bank- Mumbai A/C No.2426201040957</v>
          </cell>
          <cell r="C181">
            <v>89308</v>
          </cell>
          <cell r="D181">
            <v>0</v>
          </cell>
          <cell r="E181">
            <v>89308</v>
          </cell>
        </row>
        <row r="182">
          <cell r="A182">
            <v>23502050</v>
          </cell>
          <cell r="B182" t="str">
            <v>ISL A/c No-01150340000107 HDFC BANK LTD</v>
          </cell>
          <cell r="C182">
            <v>10388.23</v>
          </cell>
          <cell r="D182">
            <v>0</v>
          </cell>
          <cell r="E182">
            <v>10388.23</v>
          </cell>
        </row>
        <row r="183">
          <cell r="A183">
            <v>23502080</v>
          </cell>
          <cell r="B183" t="str">
            <v>ISL A/c No-00310340000354 HDFC BANK LTD</v>
          </cell>
          <cell r="C183">
            <v>-7031.08</v>
          </cell>
          <cell r="D183">
            <v>0</v>
          </cell>
          <cell r="E183">
            <v>-7031.08</v>
          </cell>
        </row>
        <row r="184">
          <cell r="A184">
            <v>23502580</v>
          </cell>
          <cell r="B184" t="str">
            <v>ISL-HDFC Bank Ltd. 0030340018143</v>
          </cell>
          <cell r="C184">
            <v>284381.06</v>
          </cell>
          <cell r="D184">
            <v>0</v>
          </cell>
          <cell r="E184">
            <v>284381.06</v>
          </cell>
        </row>
        <row r="185">
          <cell r="A185">
            <v>23502610</v>
          </cell>
          <cell r="B185" t="str">
            <v>ISL A/c No-00350340000712 HDFC BANK LTD</v>
          </cell>
          <cell r="C185">
            <v>21609.55</v>
          </cell>
          <cell r="D185">
            <v>0</v>
          </cell>
          <cell r="E185">
            <v>21609.55</v>
          </cell>
        </row>
        <row r="186">
          <cell r="A186">
            <v>23502620</v>
          </cell>
          <cell r="B186" t="str">
            <v>ISL- Axis bank Ltd. For Ho-007010200039622</v>
          </cell>
          <cell r="C186">
            <v>503710.67</v>
          </cell>
          <cell r="D186">
            <v>0</v>
          </cell>
          <cell r="E186">
            <v>503710.67</v>
          </cell>
        </row>
        <row r="187">
          <cell r="A187">
            <v>23502780</v>
          </cell>
          <cell r="B187" t="str">
            <v>HDFC Bank  A/C 00030340000640 (Old No. 08)</v>
          </cell>
          <cell r="C187">
            <v>-16095733.359999999</v>
          </cell>
          <cell r="D187">
            <v>0</v>
          </cell>
          <cell r="E187">
            <v>-16095733.359999999</v>
          </cell>
        </row>
        <row r="188">
          <cell r="A188">
            <v>23502800</v>
          </cell>
          <cell r="B188" t="str">
            <v>ISL A/c No-00140340002609 HDFC BANK LTD</v>
          </cell>
          <cell r="C188">
            <v>30982.29</v>
          </cell>
          <cell r="D188">
            <v>0</v>
          </cell>
          <cell r="E188">
            <v>30982.29</v>
          </cell>
        </row>
        <row r="189">
          <cell r="A189">
            <v>23502810</v>
          </cell>
          <cell r="B189" t="str">
            <v>ISL A/c No-00062340000381 HDFC BANK LTD</v>
          </cell>
          <cell r="C189">
            <v>21279.68</v>
          </cell>
          <cell r="D189">
            <v>0</v>
          </cell>
          <cell r="E189">
            <v>21279.68</v>
          </cell>
        </row>
        <row r="190">
          <cell r="A190">
            <v>23502820</v>
          </cell>
          <cell r="B190" t="str">
            <v>ISL A/c No-00090340000292 HDFC BANK LTD</v>
          </cell>
          <cell r="C190">
            <v>108.14</v>
          </cell>
          <cell r="D190">
            <v>0</v>
          </cell>
          <cell r="E190">
            <v>108.14</v>
          </cell>
        </row>
        <row r="191">
          <cell r="A191">
            <v>23502830</v>
          </cell>
          <cell r="B191" t="str">
            <v>ISL A/c No-00040340001021 HDFC BANK LTD</v>
          </cell>
          <cell r="C191">
            <v>44208.97</v>
          </cell>
          <cell r="D191">
            <v>0</v>
          </cell>
          <cell r="E191">
            <v>44208.97</v>
          </cell>
        </row>
        <row r="192">
          <cell r="A192">
            <v>23502850</v>
          </cell>
          <cell r="B192" t="str">
            <v>0012320000871 Hdfc Bank</v>
          </cell>
          <cell r="C192">
            <v>255129.8</v>
          </cell>
          <cell r="D192">
            <v>0</v>
          </cell>
          <cell r="E192">
            <v>255129.8</v>
          </cell>
        </row>
        <row r="193">
          <cell r="A193">
            <v>23502890</v>
          </cell>
          <cell r="B193" t="str">
            <v>Oriental Bank of Commerce(GTB 1940) 10481010053100</v>
          </cell>
          <cell r="C193">
            <v>9285</v>
          </cell>
          <cell r="D193">
            <v>0</v>
          </cell>
          <cell r="E193">
            <v>9285</v>
          </cell>
        </row>
        <row r="194">
          <cell r="A194">
            <v>23502930</v>
          </cell>
          <cell r="B194" t="str">
            <v>Hdfc (Wdm00030340000667)</v>
          </cell>
          <cell r="C194">
            <v>-779668613.07000005</v>
          </cell>
          <cell r="D194">
            <v>0</v>
          </cell>
          <cell r="E194">
            <v>-779668613.07000005</v>
          </cell>
        </row>
        <row r="195">
          <cell r="A195">
            <v>23503160</v>
          </cell>
          <cell r="B195" t="str">
            <v>ISL A/c No-00930340000022 HDFC BANK LTD</v>
          </cell>
          <cell r="C195">
            <v>68866.259999999995</v>
          </cell>
          <cell r="D195">
            <v>0</v>
          </cell>
          <cell r="E195">
            <v>68866.259999999995</v>
          </cell>
        </row>
        <row r="196">
          <cell r="A196">
            <v>23503180</v>
          </cell>
          <cell r="B196" t="str">
            <v>ISL A/c No-02260340000039 HDFC BANK LTD</v>
          </cell>
          <cell r="C196">
            <v>132054.47</v>
          </cell>
          <cell r="D196">
            <v>0</v>
          </cell>
          <cell r="E196">
            <v>132054.47</v>
          </cell>
        </row>
        <row r="197">
          <cell r="A197">
            <v>23503680</v>
          </cell>
          <cell r="B197" t="str">
            <v>ISL A/c No-00080340011214 HDFC BANK LTD</v>
          </cell>
          <cell r="C197">
            <v>29282.3</v>
          </cell>
          <cell r="D197">
            <v>0</v>
          </cell>
          <cell r="E197">
            <v>29282.3</v>
          </cell>
        </row>
        <row r="198">
          <cell r="A198">
            <v>23503720</v>
          </cell>
          <cell r="B198" t="str">
            <v>Axis Bank Ltd. 004010200559638</v>
          </cell>
          <cell r="C198">
            <v>15536.14</v>
          </cell>
          <cell r="D198">
            <v>0</v>
          </cell>
          <cell r="E198">
            <v>15536.14</v>
          </cell>
        </row>
        <row r="199">
          <cell r="A199">
            <v>23503800</v>
          </cell>
          <cell r="B199" t="str">
            <v xml:space="preserve"> Bank of Maharastra 20007603128</v>
          </cell>
          <cell r="C199">
            <v>17538</v>
          </cell>
          <cell r="D199">
            <v>0</v>
          </cell>
          <cell r="E199">
            <v>17538</v>
          </cell>
        </row>
        <row r="200">
          <cell r="A200">
            <v>23503920</v>
          </cell>
          <cell r="B200" t="str">
            <v>0430002101005835 Pnb</v>
          </cell>
          <cell r="C200">
            <v>26231</v>
          </cell>
          <cell r="D200">
            <v>0</v>
          </cell>
          <cell r="E200">
            <v>26231</v>
          </cell>
        </row>
        <row r="201">
          <cell r="A201">
            <v>23503980</v>
          </cell>
          <cell r="B201" t="str">
            <v>0540340003004 Hdfc Bank Ltd</v>
          </cell>
          <cell r="C201">
            <v>3531016.27</v>
          </cell>
          <cell r="D201">
            <v>0</v>
          </cell>
          <cell r="E201">
            <v>3531016.27</v>
          </cell>
        </row>
        <row r="202">
          <cell r="A202">
            <v>23504170</v>
          </cell>
          <cell r="B202" t="str">
            <v>ISL A/c No-00070340000819 HDFC BANK LTD</v>
          </cell>
          <cell r="C202">
            <v>92581.68</v>
          </cell>
          <cell r="D202">
            <v>0</v>
          </cell>
          <cell r="E202">
            <v>92581.68</v>
          </cell>
        </row>
        <row r="203">
          <cell r="A203">
            <v>23504480</v>
          </cell>
          <cell r="B203" t="str">
            <v>ISL A/c No-00540340002936 HDFC BANK LTD</v>
          </cell>
          <cell r="C203">
            <v>986</v>
          </cell>
          <cell r="D203">
            <v>0</v>
          </cell>
          <cell r="E203">
            <v>986</v>
          </cell>
        </row>
        <row r="204">
          <cell r="A204">
            <v>23505120</v>
          </cell>
          <cell r="B204" t="str">
            <v>Allahabad Bank a/c no 20015744423</v>
          </cell>
          <cell r="C204">
            <v>76073</v>
          </cell>
          <cell r="D204">
            <v>0</v>
          </cell>
          <cell r="E204">
            <v>76073</v>
          </cell>
        </row>
        <row r="205">
          <cell r="A205">
            <v>23505190</v>
          </cell>
          <cell r="B205" t="str">
            <v>Citi Bank (Delhi) 421751226</v>
          </cell>
          <cell r="C205">
            <v>-764648.85</v>
          </cell>
          <cell r="D205">
            <v>0</v>
          </cell>
          <cell r="E205">
            <v>-764648.85</v>
          </cell>
        </row>
        <row r="206">
          <cell r="A206">
            <v>23505210</v>
          </cell>
          <cell r="B206" t="str">
            <v>Axis Bank Ltd. (Delhi) 7010200009867</v>
          </cell>
          <cell r="C206">
            <v>1108436.45</v>
          </cell>
          <cell r="D206">
            <v>0</v>
          </cell>
          <cell r="E206">
            <v>1108436.45</v>
          </cell>
        </row>
        <row r="207">
          <cell r="A207">
            <v>23505230</v>
          </cell>
          <cell r="B207" t="str">
            <v>HSBC Account 51-895951-001</v>
          </cell>
          <cell r="C207">
            <v>126185.63</v>
          </cell>
          <cell r="D207">
            <v>0</v>
          </cell>
          <cell r="E207">
            <v>126185.63</v>
          </cell>
        </row>
        <row r="208">
          <cell r="A208">
            <v>23505240</v>
          </cell>
          <cell r="B208" t="str">
            <v>Royal Bank of Scotland (ABN) A/C 6518796</v>
          </cell>
          <cell r="C208">
            <v>1571010.13</v>
          </cell>
          <cell r="D208">
            <v>0</v>
          </cell>
          <cell r="E208">
            <v>1571010.13</v>
          </cell>
        </row>
        <row r="209">
          <cell r="A209">
            <v>23505250</v>
          </cell>
          <cell r="B209" t="str">
            <v>Canara Bank A/c Shimoga -0524201002309</v>
          </cell>
          <cell r="C209">
            <v>648609.22</v>
          </cell>
          <cell r="D209">
            <v>0</v>
          </cell>
          <cell r="E209">
            <v>648609.22</v>
          </cell>
        </row>
        <row r="210">
          <cell r="A210">
            <v>23505260</v>
          </cell>
          <cell r="B210" t="str">
            <v>Idbi 102000015075</v>
          </cell>
          <cell r="C210">
            <v>1347851.14</v>
          </cell>
          <cell r="D210">
            <v>0</v>
          </cell>
          <cell r="E210">
            <v>1347851.14</v>
          </cell>
        </row>
        <row r="211">
          <cell r="A211">
            <v>23505270</v>
          </cell>
          <cell r="B211" t="str">
            <v>Indusland Bank 200000620358 (old 5109794060)</v>
          </cell>
          <cell r="C211">
            <v>1219012.6599999999</v>
          </cell>
          <cell r="D211">
            <v>0</v>
          </cell>
          <cell r="E211">
            <v>1219012.6599999999</v>
          </cell>
        </row>
        <row r="212">
          <cell r="A212">
            <v>23505280</v>
          </cell>
          <cell r="B212" t="str">
            <v>Karur Vysya Bank 410112700000020</v>
          </cell>
          <cell r="C212">
            <v>1679413.43</v>
          </cell>
          <cell r="D212">
            <v>0</v>
          </cell>
          <cell r="E212">
            <v>1679413.43</v>
          </cell>
        </row>
        <row r="213">
          <cell r="A213">
            <v>23505300</v>
          </cell>
          <cell r="B213" t="str">
            <v>Union Bank Of India - Client A/C 307801010917312</v>
          </cell>
          <cell r="C213">
            <v>441484.42</v>
          </cell>
          <cell r="D213">
            <v>0</v>
          </cell>
          <cell r="E213">
            <v>441484.42</v>
          </cell>
        </row>
        <row r="214">
          <cell r="A214">
            <v>23505320</v>
          </cell>
          <cell r="B214" t="str">
            <v>Hdfc Bank - 0030340020740</v>
          </cell>
          <cell r="C214">
            <v>-104512730.06</v>
          </cell>
          <cell r="D214">
            <v>0</v>
          </cell>
          <cell r="E214">
            <v>-104512730.06</v>
          </cell>
        </row>
        <row r="215">
          <cell r="A215">
            <v>23505330</v>
          </cell>
          <cell r="B215" t="str">
            <v>Andhra Bank - Client A/c  8411011093286</v>
          </cell>
          <cell r="C215">
            <v>291956.33</v>
          </cell>
          <cell r="D215">
            <v>0</v>
          </cell>
          <cell r="E215">
            <v>291956.33</v>
          </cell>
        </row>
        <row r="216">
          <cell r="A216">
            <v>23505350</v>
          </cell>
          <cell r="B216" t="str">
            <v>Syndicate Bank 90363050000067</v>
          </cell>
          <cell r="C216">
            <v>258182.21</v>
          </cell>
          <cell r="D216">
            <v>0</v>
          </cell>
          <cell r="E216">
            <v>258182.21</v>
          </cell>
        </row>
        <row r="217">
          <cell r="A217">
            <v>23505360</v>
          </cell>
          <cell r="B217" t="str">
            <v>Pnb A/C No.   1988002100183894</v>
          </cell>
          <cell r="C217">
            <v>1418907.75</v>
          </cell>
          <cell r="D217">
            <v>0</v>
          </cell>
          <cell r="E217">
            <v>1418907.75</v>
          </cell>
        </row>
        <row r="218">
          <cell r="A218">
            <v>23505370</v>
          </cell>
          <cell r="B218" t="str">
            <v>0030130000080-HDFC ACCOUNT ISL</v>
          </cell>
          <cell r="C218">
            <v>-5415795.0999999996</v>
          </cell>
          <cell r="D218">
            <v>0</v>
          </cell>
          <cell r="E218">
            <v>-5415795.0999999996</v>
          </cell>
        </row>
        <row r="219">
          <cell r="A219">
            <v>23505380</v>
          </cell>
          <cell r="B219" t="str">
            <v>Standard Charter (Vasant) 523-0-513377-9</v>
          </cell>
          <cell r="C219">
            <v>354467.88</v>
          </cell>
          <cell r="D219">
            <v>0</v>
          </cell>
          <cell r="E219">
            <v>354467.88</v>
          </cell>
        </row>
        <row r="220">
          <cell r="A220">
            <v>23505400</v>
          </cell>
          <cell r="B220" t="str">
            <v>Hdfc (Delhi)- 00030340000657</v>
          </cell>
          <cell r="C220">
            <v>-6581133.8499999996</v>
          </cell>
          <cell r="D220">
            <v>0</v>
          </cell>
          <cell r="E220">
            <v>-6581133.8499999996</v>
          </cell>
        </row>
        <row r="221">
          <cell r="A221">
            <v>23505420</v>
          </cell>
          <cell r="B221" t="str">
            <v>0032340000015 Hdfc Isl Client A/C</v>
          </cell>
          <cell r="C221">
            <v>-7972113.3600000003</v>
          </cell>
          <cell r="D221">
            <v>0</v>
          </cell>
          <cell r="E221">
            <v>-7972113.3600000003</v>
          </cell>
        </row>
        <row r="222">
          <cell r="A222">
            <v>23505430</v>
          </cell>
          <cell r="B222" t="str">
            <v>Hdfc Bank Ltd.</v>
          </cell>
          <cell r="C222">
            <v>-46181840.829999998</v>
          </cell>
          <cell r="D222">
            <v>0</v>
          </cell>
          <cell r="E222">
            <v>-46181840.829999998</v>
          </cell>
        </row>
        <row r="223">
          <cell r="A223">
            <v>23505450</v>
          </cell>
          <cell r="B223" t="str">
            <v>Citi Bank 325250003</v>
          </cell>
          <cell r="C223">
            <v>-20523513.609999999</v>
          </cell>
          <cell r="D223">
            <v>0</v>
          </cell>
          <cell r="E223">
            <v>-20523513.609999999</v>
          </cell>
        </row>
        <row r="224">
          <cell r="A224">
            <v>23505470</v>
          </cell>
          <cell r="B224" t="str">
            <v>0990650000155  Hdfc  Bank</v>
          </cell>
          <cell r="C224">
            <v>218726.82</v>
          </cell>
          <cell r="D224">
            <v>0</v>
          </cell>
          <cell r="E224">
            <v>218726.82</v>
          </cell>
        </row>
        <row r="225">
          <cell r="A225">
            <v>23505480</v>
          </cell>
          <cell r="B225" t="str">
            <v>Hdfc F&amp;O Clearing (0990630001246)</v>
          </cell>
          <cell r="C225">
            <v>88764</v>
          </cell>
          <cell r="D225">
            <v>0</v>
          </cell>
          <cell r="E225">
            <v>88764</v>
          </cell>
        </row>
        <row r="226">
          <cell r="A226">
            <v>23505490</v>
          </cell>
          <cell r="B226" t="str">
            <v>Icici Bank - Bse Clearing Account 000405019074</v>
          </cell>
          <cell r="C226">
            <v>281.39</v>
          </cell>
          <cell r="D226">
            <v>0</v>
          </cell>
          <cell r="E226">
            <v>281.39</v>
          </cell>
        </row>
        <row r="227">
          <cell r="A227">
            <v>23505500</v>
          </cell>
          <cell r="B227" t="str">
            <v>Hdfc Bank (246 Clearing A/C 02) 990610000246</v>
          </cell>
          <cell r="C227">
            <v>100000</v>
          </cell>
          <cell r="D227">
            <v>0</v>
          </cell>
          <cell r="E227">
            <v>100000</v>
          </cell>
        </row>
        <row r="228">
          <cell r="A228">
            <v>23505690</v>
          </cell>
          <cell r="B228" t="str">
            <v>ISL A/c No-01530340000103 HDFC BANK LTD</v>
          </cell>
          <cell r="C228">
            <v>0</v>
          </cell>
          <cell r="D228">
            <v>0</v>
          </cell>
          <cell r="E228">
            <v>0</v>
          </cell>
        </row>
        <row r="229">
          <cell r="A229">
            <v>23509780</v>
          </cell>
          <cell r="B229" t="str">
            <v>State Bank Of Patiala 65016496315 -ISL</v>
          </cell>
          <cell r="C229">
            <v>26860</v>
          </cell>
          <cell r="D229">
            <v>0</v>
          </cell>
          <cell r="E229">
            <v>26860</v>
          </cell>
        </row>
        <row r="230">
          <cell r="A230">
            <v>23510470</v>
          </cell>
          <cell r="B230" t="str">
            <v>Indian Bank  a/c no 723815435</v>
          </cell>
          <cell r="C230">
            <v>5991</v>
          </cell>
          <cell r="D230">
            <v>0</v>
          </cell>
          <cell r="E230">
            <v>5991</v>
          </cell>
        </row>
        <row r="231">
          <cell r="A231">
            <v>23510510</v>
          </cell>
          <cell r="B231" t="str">
            <v>Bank Of India-Client A/c 600320110000136</v>
          </cell>
          <cell r="C231">
            <v>1048907.3999999999</v>
          </cell>
          <cell r="D231">
            <v>0</v>
          </cell>
          <cell r="E231">
            <v>1048907.3999999999</v>
          </cell>
        </row>
        <row r="232">
          <cell r="A232">
            <v>23510570</v>
          </cell>
          <cell r="B232" t="str">
            <v>FDR General</v>
          </cell>
          <cell r="C232">
            <v>2340357532.7800002</v>
          </cell>
          <cell r="D232">
            <v>0</v>
          </cell>
          <cell r="E232">
            <v>2340357532.7800002</v>
          </cell>
        </row>
        <row r="233">
          <cell r="A233">
            <v>23511750</v>
          </cell>
          <cell r="B233" t="str">
            <v>AXIS Bank 007010200049799</v>
          </cell>
          <cell r="C233">
            <v>1181121.6000000001</v>
          </cell>
          <cell r="D233">
            <v>0</v>
          </cell>
          <cell r="E233">
            <v>1181121.6000000001</v>
          </cell>
        </row>
        <row r="234">
          <cell r="A234">
            <v>23512480</v>
          </cell>
          <cell r="B234" t="str">
            <v>ISL A/c No-00670340000865 HDFC BANK LTD</v>
          </cell>
          <cell r="C234">
            <v>2285.5300000000002</v>
          </cell>
          <cell r="D234">
            <v>0</v>
          </cell>
          <cell r="E234">
            <v>2285.5300000000002</v>
          </cell>
        </row>
        <row r="235">
          <cell r="A235">
            <v>23513090</v>
          </cell>
          <cell r="B235" t="str">
            <v>Punjab and Sind bank a/c no. 105742</v>
          </cell>
          <cell r="C235">
            <v>9446</v>
          </cell>
          <cell r="D235">
            <v>0</v>
          </cell>
          <cell r="E235">
            <v>9446</v>
          </cell>
        </row>
        <row r="236">
          <cell r="A236">
            <v>23513140</v>
          </cell>
          <cell r="B236" t="str">
            <v>Vijaya Bank A/C 500600301000135</v>
          </cell>
          <cell r="C236">
            <v>23155</v>
          </cell>
          <cell r="D236">
            <v>0</v>
          </cell>
          <cell r="E236">
            <v>23155</v>
          </cell>
        </row>
        <row r="237">
          <cell r="A237">
            <v>23514070</v>
          </cell>
          <cell r="B237" t="str">
            <v>HDFC Bank Ltd. 05988510000240 ISL DIVIDEND 07-08</v>
          </cell>
          <cell r="C237">
            <v>4172453</v>
          </cell>
          <cell r="D237">
            <v>0</v>
          </cell>
          <cell r="E237">
            <v>4172453</v>
          </cell>
        </row>
        <row r="238">
          <cell r="A238">
            <v>23514750</v>
          </cell>
          <cell r="B238" t="str">
            <v>IDBI A/C 038102000015543(F/D A/C, GURGAON)</v>
          </cell>
          <cell r="C238">
            <v>12033.24</v>
          </cell>
          <cell r="D238">
            <v>0</v>
          </cell>
          <cell r="E238">
            <v>12033.24</v>
          </cell>
        </row>
        <row r="239">
          <cell r="A239">
            <v>23515110</v>
          </cell>
          <cell r="B239" t="str">
            <v>Indusind Bank  200007929041 (0148AZ0161050 Client)</v>
          </cell>
          <cell r="C239">
            <v>-613817.16</v>
          </cell>
          <cell r="D239">
            <v>0</v>
          </cell>
          <cell r="E239">
            <v>-613817.16</v>
          </cell>
        </row>
        <row r="240">
          <cell r="A240">
            <v>23515140</v>
          </cell>
          <cell r="B240" t="str">
            <v>ISL A/c No-03632340000019 HDFC BANK LTD</v>
          </cell>
          <cell r="C240">
            <v>70855.25</v>
          </cell>
          <cell r="D240">
            <v>0</v>
          </cell>
          <cell r="E240">
            <v>70855.25</v>
          </cell>
        </row>
        <row r="241">
          <cell r="A241">
            <v>23515220</v>
          </cell>
          <cell r="B241" t="str">
            <v>ISL A/c No. 910020000663449 Axis Bank Ltd</v>
          </cell>
          <cell r="C241">
            <v>952946.34</v>
          </cell>
          <cell r="D241">
            <v>0</v>
          </cell>
          <cell r="E241">
            <v>952946.34</v>
          </cell>
        </row>
        <row r="242">
          <cell r="A242">
            <v>23515230</v>
          </cell>
          <cell r="B242" t="str">
            <v>ISL A/c No. 910020000584265 Axis Bank Ltd</v>
          </cell>
          <cell r="C242">
            <v>10000</v>
          </cell>
          <cell r="D242">
            <v>0</v>
          </cell>
          <cell r="E242">
            <v>10000</v>
          </cell>
        </row>
        <row r="243">
          <cell r="A243">
            <v>23515240</v>
          </cell>
          <cell r="B243" t="str">
            <v>ISL A/c No. 910020000572673 Axis Bank Ltd</v>
          </cell>
          <cell r="C243">
            <v>10000</v>
          </cell>
          <cell r="D243">
            <v>0</v>
          </cell>
          <cell r="E243">
            <v>10000</v>
          </cell>
        </row>
        <row r="244">
          <cell r="A244">
            <v>23515250</v>
          </cell>
          <cell r="B244" t="str">
            <v>MFSS - IndusInd 200003174261 (old0033-567046-051)</v>
          </cell>
          <cell r="C244">
            <v>-253.42</v>
          </cell>
          <cell r="D244">
            <v>0</v>
          </cell>
          <cell r="E244">
            <v>-253.42</v>
          </cell>
        </row>
        <row r="245">
          <cell r="A245">
            <v>23515310</v>
          </cell>
          <cell r="B245" t="str">
            <v>ISL SBI A/C NO - 31023077002</v>
          </cell>
          <cell r="C245">
            <v>64392.35</v>
          </cell>
          <cell r="D245">
            <v>0</v>
          </cell>
          <cell r="E245">
            <v>64392.35</v>
          </cell>
        </row>
        <row r="246">
          <cell r="A246">
            <v>23515510</v>
          </cell>
          <cell r="B246" t="str">
            <v>ISL BSE F&amp;O Settla/c ICICI Bank Ltd 000405058620</v>
          </cell>
          <cell r="C246">
            <v>191491.95</v>
          </cell>
          <cell r="D246">
            <v>0</v>
          </cell>
          <cell r="E246">
            <v>191491.95</v>
          </cell>
        </row>
        <row r="247">
          <cell r="A247">
            <v>23515740</v>
          </cell>
          <cell r="B247" t="str">
            <v>HDFC BANK LTD. A/C no- 13300340000017</v>
          </cell>
          <cell r="C247">
            <v>0</v>
          </cell>
          <cell r="D247">
            <v>0</v>
          </cell>
          <cell r="E247">
            <v>0</v>
          </cell>
        </row>
        <row r="248">
          <cell r="A248">
            <v>23515770</v>
          </cell>
          <cell r="B248" t="str">
            <v>BANK OF BRODA Client 00950200000776</v>
          </cell>
          <cell r="C248">
            <v>357368.07</v>
          </cell>
          <cell r="D248">
            <v>0</v>
          </cell>
          <cell r="E248">
            <v>357368.07</v>
          </cell>
        </row>
        <row r="249">
          <cell r="A249">
            <v>23515830</v>
          </cell>
          <cell r="B249" t="str">
            <v>Axis Bank 910020018494420 Dividend A/c</v>
          </cell>
          <cell r="C249">
            <v>2487704</v>
          </cell>
          <cell r="D249">
            <v>0</v>
          </cell>
          <cell r="E249">
            <v>2487704</v>
          </cell>
        </row>
        <row r="250">
          <cell r="A250">
            <v>23515860</v>
          </cell>
          <cell r="B250" t="str">
            <v>Citi Bank A/c 29232229 Client A/c</v>
          </cell>
          <cell r="C250">
            <v>1122.2</v>
          </cell>
          <cell r="D250">
            <v>0</v>
          </cell>
          <cell r="E250">
            <v>1122.2</v>
          </cell>
        </row>
        <row r="251">
          <cell r="A251">
            <v>23515950</v>
          </cell>
          <cell r="B251" t="str">
            <v>ISL A/c No. 06340340000097 HDFC Bank Ltd.</v>
          </cell>
          <cell r="C251">
            <v>6251.23</v>
          </cell>
          <cell r="D251">
            <v>0</v>
          </cell>
          <cell r="E251">
            <v>6251.23</v>
          </cell>
        </row>
        <row r="252">
          <cell r="A252">
            <v>23515990</v>
          </cell>
          <cell r="B252" t="str">
            <v>ICICI BANK, 000705034254 Client A/c</v>
          </cell>
          <cell r="C252">
            <v>-1010000</v>
          </cell>
          <cell r="D252">
            <v>0</v>
          </cell>
          <cell r="E252">
            <v>-1010000</v>
          </cell>
        </row>
        <row r="253">
          <cell r="A253">
            <v>23516000</v>
          </cell>
          <cell r="B253" t="str">
            <v>STATE BANK OF INDIA 31269652734 Client A/C</v>
          </cell>
          <cell r="C253">
            <v>1958031.73</v>
          </cell>
          <cell r="D253">
            <v>0</v>
          </cell>
          <cell r="E253">
            <v>1958031.73</v>
          </cell>
        </row>
        <row r="254">
          <cell r="A254">
            <v>23516010</v>
          </cell>
          <cell r="B254" t="str">
            <v>Indusind Bank 200007929056 (0148AZ0161051 Client)</v>
          </cell>
          <cell r="C254">
            <v>838035</v>
          </cell>
          <cell r="D254">
            <v>0</v>
          </cell>
          <cell r="E254">
            <v>838035</v>
          </cell>
        </row>
        <row r="255">
          <cell r="A255">
            <v>23516020</v>
          </cell>
          <cell r="B255" t="str">
            <v>Karur Vysya Bank A/c Mumbai- 2119135000000014</v>
          </cell>
          <cell r="C255">
            <v>50000.3</v>
          </cell>
          <cell r="D255">
            <v>0</v>
          </cell>
          <cell r="E255">
            <v>50000.3</v>
          </cell>
        </row>
        <row r="256">
          <cell r="A256">
            <v>23516260</v>
          </cell>
          <cell r="B256" t="str">
            <v>HDFC Bank Ltd. A/c 00030340047441 - MCX SX Client</v>
          </cell>
          <cell r="C256">
            <v>10000</v>
          </cell>
          <cell r="D256">
            <v>0</v>
          </cell>
          <cell r="E256">
            <v>10000</v>
          </cell>
        </row>
        <row r="257">
          <cell r="A257">
            <v>23516270</v>
          </cell>
          <cell r="B257" t="str">
            <v>HDFC Bank Ltd. A/c 00030340047431 MCX SX Business</v>
          </cell>
          <cell r="C257">
            <v>10000</v>
          </cell>
          <cell r="D257">
            <v>0</v>
          </cell>
          <cell r="E257">
            <v>10000</v>
          </cell>
        </row>
        <row r="258">
          <cell r="A258">
            <v>23516290</v>
          </cell>
          <cell r="B258" t="str">
            <v>HDFC Bank 05988510000586 DIVIDEND A/C 2010-2011</v>
          </cell>
          <cell r="C258">
            <v>1879551</v>
          </cell>
          <cell r="D258">
            <v>0</v>
          </cell>
          <cell r="E258">
            <v>1879551</v>
          </cell>
        </row>
        <row r="259">
          <cell r="A259">
            <v>23516530</v>
          </cell>
          <cell r="B259" t="str">
            <v>IDBI Bank Ltd. A/c 171102000006385</v>
          </cell>
          <cell r="C259">
            <v>138175.60999999999</v>
          </cell>
          <cell r="D259">
            <v>0</v>
          </cell>
          <cell r="E259">
            <v>138175.60999999999</v>
          </cell>
        </row>
        <row r="260">
          <cell r="A260">
            <v>23517090</v>
          </cell>
          <cell r="B260" t="str">
            <v>YES BANK '010585700000020</v>
          </cell>
          <cell r="C260">
            <v>381003.28</v>
          </cell>
          <cell r="D260">
            <v>0</v>
          </cell>
          <cell r="E260">
            <v>381003.28</v>
          </cell>
        </row>
        <row r="261">
          <cell r="A261">
            <v>23517520</v>
          </cell>
          <cell r="B261" t="str">
            <v>HDFC Bank Ltd. A/c 05982340006657</v>
          </cell>
          <cell r="C261">
            <v>14329.7</v>
          </cell>
          <cell r="D261">
            <v>0</v>
          </cell>
          <cell r="E261">
            <v>14329.7</v>
          </cell>
        </row>
        <row r="262">
          <cell r="A262">
            <v>23517590</v>
          </cell>
          <cell r="B262" t="str">
            <v>SBI A/c No. 31748946887 Indiabulls Securities Ltd.</v>
          </cell>
          <cell r="C262">
            <v>133426</v>
          </cell>
          <cell r="D262">
            <v>0</v>
          </cell>
          <cell r="E262">
            <v>133426</v>
          </cell>
        </row>
        <row r="263">
          <cell r="A263">
            <v>23517990</v>
          </cell>
          <cell r="B263" t="str">
            <v>HDFC Bank Ltd. A/c 00030340052965 Client A/c</v>
          </cell>
          <cell r="C263">
            <v>265283.07</v>
          </cell>
          <cell r="D263">
            <v>0</v>
          </cell>
          <cell r="E263">
            <v>265283.07</v>
          </cell>
        </row>
        <row r="264">
          <cell r="A264">
            <v>23518150</v>
          </cell>
          <cell r="B264" t="str">
            <v>ISL A/c No-12280340000018 HDFC BANK LTD</v>
          </cell>
          <cell r="C264">
            <v>17581.919999999998</v>
          </cell>
          <cell r="D264">
            <v>0</v>
          </cell>
          <cell r="E264">
            <v>17581.919999999998</v>
          </cell>
        </row>
        <row r="265">
          <cell r="A265">
            <v>23518200</v>
          </cell>
          <cell r="B265" t="str">
            <v>UCO Bank A/c '01200210001080 Salary A/c</v>
          </cell>
          <cell r="C265">
            <v>9518</v>
          </cell>
          <cell r="D265">
            <v>0</v>
          </cell>
          <cell r="E265">
            <v>9518</v>
          </cell>
        </row>
        <row r="266">
          <cell r="A266">
            <v>23518570</v>
          </cell>
          <cell r="B266" t="str">
            <v>ISL A/c No. 02802340000031 HDFC Bank Ltd.</v>
          </cell>
          <cell r="C266">
            <v>19530.59</v>
          </cell>
          <cell r="D266">
            <v>0</v>
          </cell>
          <cell r="E266">
            <v>19530.59</v>
          </cell>
        </row>
        <row r="267">
          <cell r="A267">
            <v>23519820</v>
          </cell>
          <cell r="B267" t="str">
            <v>Yes Bank Ltd 000284000001354 OTS A/c</v>
          </cell>
          <cell r="C267">
            <v>1153710.3500000001</v>
          </cell>
          <cell r="D267">
            <v>0</v>
          </cell>
          <cell r="E267">
            <v>1153710.3500000001</v>
          </cell>
        </row>
        <row r="268">
          <cell r="A268">
            <v>23520009</v>
          </cell>
          <cell r="B268" t="str">
            <v>Ahmedabad Offline Petty Cash</v>
          </cell>
          <cell r="C268">
            <v>3740</v>
          </cell>
          <cell r="D268">
            <v>0</v>
          </cell>
          <cell r="E268">
            <v>3740</v>
          </cell>
        </row>
        <row r="269">
          <cell r="A269">
            <v>23520020</v>
          </cell>
          <cell r="B269" t="str">
            <v>Allahabad Offline Petty Cash</v>
          </cell>
          <cell r="C269">
            <v>6</v>
          </cell>
          <cell r="D269">
            <v>0</v>
          </cell>
          <cell r="E269">
            <v>6</v>
          </cell>
        </row>
        <row r="270">
          <cell r="A270">
            <v>23520029</v>
          </cell>
          <cell r="B270" t="str">
            <v>Amritsar Offline Petty Cash</v>
          </cell>
          <cell r="C270">
            <v>2072</v>
          </cell>
          <cell r="D270">
            <v>0</v>
          </cell>
          <cell r="E270">
            <v>2072</v>
          </cell>
        </row>
        <row r="271">
          <cell r="A271">
            <v>23520047</v>
          </cell>
          <cell r="B271" t="str">
            <v>Banglore M.G. Road Petty Cash</v>
          </cell>
          <cell r="C271">
            <v>47</v>
          </cell>
          <cell r="D271">
            <v>0</v>
          </cell>
          <cell r="E271">
            <v>47</v>
          </cell>
        </row>
        <row r="272">
          <cell r="A272">
            <v>23520052</v>
          </cell>
          <cell r="B272" t="str">
            <v>Baroda Online Petty Cash</v>
          </cell>
          <cell r="C272">
            <v>860</v>
          </cell>
          <cell r="D272">
            <v>0</v>
          </cell>
          <cell r="E272">
            <v>860</v>
          </cell>
        </row>
        <row r="273">
          <cell r="A273">
            <v>23520081</v>
          </cell>
          <cell r="B273" t="str">
            <v>Calcutta Lee Road Petty Cash</v>
          </cell>
          <cell r="C273">
            <v>0</v>
          </cell>
          <cell r="D273">
            <v>0</v>
          </cell>
          <cell r="E273">
            <v>0</v>
          </cell>
        </row>
        <row r="274">
          <cell r="A274">
            <v>23520085</v>
          </cell>
          <cell r="B274" t="str">
            <v>Chandigarh Sector-35 Online Petty Cash</v>
          </cell>
          <cell r="C274">
            <v>576</v>
          </cell>
          <cell r="D274">
            <v>0</v>
          </cell>
          <cell r="E274">
            <v>576</v>
          </cell>
        </row>
        <row r="275">
          <cell r="A275">
            <v>23520096</v>
          </cell>
          <cell r="B275" t="str">
            <v>Chennai T Nagar Online Petty Cash</v>
          </cell>
          <cell r="C275">
            <v>3776</v>
          </cell>
          <cell r="D275">
            <v>0</v>
          </cell>
          <cell r="E275">
            <v>3776</v>
          </cell>
        </row>
        <row r="276">
          <cell r="A276">
            <v>23520098</v>
          </cell>
          <cell r="B276" t="str">
            <v>Chennai Offline Petty Cash</v>
          </cell>
          <cell r="C276">
            <v>15268</v>
          </cell>
          <cell r="D276">
            <v>0</v>
          </cell>
          <cell r="E276">
            <v>15268</v>
          </cell>
        </row>
        <row r="277">
          <cell r="A277">
            <v>23520106</v>
          </cell>
          <cell r="B277" t="str">
            <v>Cochin Petty Cash</v>
          </cell>
          <cell r="C277">
            <v>0</v>
          </cell>
          <cell r="D277">
            <v>0</v>
          </cell>
          <cell r="E277">
            <v>0</v>
          </cell>
        </row>
        <row r="278">
          <cell r="A278">
            <v>23520108</v>
          </cell>
          <cell r="B278" t="str">
            <v>Coimbatore Offline Petty Cash</v>
          </cell>
          <cell r="C278">
            <v>418</v>
          </cell>
          <cell r="D278">
            <v>0</v>
          </cell>
          <cell r="E278">
            <v>418</v>
          </cell>
        </row>
        <row r="279">
          <cell r="A279">
            <v>23520114</v>
          </cell>
          <cell r="B279" t="str">
            <v>Calcutta Dalhousie Petty Cash</v>
          </cell>
          <cell r="C279">
            <v>0</v>
          </cell>
          <cell r="D279">
            <v>0</v>
          </cell>
          <cell r="E279">
            <v>0</v>
          </cell>
        </row>
        <row r="280">
          <cell r="A280">
            <v>23520127</v>
          </cell>
          <cell r="B280" t="str">
            <v>ISL-DIVIDEND A/C-08-09 -HDFC 05988510000422</v>
          </cell>
          <cell r="C280">
            <v>2008790</v>
          </cell>
          <cell r="D280">
            <v>0</v>
          </cell>
          <cell r="E280">
            <v>2008790</v>
          </cell>
        </row>
        <row r="281">
          <cell r="A281">
            <v>23520134</v>
          </cell>
          <cell r="B281" t="str">
            <v>Delhi F Block Offline Petty Cash</v>
          </cell>
          <cell r="C281">
            <v>0</v>
          </cell>
          <cell r="D281">
            <v>0</v>
          </cell>
          <cell r="E281">
            <v>0</v>
          </cell>
        </row>
        <row r="282">
          <cell r="A282">
            <v>23520139</v>
          </cell>
          <cell r="B282" t="str">
            <v>Faridabad Sector-15 Online Petty Cash</v>
          </cell>
          <cell r="C282">
            <v>16779</v>
          </cell>
          <cell r="D282">
            <v>0</v>
          </cell>
          <cell r="E282">
            <v>16779</v>
          </cell>
        </row>
        <row r="283">
          <cell r="A283">
            <v>23520150</v>
          </cell>
          <cell r="B283" t="str">
            <v>HDFC Bank Ltd. Ltd. A/c No. 00030340037616</v>
          </cell>
          <cell r="C283">
            <v>-60571828.280000001</v>
          </cell>
          <cell r="D283">
            <v>0</v>
          </cell>
          <cell r="E283">
            <v>-60571828.280000001</v>
          </cell>
        </row>
        <row r="284">
          <cell r="A284">
            <v>23520152</v>
          </cell>
          <cell r="B284" t="str">
            <v>GOA PETTY CASH</v>
          </cell>
          <cell r="C284">
            <v>9817</v>
          </cell>
          <cell r="D284">
            <v>0</v>
          </cell>
          <cell r="E284">
            <v>9817</v>
          </cell>
        </row>
        <row r="285">
          <cell r="A285">
            <v>23520197</v>
          </cell>
          <cell r="B285" t="str">
            <v>Jaipur Raja Park Online Petty Cash</v>
          </cell>
          <cell r="C285">
            <v>1376</v>
          </cell>
          <cell r="D285">
            <v>0</v>
          </cell>
          <cell r="E285">
            <v>1376</v>
          </cell>
        </row>
        <row r="286">
          <cell r="A286">
            <v>23520199</v>
          </cell>
          <cell r="B286" t="str">
            <v>Jaipur Offline Petty Cash</v>
          </cell>
          <cell r="C286">
            <v>187</v>
          </cell>
          <cell r="D286">
            <v>0</v>
          </cell>
          <cell r="E286">
            <v>187</v>
          </cell>
        </row>
        <row r="287">
          <cell r="A287">
            <v>23520212</v>
          </cell>
          <cell r="B287" t="str">
            <v>Banglore Jayanagar Petty Cash</v>
          </cell>
          <cell r="C287">
            <v>2621</v>
          </cell>
          <cell r="D287">
            <v>0</v>
          </cell>
          <cell r="E287">
            <v>2621</v>
          </cell>
        </row>
        <row r="288">
          <cell r="A288">
            <v>23520231</v>
          </cell>
          <cell r="B288" t="str">
            <v>Petty Cash Kanpur Online  Krishna Tower</v>
          </cell>
          <cell r="C288">
            <v>39</v>
          </cell>
          <cell r="D288">
            <v>0</v>
          </cell>
          <cell r="E288">
            <v>39</v>
          </cell>
        </row>
        <row r="289">
          <cell r="A289">
            <v>23520262</v>
          </cell>
          <cell r="B289" t="str">
            <v>Lucknow Online Petty Cash</v>
          </cell>
          <cell r="C289">
            <v>470</v>
          </cell>
          <cell r="D289">
            <v>0</v>
          </cell>
          <cell r="E289">
            <v>470</v>
          </cell>
        </row>
        <row r="290">
          <cell r="A290">
            <v>23520310</v>
          </cell>
          <cell r="B290" t="str">
            <v>Delhi Kirti Nagar Offline Petty Cash A/c</v>
          </cell>
          <cell r="C290">
            <v>0</v>
          </cell>
          <cell r="D290">
            <v>0</v>
          </cell>
          <cell r="E290">
            <v>0</v>
          </cell>
        </row>
        <row r="291">
          <cell r="A291">
            <v>23520314</v>
          </cell>
          <cell r="B291" t="str">
            <v>Noida Online Petty Cash</v>
          </cell>
          <cell r="C291">
            <v>2603</v>
          </cell>
          <cell r="D291">
            <v>0</v>
          </cell>
          <cell r="E291">
            <v>2603</v>
          </cell>
        </row>
        <row r="292">
          <cell r="A292">
            <v>23520358</v>
          </cell>
          <cell r="B292" t="str">
            <v>Rajkot Offline Petty Cash</v>
          </cell>
          <cell r="C292">
            <v>144</v>
          </cell>
          <cell r="D292">
            <v>0</v>
          </cell>
          <cell r="E292">
            <v>144</v>
          </cell>
        </row>
        <row r="293">
          <cell r="A293">
            <v>23520420</v>
          </cell>
          <cell r="B293" t="str">
            <v>Surat Online Petty Cash</v>
          </cell>
          <cell r="C293">
            <v>0</v>
          </cell>
          <cell r="D293">
            <v>0</v>
          </cell>
          <cell r="E293">
            <v>0</v>
          </cell>
        </row>
        <row r="294">
          <cell r="A294">
            <v>23520462</v>
          </cell>
          <cell r="B294" t="str">
            <v>Vizag Offline Petty Cash</v>
          </cell>
          <cell r="C294">
            <v>1192</v>
          </cell>
          <cell r="D294">
            <v>0</v>
          </cell>
          <cell r="E294">
            <v>1192</v>
          </cell>
        </row>
        <row r="295">
          <cell r="A295">
            <v>23520492</v>
          </cell>
          <cell r="B295" t="str">
            <v>Chennai Franking Petty Cash</v>
          </cell>
          <cell r="C295">
            <v>0</v>
          </cell>
          <cell r="D295">
            <v>0</v>
          </cell>
          <cell r="E295">
            <v>0</v>
          </cell>
        </row>
        <row r="296">
          <cell r="A296">
            <v>23520600</v>
          </cell>
          <cell r="B296" t="str">
            <v>United Bank of India Delhi 0276050413756</v>
          </cell>
          <cell r="C296">
            <v>321540.36</v>
          </cell>
          <cell r="D296">
            <v>0</v>
          </cell>
          <cell r="E296">
            <v>321540.36</v>
          </cell>
        </row>
        <row r="297">
          <cell r="A297">
            <v>23520788</v>
          </cell>
          <cell r="B297" t="str">
            <v>Hydrabad Banajara Hills Petty Cash</v>
          </cell>
          <cell r="C297">
            <v>3391</v>
          </cell>
          <cell r="D297">
            <v>0</v>
          </cell>
          <cell r="E297">
            <v>3391</v>
          </cell>
        </row>
        <row r="298">
          <cell r="A298">
            <v>23520849</v>
          </cell>
          <cell r="B298" t="str">
            <v>Gurgaon Cyber City Petty Cash</v>
          </cell>
          <cell r="C298">
            <v>0</v>
          </cell>
          <cell r="D298">
            <v>0</v>
          </cell>
          <cell r="E298">
            <v>0</v>
          </cell>
        </row>
        <row r="299">
          <cell r="A299">
            <v>23520850</v>
          </cell>
          <cell r="B299" t="str">
            <v>00990630003199 (Settlement a\c ) HDFC BANK A\C</v>
          </cell>
          <cell r="C299">
            <v>104224.22</v>
          </cell>
          <cell r="D299">
            <v>0</v>
          </cell>
          <cell r="E299">
            <v>104224.22</v>
          </cell>
        </row>
        <row r="300">
          <cell r="A300">
            <v>23520880</v>
          </cell>
          <cell r="B300" t="str">
            <v>HDFC BANK 5982340005073</v>
          </cell>
          <cell r="C300">
            <v>10000</v>
          </cell>
          <cell r="D300">
            <v>0</v>
          </cell>
          <cell r="E300">
            <v>10000</v>
          </cell>
        </row>
        <row r="301">
          <cell r="A301">
            <v>23520890</v>
          </cell>
          <cell r="B301" t="str">
            <v>HDFC BANK '0030340025525</v>
          </cell>
          <cell r="C301">
            <v>13644.28</v>
          </cell>
          <cell r="D301">
            <v>0</v>
          </cell>
          <cell r="E301">
            <v>13644.28</v>
          </cell>
        </row>
        <row r="302">
          <cell r="A302">
            <v>23520910</v>
          </cell>
          <cell r="B302" t="str">
            <v>IDBI BANK 038102000010779</v>
          </cell>
          <cell r="C302">
            <v>10000</v>
          </cell>
          <cell r="D302">
            <v>0</v>
          </cell>
          <cell r="E302">
            <v>10000</v>
          </cell>
        </row>
        <row r="303">
          <cell r="A303">
            <v>23521159</v>
          </cell>
          <cell r="B303" t="str">
            <v>Pune Kasturba Marg Online Petty Cash</v>
          </cell>
          <cell r="C303">
            <v>228</v>
          </cell>
          <cell r="D303">
            <v>0</v>
          </cell>
          <cell r="E303">
            <v>228</v>
          </cell>
        </row>
        <row r="304">
          <cell r="A304">
            <v>23521320</v>
          </cell>
          <cell r="B304" t="str">
            <v>Canara Bank A/c 2577201017424 (ISL)</v>
          </cell>
          <cell r="C304">
            <v>2431304.9300000002</v>
          </cell>
          <cell r="D304">
            <v>0</v>
          </cell>
          <cell r="E304">
            <v>2431304.9300000002</v>
          </cell>
        </row>
        <row r="305">
          <cell r="A305">
            <v>23521700</v>
          </cell>
          <cell r="B305" t="str">
            <v>Karnataka Bank 1012000100631101 Client A/c</v>
          </cell>
          <cell r="C305">
            <v>209831</v>
          </cell>
          <cell r="D305">
            <v>0</v>
          </cell>
          <cell r="E305">
            <v>209831</v>
          </cell>
        </row>
        <row r="306">
          <cell r="A306">
            <v>23522600</v>
          </cell>
          <cell r="B306" t="str">
            <v>Yes Bank 000184400003981- Interim Dividend 2012-13</v>
          </cell>
          <cell r="C306">
            <v>2771435</v>
          </cell>
          <cell r="D306">
            <v>0</v>
          </cell>
          <cell r="E306">
            <v>2771435</v>
          </cell>
        </row>
        <row r="307">
          <cell r="A307">
            <v>23522690</v>
          </cell>
          <cell r="B307" t="str">
            <v>ISL A/c No-02790340000013 HDFC BANK LTD</v>
          </cell>
          <cell r="C307">
            <v>14403</v>
          </cell>
          <cell r="D307">
            <v>0</v>
          </cell>
          <cell r="E307">
            <v>14403</v>
          </cell>
        </row>
        <row r="308">
          <cell r="A308">
            <v>23522730</v>
          </cell>
          <cell r="B308" t="str">
            <v>Axis bank Ltd A/c no 912020056404872</v>
          </cell>
          <cell r="C308">
            <v>12471497.550000001</v>
          </cell>
          <cell r="D308">
            <v>0</v>
          </cell>
          <cell r="E308">
            <v>12471497.550000001</v>
          </cell>
        </row>
        <row r="309">
          <cell r="A309">
            <v>23524710</v>
          </cell>
          <cell r="B309" t="str">
            <v>Axis Bank Ltd 912020066513908 Client A/c</v>
          </cell>
          <cell r="C309">
            <v>105000</v>
          </cell>
          <cell r="D309">
            <v>0</v>
          </cell>
          <cell r="E309">
            <v>105000</v>
          </cell>
        </row>
        <row r="310">
          <cell r="A310">
            <v>23525700</v>
          </cell>
          <cell r="B310" t="str">
            <v>Axis 913020004572245 Interim Divid 2012-13 -II</v>
          </cell>
          <cell r="C310">
            <v>2687092</v>
          </cell>
          <cell r="D310">
            <v>0</v>
          </cell>
          <cell r="E310">
            <v>2687092</v>
          </cell>
        </row>
        <row r="311">
          <cell r="A311">
            <v>23525730</v>
          </cell>
          <cell r="B311" t="str">
            <v>Axis Bank 913020004572520 Interim Div A/c 2012-13</v>
          </cell>
          <cell r="C311">
            <v>62227</v>
          </cell>
          <cell r="D311">
            <v>0</v>
          </cell>
          <cell r="E311">
            <v>62227</v>
          </cell>
        </row>
        <row r="312">
          <cell r="A312">
            <v>23526010</v>
          </cell>
          <cell r="B312" t="str">
            <v>Axis Bank 913020020658570 Inte Divid III A/c 12-13</v>
          </cell>
          <cell r="C312">
            <v>231112511</v>
          </cell>
          <cell r="D312">
            <v>0</v>
          </cell>
          <cell r="E312">
            <v>231112511</v>
          </cell>
        </row>
        <row r="313">
          <cell r="A313">
            <v>24500000</v>
          </cell>
          <cell r="B313" t="str">
            <v>Cash in hand</v>
          </cell>
          <cell r="C313">
            <v>19117</v>
          </cell>
          <cell r="D313">
            <v>0</v>
          </cell>
          <cell r="E313">
            <v>19117</v>
          </cell>
        </row>
        <row r="314">
          <cell r="A314">
            <v>24500001</v>
          </cell>
          <cell r="B314" t="str">
            <v>Mumbai Cash</v>
          </cell>
          <cell r="C314">
            <v>29862</v>
          </cell>
          <cell r="D314">
            <v>0</v>
          </cell>
          <cell r="E314">
            <v>29862</v>
          </cell>
        </row>
        <row r="315">
          <cell r="A315">
            <v>24500004</v>
          </cell>
          <cell r="B315" t="str">
            <v>Faridabad Online Petty Cash</v>
          </cell>
          <cell r="C315">
            <v>2056</v>
          </cell>
          <cell r="D315">
            <v>0</v>
          </cell>
          <cell r="E315">
            <v>2056</v>
          </cell>
        </row>
        <row r="316">
          <cell r="A316">
            <v>24532030</v>
          </cell>
          <cell r="B316" t="str">
            <v>Oriental Bank of Commerce a/c no 01791011001474</v>
          </cell>
          <cell r="C316">
            <v>17660</v>
          </cell>
          <cell r="D316">
            <v>0</v>
          </cell>
          <cell r="E316">
            <v>17660</v>
          </cell>
        </row>
        <row r="317">
          <cell r="A317">
            <v>24532050</v>
          </cell>
          <cell r="B317" t="str">
            <v>CITI BANK A/C NO 325250046.</v>
          </cell>
          <cell r="C317">
            <v>36398.06</v>
          </cell>
          <cell r="D317">
            <v>0</v>
          </cell>
          <cell r="E317">
            <v>36398.06</v>
          </cell>
        </row>
        <row r="318">
          <cell r="A318">
            <v>24532140</v>
          </cell>
          <cell r="B318" t="str">
            <v>UNION BANK OF INDIA 317901011012025</v>
          </cell>
          <cell r="C318">
            <v>362.76</v>
          </cell>
          <cell r="D318">
            <v>0</v>
          </cell>
          <cell r="E318">
            <v>362.76</v>
          </cell>
        </row>
        <row r="319">
          <cell r="A319">
            <v>24532331</v>
          </cell>
          <cell r="B319" t="str">
            <v>Ghaziabad Online Petty Cash</v>
          </cell>
          <cell r="C319">
            <v>19</v>
          </cell>
          <cell r="D319">
            <v>0</v>
          </cell>
          <cell r="E319">
            <v>19</v>
          </cell>
        </row>
        <row r="320">
          <cell r="A320">
            <v>24700005</v>
          </cell>
          <cell r="B320" t="str">
            <v>Brokerage Charges Receivable</v>
          </cell>
          <cell r="C320">
            <v>3257310.86</v>
          </cell>
          <cell r="D320">
            <v>0</v>
          </cell>
          <cell r="E320">
            <v>3257310.86</v>
          </cell>
        </row>
        <row r="321">
          <cell r="A321">
            <v>24700010</v>
          </cell>
          <cell r="B321" t="str">
            <v>TDS BSE -GBSE</v>
          </cell>
          <cell r="C321">
            <v>112785</v>
          </cell>
          <cell r="D321">
            <v>0</v>
          </cell>
          <cell r="E321">
            <v>112785</v>
          </cell>
        </row>
        <row r="322">
          <cell r="A322">
            <v>24700011</v>
          </cell>
          <cell r="B322" t="str">
            <v>TDS - NSE GSNSE</v>
          </cell>
          <cell r="C322">
            <v>1827408</v>
          </cell>
          <cell r="D322">
            <v>0</v>
          </cell>
          <cell r="E322">
            <v>1827408</v>
          </cell>
        </row>
        <row r="323">
          <cell r="A323">
            <v>24700013</v>
          </cell>
          <cell r="B323" t="str">
            <v>Security Deposit With Bse</v>
          </cell>
          <cell r="C323">
            <v>500000</v>
          </cell>
          <cell r="D323">
            <v>0</v>
          </cell>
          <cell r="E323">
            <v>500000</v>
          </cell>
        </row>
        <row r="324">
          <cell r="A324">
            <v>24700036</v>
          </cell>
          <cell r="B324" t="str">
            <v>Vendors Balances-Against Advance for fixed assets</v>
          </cell>
          <cell r="C324">
            <v>5971149.7999999998</v>
          </cell>
          <cell r="D324">
            <v>0</v>
          </cell>
          <cell r="E324">
            <v>5971149.7999999998</v>
          </cell>
        </row>
        <row r="325">
          <cell r="A325">
            <v>24700037</v>
          </cell>
          <cell r="B325" t="str">
            <v>Vendors Balances-Against Advance for Interior</v>
          </cell>
          <cell r="C325">
            <v>277612</v>
          </cell>
          <cell r="D325">
            <v>0</v>
          </cell>
          <cell r="E325">
            <v>277612</v>
          </cell>
        </row>
        <row r="326">
          <cell r="A326">
            <v>24700038</v>
          </cell>
          <cell r="B326" t="str">
            <v>Security Deposit Paid</v>
          </cell>
          <cell r="C326">
            <v>86659809.780000001</v>
          </cell>
          <cell r="D326">
            <v>0</v>
          </cell>
          <cell r="E326">
            <v>86659809.780000001</v>
          </cell>
        </row>
        <row r="327">
          <cell r="A327">
            <v>24700040</v>
          </cell>
          <cell r="B327" t="str">
            <v>Vendors BalancesSecurity Deposit-Others</v>
          </cell>
          <cell r="C327">
            <v>10000</v>
          </cell>
          <cell r="D327">
            <v>0</v>
          </cell>
          <cell r="E327">
            <v>10000</v>
          </cell>
        </row>
        <row r="328">
          <cell r="A328">
            <v>24700041</v>
          </cell>
          <cell r="B328" t="str">
            <v>Vendors Balances-Other Vendor Advances</v>
          </cell>
          <cell r="C328">
            <v>32589784.690000001</v>
          </cell>
          <cell r="D328">
            <v>0</v>
          </cell>
          <cell r="E328">
            <v>32589784.690000001</v>
          </cell>
        </row>
        <row r="329">
          <cell r="A329">
            <v>24700043</v>
          </cell>
          <cell r="B329" t="str">
            <v>Vendors Balances - Advance Against Salary</v>
          </cell>
          <cell r="C329">
            <v>156536</v>
          </cell>
          <cell r="D329">
            <v>0</v>
          </cell>
          <cell r="E329">
            <v>156536</v>
          </cell>
        </row>
        <row r="330">
          <cell r="A330">
            <v>24700046</v>
          </cell>
          <cell r="B330" t="str">
            <v>Vendors Balances - Others Advances to Employees</v>
          </cell>
          <cell r="C330">
            <v>40900</v>
          </cell>
          <cell r="D330">
            <v>0</v>
          </cell>
          <cell r="E330">
            <v>40900</v>
          </cell>
        </row>
        <row r="331">
          <cell r="A331">
            <v>24700055</v>
          </cell>
          <cell r="B331" t="str">
            <v>Tax Deducted at Source 2007-08</v>
          </cell>
          <cell r="C331">
            <v>16088886.99</v>
          </cell>
          <cell r="D331">
            <v>0</v>
          </cell>
          <cell r="E331">
            <v>16088886.99</v>
          </cell>
        </row>
        <row r="332">
          <cell r="A332">
            <v>24700060</v>
          </cell>
          <cell r="B332" t="str">
            <v>TDS DEDUCTED FIXED DEPOSIT 2007-2008</v>
          </cell>
          <cell r="C332">
            <v>69436108.640000001</v>
          </cell>
          <cell r="D332">
            <v>0</v>
          </cell>
          <cell r="E332">
            <v>69436108.640000001</v>
          </cell>
        </row>
        <row r="333">
          <cell r="A333">
            <v>24700112</v>
          </cell>
          <cell r="B333" t="str">
            <v>Security Deposit with BSE for SLBS Registration</v>
          </cell>
          <cell r="C333">
            <v>1000000</v>
          </cell>
          <cell r="D333">
            <v>0</v>
          </cell>
          <cell r="E333">
            <v>1000000</v>
          </cell>
        </row>
        <row r="334">
          <cell r="A334">
            <v>24700131</v>
          </cell>
          <cell r="B334" t="str">
            <v>Tds Deducted FY10-11</v>
          </cell>
          <cell r="C334">
            <v>886887.84</v>
          </cell>
          <cell r="D334">
            <v>0</v>
          </cell>
          <cell r="E334">
            <v>886887.84</v>
          </cell>
        </row>
        <row r="335">
          <cell r="A335">
            <v>24710060</v>
          </cell>
          <cell r="B335" t="str">
            <v>Loan and Advances-  ICD Given</v>
          </cell>
          <cell r="C335">
            <v>1717500000</v>
          </cell>
          <cell r="D335">
            <v>0</v>
          </cell>
          <cell r="E335">
            <v>1717500000</v>
          </cell>
        </row>
        <row r="336">
          <cell r="A336">
            <v>24710072</v>
          </cell>
          <cell r="B336" t="str">
            <v>Modvatable Input Service Tax Clearing 12.36%</v>
          </cell>
          <cell r="C336">
            <v>5475653.9199999999</v>
          </cell>
          <cell r="D336">
            <v>0</v>
          </cell>
          <cell r="E336">
            <v>5475653.9199999999</v>
          </cell>
        </row>
        <row r="337">
          <cell r="A337">
            <v>24710091</v>
          </cell>
          <cell r="B337" t="str">
            <v>TDS DEDUCTED FIXED DEPOSIT 2008-2009</v>
          </cell>
          <cell r="C337">
            <v>-0.32</v>
          </cell>
          <cell r="D337">
            <v>0</v>
          </cell>
          <cell r="E337">
            <v>-0.32</v>
          </cell>
        </row>
        <row r="338">
          <cell r="A338">
            <v>24710095</v>
          </cell>
          <cell r="B338" t="str">
            <v>Inter Co.Vendor-Advance for land Given</v>
          </cell>
          <cell r="C338">
            <v>100000000</v>
          </cell>
          <cell r="D338">
            <v>0</v>
          </cell>
          <cell r="E338">
            <v>100000000</v>
          </cell>
        </row>
        <row r="339">
          <cell r="A339">
            <v>24710108</v>
          </cell>
          <cell r="B339" t="str">
            <v>Service Tax Refund Claim Manual</v>
          </cell>
          <cell r="C339">
            <v>37648.9</v>
          </cell>
          <cell r="D339">
            <v>0</v>
          </cell>
          <cell r="E339">
            <v>37648.9</v>
          </cell>
        </row>
        <row r="340">
          <cell r="A340">
            <v>24710110</v>
          </cell>
          <cell r="B340" t="str">
            <v>Prepaid Expenses</v>
          </cell>
          <cell r="C340">
            <v>19297664.699999999</v>
          </cell>
          <cell r="D340">
            <v>0</v>
          </cell>
          <cell r="E340">
            <v>19297664.699999999</v>
          </cell>
        </row>
        <row r="341">
          <cell r="A341">
            <v>24710114</v>
          </cell>
          <cell r="B341" t="str">
            <v>SALARY ADVANCE</v>
          </cell>
          <cell r="C341">
            <v>154639.20000000001</v>
          </cell>
          <cell r="D341">
            <v>0</v>
          </cell>
          <cell r="E341">
            <v>154639.20000000001</v>
          </cell>
        </row>
        <row r="342">
          <cell r="A342">
            <v>24710123</v>
          </cell>
          <cell r="B342" t="str">
            <v>Advance For Expense</v>
          </cell>
          <cell r="C342">
            <v>152500</v>
          </cell>
          <cell r="D342">
            <v>0</v>
          </cell>
          <cell r="E342">
            <v>152500</v>
          </cell>
        </row>
        <row r="343">
          <cell r="A343">
            <v>24710126</v>
          </cell>
          <cell r="B343" t="str">
            <v>AMITABH MISHRA LOAN A/C</v>
          </cell>
          <cell r="C343">
            <v>100000</v>
          </cell>
          <cell r="D343">
            <v>0</v>
          </cell>
          <cell r="E343">
            <v>100000</v>
          </cell>
        </row>
        <row r="344">
          <cell r="A344">
            <v>24710130</v>
          </cell>
          <cell r="B344" t="str">
            <v>D.P INCOME RECEIVABLE</v>
          </cell>
          <cell r="C344">
            <v>0</v>
          </cell>
          <cell r="D344">
            <v>0</v>
          </cell>
          <cell r="E344">
            <v>0</v>
          </cell>
        </row>
        <row r="345">
          <cell r="A345">
            <v>24710131</v>
          </cell>
          <cell r="B345" t="str">
            <v>CENVAT REFUND RECEIVABLE</v>
          </cell>
          <cell r="C345">
            <v>70782.899999999994</v>
          </cell>
          <cell r="D345">
            <v>0</v>
          </cell>
          <cell r="E345">
            <v>70782.899999999994</v>
          </cell>
        </row>
        <row r="346">
          <cell r="A346">
            <v>24710158</v>
          </cell>
          <cell r="B346" t="str">
            <v>BSE COLLATERAL -TRADE GUARANTEE FEE</v>
          </cell>
          <cell r="C346">
            <v>1000000</v>
          </cell>
          <cell r="D346">
            <v>0</v>
          </cell>
          <cell r="E346">
            <v>1000000</v>
          </cell>
        </row>
        <row r="347">
          <cell r="A347">
            <v>24710159</v>
          </cell>
          <cell r="B347" t="str">
            <v>BSE COLLATERAL DEPOSIT (BASE CAPITAL)</v>
          </cell>
          <cell r="C347">
            <v>1000000</v>
          </cell>
          <cell r="D347">
            <v>0</v>
          </cell>
          <cell r="E347">
            <v>1000000</v>
          </cell>
        </row>
        <row r="348">
          <cell r="A348">
            <v>24710160</v>
          </cell>
          <cell r="B348" t="str">
            <v>NSE DEPOSITS</v>
          </cell>
          <cell r="C348">
            <v>6600000</v>
          </cell>
          <cell r="D348">
            <v>0</v>
          </cell>
          <cell r="E348">
            <v>6600000</v>
          </cell>
        </row>
        <row r="349">
          <cell r="A349">
            <v>24710161</v>
          </cell>
          <cell r="B349" t="str">
            <v>NSE FUTURES SEGMENT MARGI</v>
          </cell>
          <cell r="C349">
            <v>200000</v>
          </cell>
          <cell r="D349">
            <v>0</v>
          </cell>
          <cell r="E349">
            <v>200000</v>
          </cell>
        </row>
        <row r="350">
          <cell r="A350">
            <v>24710162</v>
          </cell>
          <cell r="B350" t="str">
            <v>NSE SECURITY FOR WHOLESAL</v>
          </cell>
          <cell r="C350">
            <v>5000000</v>
          </cell>
          <cell r="D350">
            <v>0</v>
          </cell>
          <cell r="E350">
            <v>5000000</v>
          </cell>
        </row>
        <row r="351">
          <cell r="A351">
            <v>24710163</v>
          </cell>
          <cell r="B351" t="str">
            <v>IFSD- Retail Debt Market (RDM)</v>
          </cell>
          <cell r="C351">
            <v>500000</v>
          </cell>
          <cell r="D351">
            <v>0</v>
          </cell>
          <cell r="E351">
            <v>500000</v>
          </cell>
        </row>
        <row r="352">
          <cell r="A352">
            <v>24710164</v>
          </cell>
          <cell r="B352" t="str">
            <v>SECURITY DEPOSIT WITH CDS</v>
          </cell>
          <cell r="C352">
            <v>250000</v>
          </cell>
          <cell r="D352">
            <v>0</v>
          </cell>
          <cell r="E352">
            <v>250000</v>
          </cell>
        </row>
        <row r="353">
          <cell r="A353">
            <v>24710165</v>
          </cell>
          <cell r="B353" t="str">
            <v>SECURITY DEPOSIT WITH MCX</v>
          </cell>
          <cell r="C353">
            <v>500000</v>
          </cell>
          <cell r="D353">
            <v>0</v>
          </cell>
          <cell r="E353">
            <v>500000</v>
          </cell>
        </row>
        <row r="354">
          <cell r="A354">
            <v>24710166</v>
          </cell>
          <cell r="B354" t="str">
            <v>SECURITY FOR FUTURE SEGME</v>
          </cell>
          <cell r="C354">
            <v>600000</v>
          </cell>
          <cell r="D354">
            <v>0</v>
          </cell>
          <cell r="E354">
            <v>600000</v>
          </cell>
        </row>
        <row r="355">
          <cell r="A355">
            <v>24710167</v>
          </cell>
          <cell r="B355" t="str">
            <v>IFSD- Future &amp; Option (F&amp;O)</v>
          </cell>
          <cell r="C355">
            <v>2500000</v>
          </cell>
          <cell r="D355">
            <v>0</v>
          </cell>
          <cell r="E355">
            <v>2500000</v>
          </cell>
        </row>
        <row r="356">
          <cell r="A356">
            <v>24710168</v>
          </cell>
          <cell r="B356" t="str">
            <v>SECURITY WITH NSDL</v>
          </cell>
          <cell r="C356">
            <v>1000000</v>
          </cell>
          <cell r="D356">
            <v>0</v>
          </cell>
          <cell r="E356">
            <v>1000000</v>
          </cell>
        </row>
        <row r="357">
          <cell r="A357">
            <v>24710169</v>
          </cell>
          <cell r="B357" t="str">
            <v>IFSD- Cash Market (CM)</v>
          </cell>
          <cell r="C357">
            <v>900000</v>
          </cell>
          <cell r="D357">
            <v>0</v>
          </cell>
          <cell r="E357">
            <v>900000</v>
          </cell>
        </row>
        <row r="358">
          <cell r="A358">
            <v>24710170</v>
          </cell>
          <cell r="B358" t="str">
            <v>Security Deposit -VSAT</v>
          </cell>
          <cell r="C358">
            <v>3699002.78</v>
          </cell>
          <cell r="D358">
            <v>0</v>
          </cell>
          <cell r="E358">
            <v>3699002.78</v>
          </cell>
        </row>
        <row r="359">
          <cell r="A359">
            <v>24710171</v>
          </cell>
          <cell r="B359" t="str">
            <v>VSAT DEPOSIT (BSE)</v>
          </cell>
          <cell r="C359">
            <v>4230000</v>
          </cell>
          <cell r="D359">
            <v>0</v>
          </cell>
          <cell r="E359">
            <v>4230000</v>
          </cell>
        </row>
        <row r="360">
          <cell r="A360">
            <v>24710172</v>
          </cell>
          <cell r="B360" t="str">
            <v>LEASE LINE DEPOSIT</v>
          </cell>
          <cell r="C360">
            <v>531482</v>
          </cell>
          <cell r="D360">
            <v>0</v>
          </cell>
          <cell r="E360">
            <v>531482</v>
          </cell>
        </row>
        <row r="361">
          <cell r="A361">
            <v>24710180</v>
          </cell>
          <cell r="B361" t="str">
            <v>SECURITY DEPOSIT ELECTRICITY - BARODA</v>
          </cell>
          <cell r="C361">
            <v>155860</v>
          </cell>
          <cell r="D361">
            <v>0</v>
          </cell>
          <cell r="E361">
            <v>155860</v>
          </cell>
        </row>
        <row r="362">
          <cell r="A362">
            <v>24710183</v>
          </cell>
          <cell r="B362" t="str">
            <v>SECURITY DEPOSIT OF VSAT FOR DWARKA OFFLINE (N</v>
          </cell>
          <cell r="C362">
            <v>12666.67</v>
          </cell>
          <cell r="D362">
            <v>0</v>
          </cell>
          <cell r="E362">
            <v>12666.67</v>
          </cell>
        </row>
        <row r="363">
          <cell r="A363">
            <v>24710191</v>
          </cell>
          <cell r="B363" t="str">
            <v>SECURITY DEPOSIT VSAT - CALCUTTA</v>
          </cell>
          <cell r="C363">
            <v>9000</v>
          </cell>
          <cell r="D363">
            <v>0</v>
          </cell>
          <cell r="E363">
            <v>9000</v>
          </cell>
        </row>
        <row r="364">
          <cell r="A364">
            <v>24710198</v>
          </cell>
          <cell r="B364" t="str">
            <v>SECURITY DEPOSITE FOR ELECTRICITY</v>
          </cell>
          <cell r="C364">
            <v>253726</v>
          </cell>
          <cell r="D364">
            <v>0</v>
          </cell>
          <cell r="E364">
            <v>253726</v>
          </cell>
        </row>
        <row r="365">
          <cell r="A365">
            <v>24710201</v>
          </cell>
          <cell r="B365" t="str">
            <v>SECURITY FOR LEASE LINE -MUMBAI</v>
          </cell>
          <cell r="C365">
            <v>100000</v>
          </cell>
          <cell r="D365">
            <v>0</v>
          </cell>
          <cell r="E365">
            <v>100000</v>
          </cell>
        </row>
        <row r="366">
          <cell r="A366">
            <v>24710202</v>
          </cell>
          <cell r="B366" t="str">
            <v>SECURITY FOR LEASELINE - DELHI</v>
          </cell>
          <cell r="C366">
            <v>150000</v>
          </cell>
          <cell r="D366">
            <v>0</v>
          </cell>
          <cell r="E366">
            <v>150000</v>
          </cell>
        </row>
        <row r="367">
          <cell r="A367">
            <v>24710204</v>
          </cell>
          <cell r="B367" t="str">
            <v>SECURITY FOR VSAT TO CEPCO</v>
          </cell>
          <cell r="C367">
            <v>75000</v>
          </cell>
          <cell r="D367">
            <v>0</v>
          </cell>
          <cell r="E367">
            <v>75000</v>
          </cell>
        </row>
        <row r="368">
          <cell r="A368">
            <v>24710212</v>
          </cell>
          <cell r="B368" t="str">
            <v>SECURITY  DEPOSIT NOIDA ONLINE</v>
          </cell>
          <cell r="C368">
            <v>26903.26</v>
          </cell>
          <cell r="D368">
            <v>0</v>
          </cell>
          <cell r="E368">
            <v>26903.26</v>
          </cell>
        </row>
        <row r="369">
          <cell r="A369">
            <v>24710215</v>
          </cell>
          <cell r="B369" t="str">
            <v>SECURITY DEPOSIT - AHMEDABAD</v>
          </cell>
          <cell r="C369">
            <v>87167</v>
          </cell>
          <cell r="D369">
            <v>0</v>
          </cell>
          <cell r="E369">
            <v>87167</v>
          </cell>
        </row>
        <row r="370">
          <cell r="A370">
            <v>24710235</v>
          </cell>
          <cell r="B370" t="str">
            <v>SECURITY DEPOSIT CHENNAI (T NAGAR)</v>
          </cell>
          <cell r="C370">
            <v>184524</v>
          </cell>
          <cell r="D370">
            <v>0</v>
          </cell>
          <cell r="E370">
            <v>184524</v>
          </cell>
        </row>
        <row r="371">
          <cell r="A371">
            <v>24710236</v>
          </cell>
          <cell r="B371" t="str">
            <v>SECURITY DEPOSIT CHENNAI - MYLAPORE</v>
          </cell>
          <cell r="C371">
            <v>791901</v>
          </cell>
          <cell r="D371">
            <v>0</v>
          </cell>
          <cell r="E371">
            <v>791901</v>
          </cell>
        </row>
        <row r="372">
          <cell r="A372">
            <v>24710250</v>
          </cell>
          <cell r="B372" t="str">
            <v>SECURITY DEPOSIT FOR BANDRA ONLINE</v>
          </cell>
          <cell r="C372">
            <v>500000</v>
          </cell>
          <cell r="D372">
            <v>0</v>
          </cell>
          <cell r="E372">
            <v>500000</v>
          </cell>
        </row>
        <row r="373">
          <cell r="A373">
            <v>24710261</v>
          </cell>
          <cell r="B373" t="str">
            <v>SECURITY DEPOSIT FOR GHATKOPAR BRANCH</v>
          </cell>
          <cell r="C373">
            <v>1170000</v>
          </cell>
          <cell r="D373">
            <v>0</v>
          </cell>
          <cell r="E373">
            <v>1170000</v>
          </cell>
        </row>
        <row r="374">
          <cell r="A374">
            <v>24710272</v>
          </cell>
          <cell r="B374" t="str">
            <v>SECURITY DEPOSIT FOR MAHIM OFFLINE</v>
          </cell>
          <cell r="C374">
            <v>414129</v>
          </cell>
          <cell r="D374">
            <v>0</v>
          </cell>
          <cell r="E374">
            <v>414129</v>
          </cell>
        </row>
        <row r="375">
          <cell r="A375">
            <v>24710307</v>
          </cell>
          <cell r="B375" t="str">
            <v>SECURITY DEPOSIT JAIPUR</v>
          </cell>
          <cell r="C375">
            <v>45906.37</v>
          </cell>
          <cell r="D375">
            <v>0</v>
          </cell>
          <cell r="E375">
            <v>45906.37</v>
          </cell>
        </row>
        <row r="376">
          <cell r="A376">
            <v>24710319</v>
          </cell>
          <cell r="B376" t="str">
            <v>SECURITY DEPOSIT LUDHIANA</v>
          </cell>
          <cell r="C376">
            <v>166157</v>
          </cell>
          <cell r="D376">
            <v>0</v>
          </cell>
          <cell r="E376">
            <v>166157</v>
          </cell>
        </row>
        <row r="377">
          <cell r="A377">
            <v>24710332</v>
          </cell>
          <cell r="B377" t="str">
            <v>SECURITY DEPOSIT NASIK</v>
          </cell>
          <cell r="C377">
            <v>624271.80000000005</v>
          </cell>
          <cell r="D377">
            <v>0</v>
          </cell>
          <cell r="E377">
            <v>624271.80000000005</v>
          </cell>
        </row>
        <row r="378">
          <cell r="A378">
            <v>24710384</v>
          </cell>
          <cell r="B378" t="str">
            <v>SECURITY DEPOSIT OF CENTRAL PARK TIRUPATI BRANCH</v>
          </cell>
          <cell r="C378">
            <v>59771</v>
          </cell>
          <cell r="D378">
            <v>0</v>
          </cell>
          <cell r="E378">
            <v>59771</v>
          </cell>
        </row>
        <row r="379">
          <cell r="A379">
            <v>24710402</v>
          </cell>
          <cell r="B379" t="str">
            <v>SECURITY DEPOSIT OF EAST OF KAILASH NEW DELHI</v>
          </cell>
          <cell r="C379">
            <v>401370.68</v>
          </cell>
          <cell r="D379">
            <v>0</v>
          </cell>
          <cell r="E379">
            <v>401370.68</v>
          </cell>
        </row>
        <row r="380">
          <cell r="A380">
            <v>24710411</v>
          </cell>
          <cell r="B380" t="str">
            <v>SECURITY DEPOSIT OF GEORGE TOWN NSC ROAD CHENNAI</v>
          </cell>
          <cell r="C380">
            <v>781419.67</v>
          </cell>
          <cell r="D380">
            <v>0</v>
          </cell>
          <cell r="E380">
            <v>781419.67</v>
          </cell>
        </row>
        <row r="381">
          <cell r="A381">
            <v>24710413</v>
          </cell>
          <cell r="B381" t="str">
            <v>SECURITY DEPOSIT OF GHAZIABAD RDC RAJ NAGAR</v>
          </cell>
          <cell r="C381">
            <v>6637.22</v>
          </cell>
          <cell r="D381">
            <v>0</v>
          </cell>
          <cell r="E381">
            <v>6637.22</v>
          </cell>
        </row>
        <row r="382">
          <cell r="A382">
            <v>24710584</v>
          </cell>
          <cell r="B382" t="str">
            <v>SECURITY DEPOSIT OF YUVRAJ SINGH CHOUDHARY</v>
          </cell>
          <cell r="C382">
            <v>100000</v>
          </cell>
          <cell r="D382">
            <v>0</v>
          </cell>
          <cell r="E382">
            <v>100000</v>
          </cell>
        </row>
        <row r="383">
          <cell r="A383">
            <v>24710597</v>
          </cell>
          <cell r="B383" t="str">
            <v>SECURITY DEPOSIT RAJKOT</v>
          </cell>
          <cell r="C383">
            <v>76395.87</v>
          </cell>
          <cell r="D383">
            <v>0</v>
          </cell>
          <cell r="E383">
            <v>76395.87</v>
          </cell>
        </row>
        <row r="384">
          <cell r="A384">
            <v>24710599</v>
          </cell>
          <cell r="B384" t="str">
            <v>SECURITY DEPOSIT RENT (PATIALA)</v>
          </cell>
          <cell r="C384">
            <v>30900</v>
          </cell>
          <cell r="D384">
            <v>0</v>
          </cell>
          <cell r="E384">
            <v>30900</v>
          </cell>
        </row>
        <row r="385">
          <cell r="A385">
            <v>24710612</v>
          </cell>
          <cell r="B385" t="str">
            <v>SECURITY DEPOSIT TOLLYGUNJ (KOLKATA)</v>
          </cell>
          <cell r="C385">
            <v>390937.7</v>
          </cell>
          <cell r="D385">
            <v>0</v>
          </cell>
          <cell r="E385">
            <v>390937.7</v>
          </cell>
        </row>
        <row r="386">
          <cell r="A386">
            <v>24710627</v>
          </cell>
          <cell r="B386" t="str">
            <v>SECURITY DEPOSIT VIZAG</v>
          </cell>
          <cell r="C386">
            <v>42000</v>
          </cell>
          <cell r="D386">
            <v>0</v>
          </cell>
          <cell r="E386">
            <v>42000</v>
          </cell>
        </row>
        <row r="387">
          <cell r="A387">
            <v>24710637</v>
          </cell>
          <cell r="B387" t="str">
            <v>SECURITY FOR AMRITSAR PREMISES</v>
          </cell>
          <cell r="C387">
            <v>87000</v>
          </cell>
          <cell r="D387">
            <v>0</v>
          </cell>
          <cell r="E387">
            <v>87000</v>
          </cell>
        </row>
        <row r="388">
          <cell r="A388">
            <v>24710644</v>
          </cell>
          <cell r="B388" t="str">
            <v>SECURITY FOR FARIDABAD PR</v>
          </cell>
          <cell r="C388">
            <v>14000</v>
          </cell>
          <cell r="D388">
            <v>0</v>
          </cell>
          <cell r="E388">
            <v>14000</v>
          </cell>
        </row>
        <row r="389">
          <cell r="A389">
            <v>24710646</v>
          </cell>
          <cell r="B389" t="str">
            <v>SECURITY FOR FURNITURE - LUCKNOW</v>
          </cell>
          <cell r="C389">
            <v>3000</v>
          </cell>
          <cell r="D389">
            <v>0</v>
          </cell>
          <cell r="E389">
            <v>3000</v>
          </cell>
        </row>
        <row r="390">
          <cell r="A390">
            <v>24710647</v>
          </cell>
          <cell r="B390" t="str">
            <v>SECURITY FOR GHATKOPAR PREMISES</v>
          </cell>
          <cell r="C390">
            <v>425000</v>
          </cell>
          <cell r="D390">
            <v>0</v>
          </cell>
          <cell r="E390">
            <v>425000</v>
          </cell>
        </row>
        <row r="391">
          <cell r="A391">
            <v>24710661</v>
          </cell>
          <cell r="B391" t="str">
            <v>SECURITY FOR KANPUR PREMISES - NEW</v>
          </cell>
          <cell r="C391">
            <v>37500</v>
          </cell>
          <cell r="D391">
            <v>0</v>
          </cell>
          <cell r="E391">
            <v>37500</v>
          </cell>
        </row>
        <row r="392">
          <cell r="A392">
            <v>24710664</v>
          </cell>
          <cell r="B392" t="str">
            <v>SECURITY FOR LOKHANDWALA</v>
          </cell>
          <cell r="C392">
            <v>749653.4</v>
          </cell>
          <cell r="D392">
            <v>0</v>
          </cell>
          <cell r="E392">
            <v>749653.4</v>
          </cell>
        </row>
        <row r="393">
          <cell r="A393">
            <v>24710665</v>
          </cell>
          <cell r="B393" t="str">
            <v>SECURITY FOR LUCKNOW PREMISES</v>
          </cell>
          <cell r="C393">
            <v>29850</v>
          </cell>
          <cell r="D393">
            <v>0</v>
          </cell>
          <cell r="E393">
            <v>29850</v>
          </cell>
        </row>
        <row r="394">
          <cell r="A394">
            <v>24710672</v>
          </cell>
          <cell r="B394" t="str">
            <v>SECURITY FOR MUMBAI BORIWALI</v>
          </cell>
          <cell r="C394">
            <v>111273.54</v>
          </cell>
          <cell r="D394">
            <v>0</v>
          </cell>
          <cell r="E394">
            <v>111273.54</v>
          </cell>
        </row>
        <row r="395">
          <cell r="A395">
            <v>24710687</v>
          </cell>
          <cell r="B395" t="str">
            <v>SECURITY RENT CALCUTTA</v>
          </cell>
          <cell r="C395">
            <v>324720</v>
          </cell>
          <cell r="D395">
            <v>0</v>
          </cell>
          <cell r="E395">
            <v>324720</v>
          </cell>
        </row>
        <row r="396">
          <cell r="A396">
            <v>24710689</v>
          </cell>
          <cell r="B396" t="str">
            <v>SECURITY RENT HYDRABAD</v>
          </cell>
          <cell r="C396">
            <v>96490</v>
          </cell>
          <cell r="D396">
            <v>0</v>
          </cell>
          <cell r="E396">
            <v>96490</v>
          </cell>
        </row>
        <row r="397">
          <cell r="A397">
            <v>24710691</v>
          </cell>
          <cell r="B397" t="str">
            <v>SECURITY RENT MUMBAI</v>
          </cell>
          <cell r="C397">
            <v>570000</v>
          </cell>
          <cell r="D397">
            <v>0</v>
          </cell>
          <cell r="E397">
            <v>570000</v>
          </cell>
        </row>
        <row r="398">
          <cell r="A398">
            <v>24710693</v>
          </cell>
          <cell r="B398" t="str">
            <v>SECURITY RENT OF PUNE</v>
          </cell>
          <cell r="C398">
            <v>348000</v>
          </cell>
          <cell r="D398">
            <v>0</v>
          </cell>
          <cell r="E398">
            <v>348000</v>
          </cell>
        </row>
        <row r="399">
          <cell r="A399">
            <v>24710694</v>
          </cell>
          <cell r="B399" t="str">
            <v>SECURITY RENT SJE GH</v>
          </cell>
          <cell r="C399">
            <v>44000</v>
          </cell>
          <cell r="D399">
            <v>0</v>
          </cell>
          <cell r="E399">
            <v>44000</v>
          </cell>
        </row>
        <row r="400">
          <cell r="A400">
            <v>24710697</v>
          </cell>
          <cell r="B400" t="str">
            <v>SECUTIRY DEPOSIT JAMSHEDPUR</v>
          </cell>
          <cell r="C400">
            <v>529565.14</v>
          </cell>
          <cell r="D400">
            <v>0</v>
          </cell>
          <cell r="E400">
            <v>529565.14</v>
          </cell>
        </row>
        <row r="401">
          <cell r="A401">
            <v>24710705</v>
          </cell>
          <cell r="B401" t="str">
            <v>SECURITY DEPOSIT(ELECTRCITY DALHOUSIE)</v>
          </cell>
          <cell r="C401">
            <v>431720</v>
          </cell>
          <cell r="D401">
            <v>0</v>
          </cell>
          <cell r="E401">
            <v>431720</v>
          </cell>
        </row>
        <row r="402">
          <cell r="A402">
            <v>24710706</v>
          </cell>
          <cell r="B402" t="str">
            <v>SECURITY DEPOSIT-ELECTRICITY(HOWRAH)</v>
          </cell>
          <cell r="C402">
            <v>80000</v>
          </cell>
          <cell r="D402">
            <v>0</v>
          </cell>
          <cell r="E402">
            <v>80000</v>
          </cell>
        </row>
        <row r="403">
          <cell r="A403">
            <v>24710721</v>
          </cell>
          <cell r="B403" t="str">
            <v>AMT RECOVERABLE FROM AMITESHWAR CHOUDHARY</v>
          </cell>
          <cell r="C403">
            <v>-10500</v>
          </cell>
          <cell r="D403">
            <v>0</v>
          </cell>
          <cell r="E403">
            <v>-10500</v>
          </cell>
        </row>
        <row r="404">
          <cell r="A404">
            <v>24710723</v>
          </cell>
          <cell r="B404" t="str">
            <v>EMPANALMENT OF DP WITH NCDEX</v>
          </cell>
          <cell r="C404">
            <v>500000</v>
          </cell>
          <cell r="D404">
            <v>0</v>
          </cell>
          <cell r="E404">
            <v>500000</v>
          </cell>
        </row>
        <row r="405">
          <cell r="A405">
            <v>24710726</v>
          </cell>
          <cell r="B405" t="str">
            <v>MAHESH  SEHGAL</v>
          </cell>
          <cell r="C405">
            <v>-5000</v>
          </cell>
          <cell r="D405">
            <v>0</v>
          </cell>
          <cell r="E405">
            <v>-5000</v>
          </cell>
        </row>
        <row r="406">
          <cell r="A406">
            <v>24710776</v>
          </cell>
          <cell r="B406" t="str">
            <v>Vendors Inter Company Receivables</v>
          </cell>
          <cell r="C406">
            <v>0.8</v>
          </cell>
          <cell r="D406">
            <v>0</v>
          </cell>
          <cell r="E406">
            <v>0.8</v>
          </cell>
        </row>
        <row r="407">
          <cell r="A407">
            <v>24710789</v>
          </cell>
          <cell r="B407" t="str">
            <v>Education Cess BED / ST 2%</v>
          </cell>
          <cell r="C407">
            <v>26595.58</v>
          </cell>
          <cell r="D407">
            <v>0</v>
          </cell>
          <cell r="E407">
            <v>26595.58</v>
          </cell>
        </row>
        <row r="408">
          <cell r="A408">
            <v>24710790</v>
          </cell>
          <cell r="B408" t="str">
            <v>Higher &amp; Secondory Education Cess BED / ST 1%</v>
          </cell>
          <cell r="C408">
            <v>13300.06</v>
          </cell>
          <cell r="D408">
            <v>0</v>
          </cell>
          <cell r="E408">
            <v>13300.06</v>
          </cell>
        </row>
        <row r="409">
          <cell r="A409">
            <v>24710792</v>
          </cell>
          <cell r="B409" t="str">
            <v>Input Service Tax Clearing 4.12% and 8% VAT(NonM)</v>
          </cell>
          <cell r="C409">
            <v>1434057</v>
          </cell>
          <cell r="D409">
            <v>0</v>
          </cell>
          <cell r="E409">
            <v>1434057</v>
          </cell>
        </row>
        <row r="410">
          <cell r="A410">
            <v>24710800</v>
          </cell>
          <cell r="B410" t="str">
            <v>Advance Tax A.Y. 2008-09</v>
          </cell>
          <cell r="C410">
            <v>1110000000</v>
          </cell>
          <cell r="D410">
            <v>0</v>
          </cell>
          <cell r="E410">
            <v>1110000000</v>
          </cell>
        </row>
        <row r="411">
          <cell r="A411">
            <v>24710801</v>
          </cell>
          <cell r="B411" t="str">
            <v>Additional Margin with BSE</v>
          </cell>
          <cell r="C411">
            <v>500000</v>
          </cell>
          <cell r="D411">
            <v>0</v>
          </cell>
          <cell r="E411">
            <v>500000</v>
          </cell>
        </row>
        <row r="412">
          <cell r="A412">
            <v>24710827</v>
          </cell>
          <cell r="B412" t="str">
            <v>Modvatable Input Service Tax Clearing 10.30%</v>
          </cell>
          <cell r="C412">
            <v>92.7</v>
          </cell>
          <cell r="D412">
            <v>0</v>
          </cell>
          <cell r="E412">
            <v>92.7</v>
          </cell>
        </row>
        <row r="413">
          <cell r="A413">
            <v>24710832</v>
          </cell>
          <cell r="B413" t="str">
            <v>Mod Input Service Tax Clng 8.65%(70 % of 12.36)</v>
          </cell>
          <cell r="C413">
            <v>5990.8</v>
          </cell>
          <cell r="D413">
            <v>0</v>
          </cell>
          <cell r="E413">
            <v>5990.8</v>
          </cell>
        </row>
        <row r="414">
          <cell r="A414">
            <v>24710856</v>
          </cell>
          <cell r="B414" t="str">
            <v>Security Deposit - Lease Line</v>
          </cell>
          <cell r="C414">
            <v>1200000</v>
          </cell>
          <cell r="D414">
            <v>0</v>
          </cell>
          <cell r="E414">
            <v>1200000</v>
          </cell>
        </row>
        <row r="415">
          <cell r="A415">
            <v>24710909</v>
          </cell>
          <cell r="B415" t="str">
            <v>TDS Deducted Group Co. 2007-08</v>
          </cell>
          <cell r="C415">
            <v>19713366.120000001</v>
          </cell>
          <cell r="D415">
            <v>0</v>
          </cell>
          <cell r="E415">
            <v>19713366.120000001</v>
          </cell>
        </row>
        <row r="416">
          <cell r="A416">
            <v>24710913</v>
          </cell>
          <cell r="B416" t="str">
            <v>MAT Credit Entitlement A/c.</v>
          </cell>
          <cell r="C416">
            <v>75856015.719999999</v>
          </cell>
          <cell r="D416">
            <v>0</v>
          </cell>
          <cell r="E416">
            <v>75856015.719999999</v>
          </cell>
        </row>
        <row r="417">
          <cell r="A417">
            <v>24710921</v>
          </cell>
          <cell r="B417" t="str">
            <v>IFSD- Stock Lending &amp; Borrowings (SLB)</v>
          </cell>
          <cell r="C417">
            <v>1000000</v>
          </cell>
          <cell r="D417">
            <v>0</v>
          </cell>
          <cell r="E417">
            <v>1000000</v>
          </cell>
        </row>
        <row r="418">
          <cell r="A418">
            <v>24710967</v>
          </cell>
          <cell r="B418" t="str">
            <v>Self Assessment Tax AY 2008 - 09(FY2007-08)</v>
          </cell>
          <cell r="C418">
            <v>4803750</v>
          </cell>
          <cell r="D418">
            <v>0</v>
          </cell>
          <cell r="E418">
            <v>4803750</v>
          </cell>
        </row>
        <row r="419">
          <cell r="A419">
            <v>24711013</v>
          </cell>
          <cell r="B419" t="str">
            <v>SECURITY DEPOSIT WITH MCX - SX</v>
          </cell>
          <cell r="C419">
            <v>200000</v>
          </cell>
          <cell r="D419">
            <v>0</v>
          </cell>
          <cell r="E419">
            <v>200000</v>
          </cell>
        </row>
        <row r="420">
          <cell r="A420">
            <v>24711015</v>
          </cell>
          <cell r="B420" t="str">
            <v>Employee -Temporary Loan</v>
          </cell>
          <cell r="C420">
            <v>863883.16</v>
          </cell>
          <cell r="D420">
            <v>0</v>
          </cell>
          <cell r="E420">
            <v>863883.16</v>
          </cell>
        </row>
        <row r="421">
          <cell r="A421">
            <v>24711024</v>
          </cell>
          <cell r="B421" t="str">
            <v>TDS Ded. FDR 10-11</v>
          </cell>
          <cell r="C421">
            <v>35346405.439999998</v>
          </cell>
          <cell r="D421">
            <v>0</v>
          </cell>
          <cell r="E421">
            <v>35346405.439999998</v>
          </cell>
        </row>
        <row r="422">
          <cell r="A422">
            <v>24711025</v>
          </cell>
          <cell r="B422" t="str">
            <v>TDS Deducted Others 2010-11</v>
          </cell>
          <cell r="C422">
            <v>10001792</v>
          </cell>
          <cell r="D422">
            <v>0</v>
          </cell>
          <cell r="E422">
            <v>10001792</v>
          </cell>
        </row>
        <row r="423">
          <cell r="A423">
            <v>24711026</v>
          </cell>
          <cell r="B423" t="str">
            <v>IFSD - Leased LINE (NSE)</v>
          </cell>
          <cell r="C423">
            <v>2900000</v>
          </cell>
          <cell r="D423">
            <v>0</v>
          </cell>
          <cell r="E423">
            <v>2900000</v>
          </cell>
        </row>
        <row r="424">
          <cell r="A424">
            <v>24711033</v>
          </cell>
          <cell r="B424" t="str">
            <v>Advance Tax A.Y.2011-12</v>
          </cell>
          <cell r="C424">
            <v>150000000</v>
          </cell>
          <cell r="D424">
            <v>0</v>
          </cell>
          <cell r="E424">
            <v>150000000</v>
          </cell>
        </row>
        <row r="425">
          <cell r="A425">
            <v>24711034</v>
          </cell>
          <cell r="B425" t="str">
            <v>TDS Deducted Group Co. 2010-11</v>
          </cell>
          <cell r="C425">
            <v>5227638</v>
          </cell>
          <cell r="D425">
            <v>0</v>
          </cell>
          <cell r="E425">
            <v>5227638</v>
          </cell>
        </row>
        <row r="426">
          <cell r="A426">
            <v>24711055</v>
          </cell>
          <cell r="B426" t="str">
            <v>TDS Ded. FDR 11-12</v>
          </cell>
          <cell r="C426">
            <v>30853398.690000001</v>
          </cell>
          <cell r="D426">
            <v>0</v>
          </cell>
          <cell r="E426">
            <v>30853398.690000001</v>
          </cell>
        </row>
        <row r="427">
          <cell r="A427">
            <v>24711056</v>
          </cell>
          <cell r="B427" t="str">
            <v>TDS Deducted Others 2011-12</v>
          </cell>
          <cell r="C427">
            <v>15441108</v>
          </cell>
          <cell r="D427">
            <v>0</v>
          </cell>
          <cell r="E427">
            <v>15441108</v>
          </cell>
        </row>
        <row r="428">
          <cell r="A428">
            <v>24711057</v>
          </cell>
          <cell r="B428" t="str">
            <v>NSE DEPOSITS -ARBITRATION</v>
          </cell>
          <cell r="C428">
            <v>1657679</v>
          </cell>
          <cell r="D428">
            <v>0</v>
          </cell>
          <cell r="E428">
            <v>1657679</v>
          </cell>
        </row>
        <row r="429">
          <cell r="A429">
            <v>24711064</v>
          </cell>
          <cell r="B429" t="str">
            <v>TDS Deducted – Clients FY 2011-12</v>
          </cell>
          <cell r="C429">
            <v>393580</v>
          </cell>
          <cell r="D429">
            <v>0</v>
          </cell>
          <cell r="E429">
            <v>393580</v>
          </cell>
        </row>
        <row r="430">
          <cell r="A430">
            <v>24711085</v>
          </cell>
          <cell r="B430" t="str">
            <v>TDS Deducted Others FY 2012-13</v>
          </cell>
          <cell r="C430">
            <v>32652355</v>
          </cell>
          <cell r="D430">
            <v>0</v>
          </cell>
          <cell r="E430">
            <v>32652355</v>
          </cell>
        </row>
        <row r="431">
          <cell r="A431">
            <v>24711089</v>
          </cell>
          <cell r="B431" t="str">
            <v>TDS Ded. FDR FY 2012-13</v>
          </cell>
          <cell r="C431">
            <v>21099761.620000001</v>
          </cell>
          <cell r="D431">
            <v>0</v>
          </cell>
          <cell r="E431">
            <v>21099761.620000001</v>
          </cell>
        </row>
        <row r="432">
          <cell r="A432">
            <v>24711091</v>
          </cell>
          <cell r="B432" t="str">
            <v>TDS Cert.Rece.FY 2012-13</v>
          </cell>
          <cell r="C432">
            <v>405807</v>
          </cell>
          <cell r="D432">
            <v>0</v>
          </cell>
          <cell r="E432">
            <v>405807</v>
          </cell>
        </row>
        <row r="433">
          <cell r="A433">
            <v>24711094</v>
          </cell>
          <cell r="B433" t="str">
            <v>Modvatable Input Service Tax Clearing 4.33%</v>
          </cell>
          <cell r="C433">
            <v>6809.41</v>
          </cell>
          <cell r="D433">
            <v>0</v>
          </cell>
          <cell r="E433">
            <v>6809.41</v>
          </cell>
        </row>
        <row r="434">
          <cell r="A434">
            <v>24711096</v>
          </cell>
          <cell r="B434" t="str">
            <v>Advance Tax A.Y.2013-14</v>
          </cell>
          <cell r="C434">
            <v>60000000</v>
          </cell>
          <cell r="D434">
            <v>0</v>
          </cell>
          <cell r="E434">
            <v>60000000</v>
          </cell>
        </row>
        <row r="435">
          <cell r="A435">
            <v>24711098</v>
          </cell>
          <cell r="B435" t="str">
            <v>Input ST Modvat Claim Clearing(RC)</v>
          </cell>
          <cell r="C435">
            <v>115820.56</v>
          </cell>
          <cell r="D435">
            <v>0</v>
          </cell>
          <cell r="E435">
            <v>115820.56</v>
          </cell>
        </row>
        <row r="436">
          <cell r="A436">
            <v>24711112</v>
          </cell>
          <cell r="B436" t="str">
            <v>NSE COLLATERAL DEPOSIT (BASE CAPITAL)</v>
          </cell>
          <cell r="C436">
            <v>2500000</v>
          </cell>
          <cell r="D436">
            <v>0</v>
          </cell>
          <cell r="E436">
            <v>2500000</v>
          </cell>
        </row>
        <row r="437">
          <cell r="A437">
            <v>24790014</v>
          </cell>
          <cell r="B437" t="str">
            <v>Escrow A/c - Sale of Investments</v>
          </cell>
          <cell r="C437">
            <v>48333319.399999999</v>
          </cell>
          <cell r="D437">
            <v>0</v>
          </cell>
          <cell r="E437">
            <v>48333319.399999999</v>
          </cell>
        </row>
        <row r="438">
          <cell r="A438">
            <v>24790015</v>
          </cell>
          <cell r="B438" t="str">
            <v>Loan Notes - Sale of Investments</v>
          </cell>
          <cell r="C438">
            <v>38044281.780000001</v>
          </cell>
          <cell r="D438">
            <v>0</v>
          </cell>
          <cell r="E438">
            <v>38044281.780000001</v>
          </cell>
        </row>
        <row r="439">
          <cell r="A439">
            <v>24790016</v>
          </cell>
          <cell r="B439" t="str">
            <v>Income Tax Demand Paid FY 2007-08</v>
          </cell>
          <cell r="C439">
            <v>818469</v>
          </cell>
          <cell r="D439">
            <v>0</v>
          </cell>
          <cell r="E439">
            <v>818469</v>
          </cell>
        </row>
        <row r="440">
          <cell r="A440">
            <v>43500002</v>
          </cell>
          <cell r="B440" t="str">
            <v>Brokerage Curreny Derivate</v>
          </cell>
          <cell r="C440">
            <v>-2623221.9</v>
          </cell>
          <cell r="D440">
            <v>0</v>
          </cell>
          <cell r="E440">
            <v>-2623221.9</v>
          </cell>
        </row>
        <row r="441">
          <cell r="A441">
            <v>44020002</v>
          </cell>
          <cell r="B441" t="str">
            <v>Interest</v>
          </cell>
          <cell r="C441">
            <v>-3028046.84</v>
          </cell>
          <cell r="D441">
            <v>0</v>
          </cell>
          <cell r="E441">
            <v>-3028046.84</v>
          </cell>
        </row>
        <row r="442">
          <cell r="A442">
            <v>44020014</v>
          </cell>
          <cell r="B442" t="str">
            <v>Income from Account Opening Charges</v>
          </cell>
          <cell r="C442">
            <v>-105835</v>
          </cell>
          <cell r="D442">
            <v>0</v>
          </cell>
          <cell r="E442">
            <v>-105835</v>
          </cell>
        </row>
        <row r="443">
          <cell r="A443">
            <v>44020018</v>
          </cell>
          <cell r="B443" t="str">
            <v>Brokerage Income</v>
          </cell>
          <cell r="C443">
            <v>-10042570.060000001</v>
          </cell>
          <cell r="D443">
            <v>0</v>
          </cell>
          <cell r="E443">
            <v>-10042570.060000001</v>
          </cell>
        </row>
        <row r="444">
          <cell r="A444">
            <v>44020019</v>
          </cell>
          <cell r="B444" t="str">
            <v>Brokerage Income Bse</v>
          </cell>
          <cell r="C444">
            <v>-827221.72</v>
          </cell>
          <cell r="D444">
            <v>0</v>
          </cell>
          <cell r="E444">
            <v>-827221.72</v>
          </cell>
        </row>
        <row r="445">
          <cell r="A445">
            <v>44020020</v>
          </cell>
          <cell r="B445" t="str">
            <v>Brokerage Income F&amp;O</v>
          </cell>
          <cell r="C445">
            <v>-21450816.68</v>
          </cell>
          <cell r="D445">
            <v>0</v>
          </cell>
          <cell r="E445">
            <v>-21450816.68</v>
          </cell>
        </row>
        <row r="446">
          <cell r="A446">
            <v>44020032</v>
          </cell>
          <cell r="B446" t="str">
            <v>Other Charges (including transaction Charges)</v>
          </cell>
          <cell r="C446">
            <v>-704807.16</v>
          </cell>
          <cell r="D446">
            <v>0</v>
          </cell>
          <cell r="E446">
            <v>-704807.16</v>
          </cell>
        </row>
        <row r="447">
          <cell r="A447">
            <v>44020034</v>
          </cell>
          <cell r="B447" t="str">
            <v>Other Charges (including transaction Charges) BSE</v>
          </cell>
          <cell r="C447">
            <v>-18169.37</v>
          </cell>
          <cell r="D447">
            <v>0</v>
          </cell>
          <cell r="E447">
            <v>-18169.37</v>
          </cell>
        </row>
        <row r="448">
          <cell r="A448">
            <v>44020035</v>
          </cell>
          <cell r="B448" t="str">
            <v>Other Charges (including transaction Charges) F&amp;O</v>
          </cell>
          <cell r="C448">
            <v>-1255690.92</v>
          </cell>
          <cell r="D448">
            <v>0</v>
          </cell>
          <cell r="E448">
            <v>-1255690.92</v>
          </cell>
        </row>
        <row r="449">
          <cell r="A449">
            <v>44020038</v>
          </cell>
          <cell r="B449" t="str">
            <v>Ipo Commission Recd</v>
          </cell>
          <cell r="C449">
            <v>-9111.52</v>
          </cell>
          <cell r="D449">
            <v>0</v>
          </cell>
          <cell r="E449">
            <v>-9111.52</v>
          </cell>
        </row>
        <row r="450">
          <cell r="A450">
            <v>44020041</v>
          </cell>
          <cell r="B450" t="str">
            <v>Power Activation Charges</v>
          </cell>
          <cell r="C450">
            <v>-42720</v>
          </cell>
          <cell r="D450">
            <v>0</v>
          </cell>
          <cell r="E450">
            <v>-42720</v>
          </cell>
        </row>
        <row r="451">
          <cell r="A451">
            <v>44020125</v>
          </cell>
          <cell r="B451" t="str">
            <v>BROKERAGE &amp; SERVICE CHARGES-SCHEME</v>
          </cell>
          <cell r="C451">
            <v>-726426.01</v>
          </cell>
          <cell r="D451">
            <v>0</v>
          </cell>
          <cell r="E451">
            <v>-726426.01</v>
          </cell>
        </row>
        <row r="452">
          <cell r="A452">
            <v>44020133</v>
          </cell>
          <cell r="B452" t="str">
            <v>Notice Period Deduction</v>
          </cell>
          <cell r="C452">
            <v>-18000</v>
          </cell>
          <cell r="D452">
            <v>0</v>
          </cell>
          <cell r="E452">
            <v>-18000</v>
          </cell>
        </row>
        <row r="453">
          <cell r="A453">
            <v>44020193</v>
          </cell>
          <cell r="B453" t="str">
            <v>Other Charges (including transaction Charges) CDS</v>
          </cell>
          <cell r="C453">
            <v>-81463</v>
          </cell>
          <cell r="D453">
            <v>0</v>
          </cell>
          <cell r="E453">
            <v>-81463</v>
          </cell>
        </row>
        <row r="454">
          <cell r="A454">
            <v>44100014</v>
          </cell>
          <cell r="B454" t="str">
            <v>Dividend Copal Partners Ltd</v>
          </cell>
          <cell r="C454">
            <v>-4398847.1500000004</v>
          </cell>
          <cell r="D454">
            <v>0</v>
          </cell>
          <cell r="E454">
            <v>-4398847.1500000004</v>
          </cell>
        </row>
        <row r="455">
          <cell r="A455">
            <v>45100000</v>
          </cell>
          <cell r="B455" t="str">
            <v>Profit on sale of fixed assets</v>
          </cell>
          <cell r="C455">
            <v>-3995</v>
          </cell>
          <cell r="D455">
            <v>0</v>
          </cell>
          <cell r="E455">
            <v>-3995</v>
          </cell>
        </row>
        <row r="456">
          <cell r="A456">
            <v>46000044</v>
          </cell>
          <cell r="B456" t="str">
            <v>Other Charges(includ transaction Charges)-GTRXNCG</v>
          </cell>
          <cell r="C456">
            <v>-1218460.72</v>
          </cell>
          <cell r="D456">
            <v>0</v>
          </cell>
          <cell r="E456">
            <v>-1218460.72</v>
          </cell>
        </row>
        <row r="457">
          <cell r="A457">
            <v>46000045</v>
          </cell>
          <cell r="B457" t="str">
            <v>Other Charges(includ transaction Charges)-GLO1002</v>
          </cell>
          <cell r="C457">
            <v>1298119.54</v>
          </cell>
          <cell r="D457">
            <v>0</v>
          </cell>
          <cell r="E457">
            <v>1298119.54</v>
          </cell>
        </row>
        <row r="458">
          <cell r="A458">
            <v>46000136</v>
          </cell>
          <cell r="B458" t="str">
            <v>Other Processing Charges - BSE</v>
          </cell>
          <cell r="C458">
            <v>-37430.699999999997</v>
          </cell>
          <cell r="D458">
            <v>0</v>
          </cell>
          <cell r="E458">
            <v>-37430.699999999997</v>
          </cell>
        </row>
        <row r="459">
          <cell r="A459">
            <v>46000137</v>
          </cell>
          <cell r="B459" t="str">
            <v>Other Processing Charges - NSE</v>
          </cell>
          <cell r="C459">
            <v>-1667902.65</v>
          </cell>
          <cell r="D459">
            <v>0</v>
          </cell>
          <cell r="E459">
            <v>-1667902.65</v>
          </cell>
        </row>
        <row r="460">
          <cell r="A460">
            <v>50100002</v>
          </cell>
          <cell r="B460" t="str">
            <v>Incentive Expenses</v>
          </cell>
          <cell r="C460">
            <v>28663650</v>
          </cell>
          <cell r="D460">
            <v>0</v>
          </cell>
          <cell r="E460">
            <v>28663650</v>
          </cell>
        </row>
        <row r="461">
          <cell r="A461">
            <v>50100004</v>
          </cell>
          <cell r="B461" t="str">
            <v>Salary Expenses</v>
          </cell>
          <cell r="C461">
            <v>29242514.710000001</v>
          </cell>
          <cell r="D461">
            <v>0</v>
          </cell>
          <cell r="E461">
            <v>29242514.710000001</v>
          </cell>
        </row>
        <row r="462">
          <cell r="A462">
            <v>50100010</v>
          </cell>
          <cell r="B462" t="str">
            <v>Vsat Charges</v>
          </cell>
          <cell r="C462">
            <v>0</v>
          </cell>
          <cell r="D462">
            <v>0</v>
          </cell>
          <cell r="E462">
            <v>0</v>
          </cell>
        </row>
        <row r="463">
          <cell r="A463">
            <v>50100011</v>
          </cell>
          <cell r="B463" t="str">
            <v>Nse Transaction Charges  (Exp. )</v>
          </cell>
          <cell r="C463">
            <v>250000</v>
          </cell>
          <cell r="D463">
            <v>0</v>
          </cell>
          <cell r="E463">
            <v>250000</v>
          </cell>
        </row>
        <row r="464">
          <cell r="A464">
            <v>50100013</v>
          </cell>
          <cell r="B464" t="str">
            <v>Business Promotion Expenses</v>
          </cell>
          <cell r="C464">
            <v>33186</v>
          </cell>
          <cell r="D464">
            <v>0</v>
          </cell>
          <cell r="E464">
            <v>33186</v>
          </cell>
        </row>
        <row r="465">
          <cell r="A465">
            <v>50100019</v>
          </cell>
          <cell r="B465" t="str">
            <v>Subscription Charges</v>
          </cell>
          <cell r="C465">
            <v>26675.71</v>
          </cell>
          <cell r="D465">
            <v>0</v>
          </cell>
          <cell r="E465">
            <v>26675.71</v>
          </cell>
        </row>
        <row r="466">
          <cell r="A466">
            <v>50100020</v>
          </cell>
          <cell r="B466" t="str">
            <v>Membership Fees</v>
          </cell>
          <cell r="C466">
            <v>46377.919999999998</v>
          </cell>
          <cell r="D466">
            <v>0</v>
          </cell>
          <cell r="E466">
            <v>46377.919999999998</v>
          </cell>
        </row>
        <row r="467">
          <cell r="A467">
            <v>50100023</v>
          </cell>
          <cell r="B467" t="str">
            <v>Stamp Paper Expenses</v>
          </cell>
          <cell r="C467">
            <v>6364</v>
          </cell>
          <cell r="D467">
            <v>0</v>
          </cell>
          <cell r="E467">
            <v>6364</v>
          </cell>
        </row>
        <row r="468">
          <cell r="A468">
            <v>50100024</v>
          </cell>
          <cell r="B468" t="str">
            <v>Stamp Duty Charges</v>
          </cell>
          <cell r="C468">
            <v>0</v>
          </cell>
          <cell r="D468">
            <v>0</v>
          </cell>
          <cell r="E468">
            <v>0</v>
          </cell>
        </row>
        <row r="469">
          <cell r="A469">
            <v>50100025</v>
          </cell>
          <cell r="B469" t="str">
            <v>Software Charges</v>
          </cell>
          <cell r="C469">
            <v>25057.11</v>
          </cell>
          <cell r="D469">
            <v>0</v>
          </cell>
          <cell r="E469">
            <v>25057.11</v>
          </cell>
        </row>
        <row r="470">
          <cell r="A470">
            <v>50100026</v>
          </cell>
          <cell r="B470" t="str">
            <v>Bse Transaction Charges (Exp)</v>
          </cell>
          <cell r="C470">
            <v>14147</v>
          </cell>
          <cell r="D470">
            <v>0</v>
          </cell>
          <cell r="E470">
            <v>14147</v>
          </cell>
        </row>
        <row r="471">
          <cell r="A471">
            <v>50100029</v>
          </cell>
          <cell r="B471" t="str">
            <v>Other Charges Bse</v>
          </cell>
          <cell r="C471">
            <v>242.08</v>
          </cell>
          <cell r="D471">
            <v>0</v>
          </cell>
          <cell r="E471">
            <v>242.08</v>
          </cell>
        </row>
        <row r="472">
          <cell r="A472">
            <v>50100032</v>
          </cell>
          <cell r="B472" t="str">
            <v>Staff Welfare Expenses</v>
          </cell>
          <cell r="C472">
            <v>350200.83</v>
          </cell>
          <cell r="D472">
            <v>0</v>
          </cell>
          <cell r="E472">
            <v>350200.83</v>
          </cell>
        </row>
        <row r="473">
          <cell r="A473">
            <v>50100038</v>
          </cell>
          <cell r="B473" t="str">
            <v>Service Charges</v>
          </cell>
          <cell r="C473">
            <v>806570.5</v>
          </cell>
          <cell r="D473">
            <v>0</v>
          </cell>
          <cell r="E473">
            <v>806570.5</v>
          </cell>
        </row>
        <row r="474">
          <cell r="A474">
            <v>50100040</v>
          </cell>
          <cell r="B474" t="str">
            <v>Shifting Charges</v>
          </cell>
          <cell r="C474">
            <v>453</v>
          </cell>
          <cell r="D474">
            <v>0</v>
          </cell>
          <cell r="E474">
            <v>453</v>
          </cell>
        </row>
        <row r="475">
          <cell r="A475">
            <v>50100043</v>
          </cell>
          <cell r="B475" t="str">
            <v>Amc Hardware Expenses</v>
          </cell>
          <cell r="C475">
            <v>3822.48</v>
          </cell>
          <cell r="D475">
            <v>0</v>
          </cell>
          <cell r="E475">
            <v>3822.48</v>
          </cell>
        </row>
        <row r="476">
          <cell r="A476">
            <v>50100044</v>
          </cell>
          <cell r="B476" t="str">
            <v>Amc Software Expenses</v>
          </cell>
          <cell r="C476">
            <v>182672.03</v>
          </cell>
          <cell r="D476">
            <v>0</v>
          </cell>
          <cell r="E476">
            <v>182672.03</v>
          </cell>
        </row>
        <row r="477">
          <cell r="A477">
            <v>50100045</v>
          </cell>
          <cell r="B477" t="str">
            <v>Amc Hardware Computer</v>
          </cell>
          <cell r="C477">
            <v>68282.850000000006</v>
          </cell>
          <cell r="D477">
            <v>0</v>
          </cell>
          <cell r="E477">
            <v>68282.850000000006</v>
          </cell>
        </row>
        <row r="478">
          <cell r="A478">
            <v>50100047</v>
          </cell>
          <cell r="B478" t="str">
            <v>Amc Hardware Generators</v>
          </cell>
          <cell r="C478">
            <v>8984.19</v>
          </cell>
          <cell r="D478">
            <v>0</v>
          </cell>
          <cell r="E478">
            <v>8984.19</v>
          </cell>
        </row>
        <row r="479">
          <cell r="A479">
            <v>50100048</v>
          </cell>
          <cell r="B479" t="str">
            <v>Amc Air Conditioners</v>
          </cell>
          <cell r="C479">
            <v>0</v>
          </cell>
          <cell r="D479">
            <v>0</v>
          </cell>
          <cell r="E479">
            <v>0</v>
          </cell>
        </row>
        <row r="480">
          <cell r="A480">
            <v>50100049</v>
          </cell>
          <cell r="B480" t="str">
            <v>Generator Expenses</v>
          </cell>
          <cell r="C480">
            <v>50339</v>
          </cell>
          <cell r="D480">
            <v>0</v>
          </cell>
          <cell r="E480">
            <v>50339</v>
          </cell>
        </row>
        <row r="481">
          <cell r="A481">
            <v>50100051</v>
          </cell>
          <cell r="B481" t="str">
            <v>Repair &amp; Maintenance</v>
          </cell>
          <cell r="C481">
            <v>11980.68</v>
          </cell>
          <cell r="D481">
            <v>0</v>
          </cell>
          <cell r="E481">
            <v>11980.68</v>
          </cell>
        </row>
        <row r="482">
          <cell r="A482">
            <v>50100054</v>
          </cell>
          <cell r="B482" t="str">
            <v>Sebi Charges</v>
          </cell>
          <cell r="C482">
            <v>1725.08</v>
          </cell>
          <cell r="D482">
            <v>0</v>
          </cell>
          <cell r="E482">
            <v>1725.08</v>
          </cell>
        </row>
        <row r="483">
          <cell r="A483">
            <v>50100057</v>
          </cell>
          <cell r="B483" t="str">
            <v>Postage &amp; Courier Charges</v>
          </cell>
          <cell r="C483">
            <v>2539.87</v>
          </cell>
          <cell r="D483">
            <v>0</v>
          </cell>
          <cell r="E483">
            <v>2539.87</v>
          </cell>
        </row>
        <row r="484">
          <cell r="A484">
            <v>50100058</v>
          </cell>
          <cell r="B484" t="str">
            <v>Insurance Expenses Vehicles</v>
          </cell>
          <cell r="C484">
            <v>20602.7</v>
          </cell>
          <cell r="D484">
            <v>0</v>
          </cell>
          <cell r="E484">
            <v>20602.7</v>
          </cell>
        </row>
        <row r="485">
          <cell r="A485">
            <v>50100061</v>
          </cell>
          <cell r="B485" t="str">
            <v>Insurance Expenses Stock Broker Policy</v>
          </cell>
          <cell r="C485">
            <v>20428.41</v>
          </cell>
          <cell r="D485">
            <v>0</v>
          </cell>
          <cell r="E485">
            <v>20428.41</v>
          </cell>
        </row>
        <row r="486">
          <cell r="A486">
            <v>50100063</v>
          </cell>
          <cell r="B486" t="str">
            <v>Books &amp; Periodical</v>
          </cell>
          <cell r="C486">
            <v>494</v>
          </cell>
          <cell r="D486">
            <v>0</v>
          </cell>
          <cell r="E486">
            <v>494</v>
          </cell>
        </row>
        <row r="487">
          <cell r="A487">
            <v>50100065</v>
          </cell>
          <cell r="B487" t="str">
            <v>Commision</v>
          </cell>
          <cell r="C487">
            <v>0</v>
          </cell>
          <cell r="D487">
            <v>0</v>
          </cell>
          <cell r="E487">
            <v>0</v>
          </cell>
        </row>
        <row r="488">
          <cell r="A488">
            <v>50100068</v>
          </cell>
          <cell r="B488" t="str">
            <v>SEBI Fees for Renewal of Reg. as Merchant Banker</v>
          </cell>
          <cell r="C488">
            <v>13686.14</v>
          </cell>
          <cell r="D488">
            <v>0</v>
          </cell>
          <cell r="E488">
            <v>13686.14</v>
          </cell>
        </row>
        <row r="489">
          <cell r="A489">
            <v>50100078</v>
          </cell>
          <cell r="B489" t="str">
            <v>VEHICLE REPAIR AND MAINTENANCE</v>
          </cell>
          <cell r="C489">
            <v>122574.8</v>
          </cell>
          <cell r="D489">
            <v>0</v>
          </cell>
          <cell r="E489">
            <v>122574.8</v>
          </cell>
        </row>
        <row r="490">
          <cell r="A490">
            <v>50100081</v>
          </cell>
          <cell r="B490" t="str">
            <v>NSE Expenses</v>
          </cell>
          <cell r="C490">
            <v>11123</v>
          </cell>
          <cell r="D490">
            <v>0</v>
          </cell>
          <cell r="E490">
            <v>11123</v>
          </cell>
        </row>
        <row r="491">
          <cell r="A491">
            <v>50100101</v>
          </cell>
          <cell r="B491" t="str">
            <v>Computer Hardware Expense</v>
          </cell>
          <cell r="C491">
            <v>1249.99</v>
          </cell>
          <cell r="D491">
            <v>0</v>
          </cell>
          <cell r="E491">
            <v>1249.99</v>
          </cell>
        </row>
        <row r="492">
          <cell r="A492">
            <v>50100102</v>
          </cell>
          <cell r="B492" t="str">
            <v>Exgratia Expense</v>
          </cell>
          <cell r="C492">
            <v>-75963.539999999994</v>
          </cell>
          <cell r="D492">
            <v>0</v>
          </cell>
          <cell r="E492">
            <v>-75963.539999999994</v>
          </cell>
        </row>
        <row r="493">
          <cell r="A493">
            <v>50100111</v>
          </cell>
          <cell r="B493" t="str">
            <v>Web Hosting Charges</v>
          </cell>
          <cell r="C493">
            <v>0</v>
          </cell>
          <cell r="D493">
            <v>0</v>
          </cell>
          <cell r="E493">
            <v>0</v>
          </cell>
        </row>
        <row r="494">
          <cell r="A494">
            <v>50100172</v>
          </cell>
          <cell r="B494" t="str">
            <v>Travelling-Lodging &amp; Boarding</v>
          </cell>
          <cell r="C494">
            <v>2316</v>
          </cell>
          <cell r="D494">
            <v>0</v>
          </cell>
          <cell r="E494">
            <v>2316</v>
          </cell>
        </row>
        <row r="495">
          <cell r="A495">
            <v>50100208</v>
          </cell>
          <cell r="B495" t="str">
            <v>Labour Welfare Fund expenses</v>
          </cell>
          <cell r="C495">
            <v>3237</v>
          </cell>
          <cell r="D495">
            <v>0</v>
          </cell>
          <cell r="E495">
            <v>3237</v>
          </cell>
        </row>
        <row r="496">
          <cell r="A496">
            <v>50100318</v>
          </cell>
          <cell r="B496" t="str">
            <v>Pooja Expenses</v>
          </cell>
          <cell r="C496">
            <v>540</v>
          </cell>
          <cell r="D496">
            <v>0</v>
          </cell>
          <cell r="E496">
            <v>540</v>
          </cell>
        </row>
        <row r="497">
          <cell r="A497">
            <v>50100387</v>
          </cell>
          <cell r="B497" t="str">
            <v>Interest Vikas Sachdeva Honda City (Legal)</v>
          </cell>
          <cell r="C497">
            <v>906</v>
          </cell>
          <cell r="D497">
            <v>0</v>
          </cell>
          <cell r="E497">
            <v>906</v>
          </cell>
        </row>
        <row r="498">
          <cell r="A498">
            <v>50100420</v>
          </cell>
          <cell r="B498" t="str">
            <v>AMC - Lift &amp; Others</v>
          </cell>
          <cell r="C498">
            <v>84311.9</v>
          </cell>
          <cell r="D498">
            <v>0</v>
          </cell>
          <cell r="E498">
            <v>84311.9</v>
          </cell>
        </row>
        <row r="499">
          <cell r="A499">
            <v>56000002</v>
          </cell>
          <cell r="B499" t="str">
            <v>Interest On Commercial Paper</v>
          </cell>
          <cell r="C499">
            <v>3964556.47</v>
          </cell>
          <cell r="D499">
            <v>0</v>
          </cell>
          <cell r="E499">
            <v>3964556.47</v>
          </cell>
        </row>
        <row r="500">
          <cell r="A500">
            <v>56000164</v>
          </cell>
          <cell r="B500" t="str">
            <v>Depository Charges</v>
          </cell>
          <cell r="C500">
            <v>0</v>
          </cell>
          <cell r="D500">
            <v>0</v>
          </cell>
          <cell r="E500">
            <v>0</v>
          </cell>
        </row>
        <row r="501">
          <cell r="A501">
            <v>56000166</v>
          </cell>
          <cell r="B501" t="str">
            <v>SEBI FEES FOR PORTFLIO MANAGEMENT</v>
          </cell>
          <cell r="C501">
            <v>13686.16</v>
          </cell>
          <cell r="D501">
            <v>0</v>
          </cell>
          <cell r="E501">
            <v>13686.16</v>
          </cell>
        </row>
        <row r="502">
          <cell r="A502">
            <v>57200001</v>
          </cell>
          <cell r="B502" t="str">
            <v>Depreciation - Computers</v>
          </cell>
          <cell r="C502">
            <v>1940991.65</v>
          </cell>
          <cell r="D502">
            <v>0</v>
          </cell>
          <cell r="E502">
            <v>1940991.65</v>
          </cell>
        </row>
        <row r="503">
          <cell r="A503">
            <v>57200002</v>
          </cell>
          <cell r="B503" t="str">
            <v>Depreciation - Office Equipment</v>
          </cell>
          <cell r="C503">
            <v>836314.95</v>
          </cell>
          <cell r="D503">
            <v>0</v>
          </cell>
          <cell r="E503">
            <v>836314.95</v>
          </cell>
        </row>
        <row r="504">
          <cell r="A504">
            <v>57200003</v>
          </cell>
          <cell r="B504" t="str">
            <v>Depreciation - Furnitures &amp; Fixtures</v>
          </cell>
          <cell r="C504">
            <v>629880.89</v>
          </cell>
          <cell r="D504">
            <v>0</v>
          </cell>
          <cell r="E504">
            <v>629880.89</v>
          </cell>
        </row>
        <row r="505">
          <cell r="A505">
            <v>57200004</v>
          </cell>
          <cell r="B505" t="str">
            <v>Depreciation - Vehicles</v>
          </cell>
          <cell r="C505">
            <v>592978.59</v>
          </cell>
          <cell r="D505">
            <v>0</v>
          </cell>
          <cell r="E505">
            <v>592978.59</v>
          </cell>
        </row>
        <row r="506">
          <cell r="A506">
            <v>57200010</v>
          </cell>
          <cell r="B506" t="str">
            <v>Depreciation - Software</v>
          </cell>
          <cell r="C506">
            <v>161133.9</v>
          </cell>
          <cell r="D506">
            <v>0</v>
          </cell>
          <cell r="E506">
            <v>161133.9</v>
          </cell>
        </row>
        <row r="507">
          <cell r="A507">
            <v>58013000</v>
          </cell>
          <cell r="B507" t="str">
            <v>Other transaction losses</v>
          </cell>
          <cell r="C507">
            <v>0.08</v>
          </cell>
          <cell r="D507">
            <v>0</v>
          </cell>
          <cell r="E507">
            <v>0.08</v>
          </cell>
        </row>
        <row r="508">
          <cell r="A508">
            <v>58030001</v>
          </cell>
          <cell r="B508" t="str">
            <v>Annual Listing Fees</v>
          </cell>
          <cell r="C508">
            <v>8630</v>
          </cell>
          <cell r="D508">
            <v>0</v>
          </cell>
          <cell r="E508">
            <v>8630</v>
          </cell>
        </row>
        <row r="509">
          <cell r="A509">
            <v>58030004</v>
          </cell>
          <cell r="B509" t="str">
            <v>Rates &amp; Taxes</v>
          </cell>
          <cell r="C509">
            <v>27000</v>
          </cell>
          <cell r="D509">
            <v>0</v>
          </cell>
          <cell r="E509">
            <v>27000</v>
          </cell>
        </row>
        <row r="510">
          <cell r="A510">
            <v>58030016</v>
          </cell>
          <cell r="B510" t="str">
            <v>Electricity Expenses</v>
          </cell>
          <cell r="C510">
            <v>55136</v>
          </cell>
          <cell r="D510">
            <v>0</v>
          </cell>
          <cell r="E510">
            <v>55136</v>
          </cell>
        </row>
        <row r="511">
          <cell r="A511">
            <v>58030018</v>
          </cell>
          <cell r="B511" t="str">
            <v>EPF Expenses Employer Contribution</v>
          </cell>
          <cell r="C511">
            <v>33540</v>
          </cell>
          <cell r="D511">
            <v>0</v>
          </cell>
          <cell r="E511">
            <v>33540</v>
          </cell>
        </row>
        <row r="512">
          <cell r="A512">
            <v>58030063</v>
          </cell>
          <cell r="B512" t="str">
            <v>Web Site Development Expenses</v>
          </cell>
          <cell r="C512">
            <v>51.7</v>
          </cell>
          <cell r="D512">
            <v>0</v>
          </cell>
          <cell r="E512">
            <v>51.7</v>
          </cell>
        </row>
        <row r="513">
          <cell r="A513">
            <v>58040002</v>
          </cell>
          <cell r="B513" t="str">
            <v>Rent Expenses</v>
          </cell>
          <cell r="C513">
            <v>4487971.62</v>
          </cell>
          <cell r="D513">
            <v>0</v>
          </cell>
          <cell r="E513">
            <v>4487971.62</v>
          </cell>
        </row>
        <row r="514">
          <cell r="A514">
            <v>58040003</v>
          </cell>
          <cell r="B514" t="str">
            <v>Conveyance Expenses</v>
          </cell>
          <cell r="C514">
            <v>57164</v>
          </cell>
          <cell r="D514">
            <v>0</v>
          </cell>
          <cell r="E514">
            <v>57164</v>
          </cell>
        </row>
        <row r="515">
          <cell r="A515">
            <v>58040004</v>
          </cell>
          <cell r="B515" t="str">
            <v>Travelling Expenses</v>
          </cell>
          <cell r="C515">
            <v>124791</v>
          </cell>
          <cell r="D515">
            <v>0</v>
          </cell>
          <cell r="E515">
            <v>124791</v>
          </cell>
        </row>
        <row r="516">
          <cell r="A516">
            <v>58040006</v>
          </cell>
          <cell r="B516" t="str">
            <v>Telephone Exp.(Mobile)</v>
          </cell>
          <cell r="C516">
            <v>2550</v>
          </cell>
          <cell r="D516">
            <v>0</v>
          </cell>
          <cell r="E516">
            <v>2550</v>
          </cell>
        </row>
        <row r="517">
          <cell r="A517">
            <v>58040007</v>
          </cell>
          <cell r="B517" t="str">
            <v>Telephone Expenses(Fixed Line)</v>
          </cell>
          <cell r="C517">
            <v>675.27</v>
          </cell>
          <cell r="D517">
            <v>0</v>
          </cell>
          <cell r="E517">
            <v>675.27</v>
          </cell>
        </row>
        <row r="518">
          <cell r="A518">
            <v>58040008</v>
          </cell>
          <cell r="B518" t="str">
            <v>Internet Band Width Cost</v>
          </cell>
          <cell r="C518">
            <v>2392.64</v>
          </cell>
          <cell r="D518">
            <v>0</v>
          </cell>
          <cell r="E518">
            <v>2392.64</v>
          </cell>
        </row>
        <row r="519">
          <cell r="A519">
            <v>58040009</v>
          </cell>
          <cell r="B519" t="str">
            <v>Lease Line Charges</v>
          </cell>
          <cell r="C519">
            <v>79783.38</v>
          </cell>
          <cell r="D519">
            <v>0</v>
          </cell>
          <cell r="E519">
            <v>79783.38</v>
          </cell>
        </row>
        <row r="520">
          <cell r="A520">
            <v>58040011</v>
          </cell>
          <cell r="B520" t="str">
            <v>Printing &amp; Stationery</v>
          </cell>
          <cell r="C520">
            <v>102986.24000000001</v>
          </cell>
          <cell r="D520">
            <v>0</v>
          </cell>
          <cell r="E520">
            <v>102986.24000000001</v>
          </cell>
        </row>
        <row r="521">
          <cell r="A521">
            <v>58040013</v>
          </cell>
          <cell r="B521" t="str">
            <v>Legal Expenses</v>
          </cell>
          <cell r="C521">
            <v>451000</v>
          </cell>
          <cell r="D521">
            <v>0</v>
          </cell>
          <cell r="E521">
            <v>451000</v>
          </cell>
        </row>
        <row r="522">
          <cell r="A522">
            <v>58040016</v>
          </cell>
          <cell r="B522" t="str">
            <v>Professional &amp; Consultancy Charges</v>
          </cell>
          <cell r="C522">
            <v>562</v>
          </cell>
          <cell r="D522">
            <v>0</v>
          </cell>
          <cell r="E522">
            <v>562</v>
          </cell>
        </row>
        <row r="523">
          <cell r="A523">
            <v>58040032</v>
          </cell>
          <cell r="B523" t="str">
            <v>House Keeping Charges</v>
          </cell>
          <cell r="C523">
            <v>493.17</v>
          </cell>
          <cell r="D523">
            <v>0</v>
          </cell>
          <cell r="E523">
            <v>493.17</v>
          </cell>
        </row>
        <row r="524">
          <cell r="A524">
            <v>58040130</v>
          </cell>
          <cell r="B524" t="str">
            <v>Annual Custody Fee A/c</v>
          </cell>
          <cell r="C524">
            <v>49300.66</v>
          </cell>
          <cell r="D524">
            <v>0</v>
          </cell>
          <cell r="E524">
            <v>49300.66</v>
          </cell>
        </row>
        <row r="525">
          <cell r="A525">
            <v>58040131</v>
          </cell>
          <cell r="B525" t="str">
            <v>Annual Issuer Fee A/c</v>
          </cell>
          <cell r="C525">
            <v>32553.439999999999</v>
          </cell>
          <cell r="D525">
            <v>0</v>
          </cell>
          <cell r="E525">
            <v>32553.439999999999</v>
          </cell>
        </row>
        <row r="526">
          <cell r="A526">
            <v>58040138</v>
          </cell>
          <cell r="B526" t="str">
            <v>Recovery from Bus fare</v>
          </cell>
          <cell r="C526">
            <v>-35113</v>
          </cell>
          <cell r="D526">
            <v>0</v>
          </cell>
          <cell r="E526">
            <v>-35113</v>
          </cell>
        </row>
        <row r="527">
          <cell r="A527">
            <v>58040139</v>
          </cell>
          <cell r="B527" t="str">
            <v>Recovery from Mobile/Blackberry Deduction</v>
          </cell>
          <cell r="C527">
            <v>-3240</v>
          </cell>
          <cell r="D527">
            <v>0</v>
          </cell>
          <cell r="E527">
            <v>-3240</v>
          </cell>
        </row>
        <row r="528">
          <cell r="A528">
            <v>58165006</v>
          </cell>
          <cell r="B528" t="str">
            <v>Office Maintenance</v>
          </cell>
          <cell r="C528">
            <v>89630.1</v>
          </cell>
          <cell r="D528">
            <v>0</v>
          </cell>
          <cell r="E528">
            <v>89630.1</v>
          </cell>
        </row>
        <row r="529">
          <cell r="A529">
            <v>58165007</v>
          </cell>
          <cell r="B529" t="str">
            <v>Bank Charges</v>
          </cell>
          <cell r="C529">
            <v>9280.27</v>
          </cell>
          <cell r="D529">
            <v>0</v>
          </cell>
          <cell r="E529">
            <v>9280.27</v>
          </cell>
        </row>
        <row r="530">
          <cell r="A530">
            <v>58165008</v>
          </cell>
          <cell r="B530" t="str">
            <v>Audit Fee</v>
          </cell>
          <cell r="C530">
            <v>0</v>
          </cell>
          <cell r="D530">
            <v>0</v>
          </cell>
          <cell r="E530">
            <v>0</v>
          </cell>
        </row>
        <row r="531">
          <cell r="A531">
            <v>58165012</v>
          </cell>
          <cell r="B531" t="str">
            <v>Stamp Paper/Franking Charges</v>
          </cell>
          <cell r="C531">
            <v>34490</v>
          </cell>
          <cell r="D531">
            <v>0</v>
          </cell>
          <cell r="E531">
            <v>34490</v>
          </cell>
        </row>
        <row r="532">
          <cell r="A532">
            <v>58165015</v>
          </cell>
          <cell r="B532" t="str">
            <v>Bank Guarantee Charges</v>
          </cell>
          <cell r="C532">
            <v>975576.55</v>
          </cell>
          <cell r="D532">
            <v>0</v>
          </cell>
          <cell r="E532">
            <v>975576.55</v>
          </cell>
        </row>
        <row r="533">
          <cell r="A533">
            <v>58190000</v>
          </cell>
          <cell r="B533" t="str">
            <v>Loss on sale of fixed assets</v>
          </cell>
          <cell r="C533">
            <v>5934.32</v>
          </cell>
          <cell r="D533">
            <v>0</v>
          </cell>
          <cell r="E533">
            <v>5934.32</v>
          </cell>
        </row>
        <row r="534">
          <cell r="A534">
            <v>58210000</v>
          </cell>
          <cell r="B534" t="str">
            <v>Bad debts</v>
          </cell>
          <cell r="C534">
            <v>-1098.73</v>
          </cell>
          <cell r="D534">
            <v>0</v>
          </cell>
          <cell r="E534">
            <v>-1098.73</v>
          </cell>
        </row>
        <row r="535">
          <cell r="A535">
            <v>58241023</v>
          </cell>
          <cell r="B535" t="str">
            <v>Technical Support Expense</v>
          </cell>
          <cell r="C535">
            <v>1726</v>
          </cell>
          <cell r="D535">
            <v>0</v>
          </cell>
          <cell r="E535">
            <v>1726</v>
          </cell>
        </row>
        <row r="536">
          <cell r="A536">
            <v>58242004</v>
          </cell>
          <cell r="B536" t="str">
            <v>Shorts &amp; Excess-GASE</v>
          </cell>
          <cell r="C536">
            <v>11.1</v>
          </cell>
          <cell r="D536">
            <v>0</v>
          </cell>
          <cell r="E536">
            <v>11.1</v>
          </cell>
        </row>
        <row r="537">
          <cell r="A537">
            <v>58242011</v>
          </cell>
          <cell r="B537" t="str">
            <v>NSE PENALTY CHARGES</v>
          </cell>
          <cell r="C537">
            <v>-2003.5</v>
          </cell>
          <cell r="D537">
            <v>0</v>
          </cell>
          <cell r="E537">
            <v>-2003.5</v>
          </cell>
        </row>
        <row r="538">
          <cell r="A538">
            <v>58242016</v>
          </cell>
          <cell r="B538" t="str">
            <v>Interest on Bank OD</v>
          </cell>
          <cell r="C538">
            <v>5172210.79</v>
          </cell>
          <cell r="D538">
            <v>0</v>
          </cell>
          <cell r="E538">
            <v>5172210.79</v>
          </cell>
        </row>
        <row r="539">
          <cell r="A539">
            <v>58242032</v>
          </cell>
          <cell r="B539" t="str">
            <v>EPF Admin &amp; EDLI Charges</v>
          </cell>
          <cell r="C539">
            <v>4499.95</v>
          </cell>
          <cell r="D539">
            <v>0</v>
          </cell>
          <cell r="E539">
            <v>4499.95</v>
          </cell>
        </row>
        <row r="540">
          <cell r="A540">
            <v>58242072</v>
          </cell>
          <cell r="B540" t="str">
            <v>Enhanced Benefit Plan</v>
          </cell>
          <cell r="C540">
            <v>0</v>
          </cell>
          <cell r="D540">
            <v>0</v>
          </cell>
          <cell r="E540">
            <v>0</v>
          </cell>
        </row>
        <row r="541">
          <cell r="A541">
            <v>62100010</v>
          </cell>
          <cell r="B541" t="str">
            <v>Content Expenses</v>
          </cell>
          <cell r="C541">
            <v>210381.03</v>
          </cell>
          <cell r="D541">
            <v>0</v>
          </cell>
          <cell r="E541">
            <v>210381.03</v>
          </cell>
        </row>
        <row r="542">
          <cell r="A542">
            <v>62100061</v>
          </cell>
          <cell r="B542" t="str">
            <v>Interest on Car Loans</v>
          </cell>
          <cell r="C542">
            <v>-3654</v>
          </cell>
          <cell r="D542">
            <v>0</v>
          </cell>
          <cell r="E542">
            <v>-3654</v>
          </cell>
        </row>
        <row r="543">
          <cell r="A543">
            <v>90000003</v>
          </cell>
          <cell r="B543" t="str">
            <v>Balancing Account</v>
          </cell>
          <cell r="C543">
            <v>6350842.2599999998</v>
          </cell>
          <cell r="D543">
            <v>0</v>
          </cell>
          <cell r="E543">
            <v>6350842.2599999998</v>
          </cell>
        </row>
        <row r="544">
          <cell r="A544">
            <v>90000005</v>
          </cell>
          <cell r="B544" t="str">
            <v>Cleared Ch. In Hdfc Bank</v>
          </cell>
          <cell r="C544">
            <v>-537514.72</v>
          </cell>
          <cell r="D544">
            <v>0</v>
          </cell>
          <cell r="E544">
            <v>-537514.72</v>
          </cell>
        </row>
        <row r="545">
          <cell r="A545">
            <v>90000011</v>
          </cell>
          <cell r="B545" t="str">
            <v>Sundry Debtors A/C.Customers Direct</v>
          </cell>
          <cell r="C545">
            <v>-524.01</v>
          </cell>
          <cell r="D545">
            <v>0</v>
          </cell>
          <cell r="E545">
            <v>-524.01</v>
          </cell>
        </row>
        <row r="546">
          <cell r="A546">
            <v>90000058</v>
          </cell>
          <cell r="B546" t="str">
            <v>BANK OF BARODA CAPITALMARKETS(WDM)</v>
          </cell>
          <cell r="C546">
            <v>-5250</v>
          </cell>
          <cell r="D546">
            <v>0</v>
          </cell>
          <cell r="E546">
            <v>-5250</v>
          </cell>
        </row>
        <row r="547">
          <cell r="A547">
            <v>90000063</v>
          </cell>
          <cell r="B547" t="str">
            <v>BHARAT CO-OP BANK LTD. (WDM)</v>
          </cell>
          <cell r="C547">
            <v>-3200</v>
          </cell>
          <cell r="D547">
            <v>0</v>
          </cell>
          <cell r="E547">
            <v>-3200</v>
          </cell>
        </row>
        <row r="548">
          <cell r="A548">
            <v>90000066</v>
          </cell>
          <cell r="B548" t="str">
            <v>CANARA BANK(WDM)</v>
          </cell>
          <cell r="C548">
            <v>-6000</v>
          </cell>
          <cell r="D548">
            <v>0</v>
          </cell>
          <cell r="E548">
            <v>-6000</v>
          </cell>
        </row>
        <row r="549">
          <cell r="A549">
            <v>90000072</v>
          </cell>
          <cell r="B549" t="str">
            <v>FEDERAL BANK(WDM)</v>
          </cell>
          <cell r="C549">
            <v>-1750</v>
          </cell>
          <cell r="D549">
            <v>0</v>
          </cell>
          <cell r="E549">
            <v>-1750</v>
          </cell>
        </row>
        <row r="550">
          <cell r="A550">
            <v>90000074</v>
          </cell>
          <cell r="B550" t="str">
            <v>ICHALKARANJI JANTA SAHAKARI BANK(WDM)</v>
          </cell>
          <cell r="C550">
            <v>-491</v>
          </cell>
          <cell r="D550">
            <v>0</v>
          </cell>
          <cell r="E550">
            <v>-491</v>
          </cell>
        </row>
        <row r="551">
          <cell r="A551">
            <v>90000082</v>
          </cell>
          <cell r="B551" t="str">
            <v>JANTA SAHAKARI BANK(WDM)</v>
          </cell>
          <cell r="C551">
            <v>-7000</v>
          </cell>
          <cell r="D551">
            <v>0</v>
          </cell>
          <cell r="E551">
            <v>-7000</v>
          </cell>
        </row>
        <row r="552">
          <cell r="A552">
            <v>90000088</v>
          </cell>
          <cell r="B552" t="str">
            <v>NAGPUR NAGRIK SAHAKARI B</v>
          </cell>
          <cell r="C552">
            <v>-7264</v>
          </cell>
          <cell r="D552">
            <v>0</v>
          </cell>
          <cell r="E552">
            <v>-7264</v>
          </cell>
        </row>
        <row r="553">
          <cell r="A553">
            <v>90000092</v>
          </cell>
          <cell r="B553" t="str">
            <v>ORIENTAL BANK OF COMM. (WDM)</v>
          </cell>
          <cell r="C553">
            <v>-19500</v>
          </cell>
          <cell r="D553">
            <v>0</v>
          </cell>
          <cell r="E553">
            <v>-19500</v>
          </cell>
        </row>
        <row r="554">
          <cell r="A554">
            <v>90000099</v>
          </cell>
          <cell r="B554" t="str">
            <v>SBI MUTUAL FUND (WDM)</v>
          </cell>
          <cell r="C554">
            <v>-3500</v>
          </cell>
          <cell r="D554">
            <v>0</v>
          </cell>
          <cell r="E554">
            <v>-3500</v>
          </cell>
        </row>
        <row r="555">
          <cell r="A555">
            <v>90000104</v>
          </cell>
          <cell r="B555" t="str">
            <v>STATE BANK OF INDIA (WDM)</v>
          </cell>
          <cell r="C555">
            <v>-11500</v>
          </cell>
          <cell r="D555">
            <v>0</v>
          </cell>
          <cell r="E555">
            <v>-11500</v>
          </cell>
        </row>
        <row r="556">
          <cell r="A556">
            <v>90000106</v>
          </cell>
          <cell r="B556" t="str">
            <v>STATE BANK OF SHAURASHTR</v>
          </cell>
          <cell r="C556">
            <v>-500</v>
          </cell>
          <cell r="D556">
            <v>0</v>
          </cell>
          <cell r="E556">
            <v>-500</v>
          </cell>
        </row>
        <row r="557">
          <cell r="A557">
            <v>90000109</v>
          </cell>
          <cell r="B557" t="str">
            <v>THE SANGLI BANK (WDM)</v>
          </cell>
          <cell r="C557">
            <v>-3500</v>
          </cell>
          <cell r="D557">
            <v>0</v>
          </cell>
          <cell r="E557">
            <v>-3500</v>
          </cell>
        </row>
        <row r="558">
          <cell r="A558">
            <v>90000111</v>
          </cell>
          <cell r="B558" t="str">
            <v>UCO BANK</v>
          </cell>
          <cell r="C558">
            <v>-2250</v>
          </cell>
          <cell r="D558">
            <v>0</v>
          </cell>
          <cell r="E558">
            <v>-2250</v>
          </cell>
        </row>
        <row r="559">
          <cell r="A559">
            <v>90000183</v>
          </cell>
          <cell r="B559" t="str">
            <v>Bombay Stock Exchange Limited</v>
          </cell>
          <cell r="C559">
            <v>-15586977.32</v>
          </cell>
          <cell r="D559">
            <v>0</v>
          </cell>
          <cell r="E559">
            <v>-15586977.32</v>
          </cell>
        </row>
        <row r="560">
          <cell r="A560">
            <v>90000184</v>
          </cell>
          <cell r="B560" t="str">
            <v>Bombay Stock Exchange Limited - STT A/C</v>
          </cell>
          <cell r="C560">
            <v>39217.910000000003</v>
          </cell>
          <cell r="D560">
            <v>0</v>
          </cell>
          <cell r="E560">
            <v>39217.910000000003</v>
          </cell>
        </row>
        <row r="561">
          <cell r="A561">
            <v>90000186</v>
          </cell>
          <cell r="B561" t="str">
            <v>National Stock Exchange</v>
          </cell>
          <cell r="C561">
            <v>-9977567.75</v>
          </cell>
          <cell r="D561">
            <v>0</v>
          </cell>
          <cell r="E561">
            <v>-9977567.75</v>
          </cell>
        </row>
        <row r="562">
          <cell r="A562">
            <v>90000187</v>
          </cell>
          <cell r="B562" t="str">
            <v>National Stock Exchange - STT A/C</v>
          </cell>
          <cell r="C562">
            <v>95692.92</v>
          </cell>
          <cell r="D562">
            <v>0</v>
          </cell>
          <cell r="E562">
            <v>95692.92</v>
          </cell>
        </row>
        <row r="563">
          <cell r="A563">
            <v>90000188</v>
          </cell>
          <cell r="B563" t="str">
            <v>National Stock Exchange - Short Sale A/c</v>
          </cell>
          <cell r="C563">
            <v>-134976.03</v>
          </cell>
          <cell r="D563">
            <v>0</v>
          </cell>
          <cell r="E563">
            <v>-134976.03</v>
          </cell>
        </row>
        <row r="564">
          <cell r="A564">
            <v>90000189</v>
          </cell>
          <cell r="B564" t="str">
            <v>Bombay Stock Exchange Limited - Auction A/C</v>
          </cell>
          <cell r="C564">
            <v>0</v>
          </cell>
          <cell r="D564">
            <v>0</v>
          </cell>
          <cell r="E564">
            <v>0</v>
          </cell>
        </row>
        <row r="565">
          <cell r="A565">
            <v>90000192</v>
          </cell>
          <cell r="B565" t="str">
            <v>Sundry Debtors A/C</v>
          </cell>
          <cell r="C565">
            <v>-1007378689.87</v>
          </cell>
          <cell r="D565">
            <v>0</v>
          </cell>
          <cell r="E565">
            <v>-1007378689.87</v>
          </cell>
        </row>
        <row r="566">
          <cell r="A566">
            <v>90000200</v>
          </cell>
          <cell r="B566" t="str">
            <v>AHMEDNAGAR SAHAR SAHAKARI BANK (WDM)</v>
          </cell>
          <cell r="C566">
            <v>-2000</v>
          </cell>
          <cell r="D566">
            <v>0</v>
          </cell>
          <cell r="E566">
            <v>-2000</v>
          </cell>
        </row>
        <row r="567">
          <cell r="A567">
            <v>90000265</v>
          </cell>
          <cell r="B567" t="str">
            <v>INTEREST RECEIVABLE ON FDR</v>
          </cell>
          <cell r="C567">
            <v>8841440.4399999995</v>
          </cell>
          <cell r="D567">
            <v>0</v>
          </cell>
          <cell r="E567">
            <v>8841440.4399999995</v>
          </cell>
        </row>
        <row r="568">
          <cell r="A568">
            <v>90000309</v>
          </cell>
          <cell r="B568" t="str">
            <v>Sundry Debtrors -Customers (Others)</v>
          </cell>
          <cell r="C568">
            <v>-14305</v>
          </cell>
          <cell r="D568">
            <v>0</v>
          </cell>
          <cell r="E568">
            <v>-14305</v>
          </cell>
        </row>
        <row r="569">
          <cell r="A569">
            <v>90000335</v>
          </cell>
          <cell r="B569" t="str">
            <v>ALLAHABAD BANK (WDM)</v>
          </cell>
          <cell r="C569">
            <v>-8500</v>
          </cell>
          <cell r="D569">
            <v>0</v>
          </cell>
          <cell r="E569">
            <v>-8500</v>
          </cell>
        </row>
        <row r="570">
          <cell r="A570">
            <v>90000379</v>
          </cell>
          <cell r="B570" t="str">
            <v>NSE MARGIN A/C</v>
          </cell>
          <cell r="C570">
            <v>0</v>
          </cell>
          <cell r="D570">
            <v>0</v>
          </cell>
          <cell r="E570">
            <v>0</v>
          </cell>
        </row>
        <row r="571">
          <cell r="A571">
            <v>90000480</v>
          </cell>
          <cell r="B571" t="str">
            <v>Bank of Rajasthan (wdm)</v>
          </cell>
          <cell r="C571">
            <v>-2000</v>
          </cell>
          <cell r="D571">
            <v>0</v>
          </cell>
          <cell r="E571">
            <v>-2000</v>
          </cell>
        </row>
        <row r="572">
          <cell r="A572">
            <v>90000498</v>
          </cell>
          <cell r="B572" t="str">
            <v>Deposits of Trading Membership Currency Derivative</v>
          </cell>
          <cell r="C572">
            <v>1000000</v>
          </cell>
          <cell r="D572">
            <v>0</v>
          </cell>
          <cell r="E572">
            <v>1000000</v>
          </cell>
        </row>
        <row r="573">
          <cell r="A573">
            <v>90000499</v>
          </cell>
          <cell r="B573" t="str">
            <v>IFSD- Currency Derivative Segment (CDS)</v>
          </cell>
          <cell r="C573">
            <v>2500000</v>
          </cell>
          <cell r="D573">
            <v>0</v>
          </cell>
          <cell r="E573">
            <v>2500000</v>
          </cell>
        </row>
        <row r="574">
          <cell r="A574">
            <v>90000509</v>
          </cell>
          <cell r="B574" t="str">
            <v>ABC MARGIN - NSE (SLB)</v>
          </cell>
          <cell r="C574">
            <v>500000</v>
          </cell>
          <cell r="D574">
            <v>0</v>
          </cell>
          <cell r="E574">
            <v>500000</v>
          </cell>
        </row>
        <row r="575">
          <cell r="A575">
            <v>90000622</v>
          </cell>
          <cell r="B575" t="str">
            <v>Sundry Debitors-Customer IPO Commission</v>
          </cell>
          <cell r="C575">
            <v>217.34</v>
          </cell>
          <cell r="D575">
            <v>0</v>
          </cell>
          <cell r="E575">
            <v>217.34</v>
          </cell>
        </row>
        <row r="576">
          <cell r="A576">
            <v>90000625</v>
          </cell>
          <cell r="B576" t="str">
            <v>Cenvat Receivable on reverse charge A/C</v>
          </cell>
          <cell r="C576">
            <v>103542</v>
          </cell>
          <cell r="D576">
            <v>0</v>
          </cell>
          <cell r="E576">
            <v>103542</v>
          </cell>
        </row>
        <row r="577">
          <cell r="A577">
            <v>90000793</v>
          </cell>
          <cell r="B577" t="str">
            <v>Sundry Debtors A/C - Mutual Fund Brokerage</v>
          </cell>
          <cell r="C577">
            <v>21165.27</v>
          </cell>
          <cell r="D577">
            <v>0</v>
          </cell>
          <cell r="E577">
            <v>21165.27</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7A9F-555D-43E6-A67A-1ED5E76A9CBF}">
  <sheetPr>
    <pageSetUpPr fitToPage="1"/>
  </sheetPr>
  <dimension ref="B1:J216"/>
  <sheetViews>
    <sheetView showGridLines="0" topLeftCell="C1" zoomScaleNormal="100" zoomScaleSheetLayoutView="140" workbookViewId="0">
      <selection activeCell="I5" sqref="I5:I6"/>
    </sheetView>
  </sheetViews>
  <sheetFormatPr defaultColWidth="9.20703125" defaultRowHeight="11.4" x14ac:dyDescent="0.4"/>
  <cols>
    <col min="1" max="1" width="9.20703125" style="5"/>
    <col min="2" max="2" width="2.41796875" style="5" customWidth="1"/>
    <col min="3" max="3" width="19.20703125" style="5" customWidth="1"/>
    <col min="4" max="4" width="14.7890625" style="5" customWidth="1"/>
    <col min="5" max="5" width="12.7890625" style="5" customWidth="1"/>
    <col min="6" max="6" width="3.20703125" style="5" customWidth="1"/>
    <col min="7" max="7" width="9.20703125" style="5" customWidth="1"/>
    <col min="8" max="8" width="14.7890625" style="5" customWidth="1"/>
    <col min="9" max="9" width="14.3671875" style="4" customWidth="1"/>
    <col min="10" max="10" width="14.41796875" style="4" customWidth="1"/>
    <col min="11" max="16384" width="9.20703125" style="5"/>
  </cols>
  <sheetData>
    <row r="1" spans="2:10" ht="12.3" x14ac:dyDescent="0.4">
      <c r="B1" s="1"/>
      <c r="C1" s="2" t="s">
        <v>50</v>
      </c>
      <c r="D1" s="2"/>
      <c r="E1" s="2"/>
      <c r="F1" s="2"/>
      <c r="G1" s="2"/>
      <c r="H1" s="2"/>
      <c r="I1" s="2"/>
      <c r="J1" s="3"/>
    </row>
    <row r="2" spans="2:10" ht="14.55" customHeight="1" x14ac:dyDescent="0.4">
      <c r="B2" s="1"/>
      <c r="C2" s="7" t="s">
        <v>43</v>
      </c>
      <c r="D2" s="7"/>
      <c r="E2" s="7"/>
      <c r="F2" s="7"/>
      <c r="G2" s="7"/>
      <c r="H2" s="7"/>
      <c r="I2" s="7"/>
      <c r="J2" s="8"/>
    </row>
    <row r="3" spans="2:10" ht="12.3" x14ac:dyDescent="0.4">
      <c r="B3" s="1"/>
      <c r="C3" s="2" t="s">
        <v>44</v>
      </c>
      <c r="D3" s="2"/>
      <c r="E3" s="2"/>
      <c r="F3" s="2"/>
      <c r="G3" s="2"/>
      <c r="H3" s="2"/>
      <c r="I3" s="2"/>
      <c r="J3" s="3"/>
    </row>
    <row r="4" spans="2:10" ht="11.7" thickBot="1" x14ac:dyDescent="0.45">
      <c r="B4" s="1"/>
      <c r="C4" s="9" t="s">
        <v>42</v>
      </c>
      <c r="D4" s="9"/>
      <c r="E4" s="9"/>
      <c r="F4" s="9"/>
      <c r="G4" s="9"/>
      <c r="H4" s="9"/>
      <c r="I4" s="9"/>
      <c r="J4" s="10"/>
    </row>
    <row r="5" spans="2:10" ht="11.4" customHeight="1" x14ac:dyDescent="0.4">
      <c r="B5" s="11"/>
      <c r="C5" s="12" t="s">
        <v>0</v>
      </c>
      <c r="D5" s="13"/>
      <c r="E5" s="13"/>
      <c r="F5" s="13"/>
      <c r="G5" s="14"/>
      <c r="H5" s="15" t="s">
        <v>45</v>
      </c>
      <c r="I5" s="15" t="s">
        <v>46</v>
      </c>
      <c r="J5" s="16"/>
    </row>
    <row r="6" spans="2:10" ht="11.7" thickBot="1" x14ac:dyDescent="0.45">
      <c r="B6" s="17"/>
      <c r="C6" s="18"/>
      <c r="D6" s="19"/>
      <c r="E6" s="19"/>
      <c r="F6" s="19"/>
      <c r="G6" s="20"/>
      <c r="H6" s="21"/>
      <c r="I6" s="21"/>
      <c r="J6" s="16"/>
    </row>
    <row r="7" spans="2:10" x14ac:dyDescent="0.4">
      <c r="B7" s="22"/>
      <c r="C7" s="23"/>
      <c r="D7" s="1"/>
      <c r="E7" s="1"/>
      <c r="F7" s="1"/>
      <c r="G7" s="24"/>
      <c r="H7" s="25"/>
      <c r="I7" s="26"/>
      <c r="J7" s="16"/>
    </row>
    <row r="8" spans="2:10" x14ac:dyDescent="0.4">
      <c r="B8" s="22" t="s">
        <v>1</v>
      </c>
      <c r="C8" s="27" t="s">
        <v>2</v>
      </c>
      <c r="D8" s="28"/>
      <c r="E8" s="1"/>
      <c r="F8" s="1"/>
      <c r="G8" s="24"/>
      <c r="H8" s="29"/>
      <c r="I8" s="30"/>
      <c r="J8" s="31"/>
    </row>
    <row r="9" spans="2:10" x14ac:dyDescent="0.4">
      <c r="B9" s="17"/>
      <c r="C9" s="23" t="s">
        <v>3</v>
      </c>
      <c r="D9" s="1"/>
      <c r="E9" s="1"/>
      <c r="F9" s="1"/>
      <c r="G9" s="24"/>
      <c r="H9" s="29">
        <v>20545.613900000026</v>
      </c>
      <c r="I9" s="30">
        <v>47890.796500000048</v>
      </c>
      <c r="J9" s="32"/>
    </row>
    <row r="10" spans="2:10" x14ac:dyDescent="0.4">
      <c r="B10" s="17"/>
      <c r="C10" s="34" t="s">
        <v>4</v>
      </c>
      <c r="D10" s="1"/>
      <c r="E10" s="1"/>
      <c r="F10" s="1"/>
      <c r="G10" s="24"/>
      <c r="H10" s="29"/>
      <c r="I10" s="30"/>
      <c r="J10" s="32"/>
    </row>
    <row r="11" spans="2:10" x14ac:dyDescent="0.4">
      <c r="B11" s="17"/>
      <c r="C11" s="34" t="s">
        <v>5</v>
      </c>
      <c r="D11" s="1"/>
      <c r="E11" s="1"/>
      <c r="F11" s="1"/>
      <c r="G11" s="24"/>
      <c r="H11" s="35">
        <v>2454.5</v>
      </c>
      <c r="I11" s="30">
        <v>1309.99</v>
      </c>
      <c r="J11" s="32"/>
    </row>
    <row r="12" spans="2:10" x14ac:dyDescent="0.4">
      <c r="B12" s="17"/>
      <c r="C12" s="34" t="s">
        <v>6</v>
      </c>
      <c r="D12" s="1"/>
      <c r="E12" s="1"/>
      <c r="F12" s="1"/>
      <c r="G12" s="24"/>
      <c r="H12" s="35">
        <v>0</v>
      </c>
      <c r="I12" s="36">
        <v>-328.58150000000001</v>
      </c>
      <c r="J12" s="37"/>
    </row>
    <row r="13" spans="2:10" x14ac:dyDescent="0.4">
      <c r="B13" s="17"/>
      <c r="C13" s="34"/>
      <c r="D13" s="1"/>
      <c r="E13" s="1"/>
      <c r="F13" s="1"/>
      <c r="G13" s="24"/>
      <c r="H13" s="35"/>
      <c r="I13" s="30"/>
      <c r="J13" s="32"/>
    </row>
    <row r="14" spans="2:10" x14ac:dyDescent="0.4">
      <c r="B14" s="17"/>
      <c r="C14" s="23" t="s">
        <v>7</v>
      </c>
      <c r="D14" s="1"/>
      <c r="E14" s="1"/>
      <c r="F14" s="1"/>
      <c r="G14" s="24"/>
      <c r="H14" s="38">
        <f>SUM(H9:H12)</f>
        <v>23000.113900000026</v>
      </c>
      <c r="I14" s="39">
        <f>SUM(I9:I12)</f>
        <v>48872.205000000045</v>
      </c>
      <c r="J14" s="40"/>
    </row>
    <row r="15" spans="2:10" ht="14.25" customHeight="1" x14ac:dyDescent="0.4">
      <c r="B15" s="17"/>
      <c r="C15" s="23" t="s">
        <v>8</v>
      </c>
      <c r="D15" s="1"/>
      <c r="E15" s="1"/>
      <c r="F15" s="1"/>
      <c r="G15" s="24"/>
      <c r="H15" s="35"/>
      <c r="I15" s="30"/>
      <c r="J15" s="32"/>
    </row>
    <row r="16" spans="2:10" x14ac:dyDescent="0.4">
      <c r="B16" s="17"/>
      <c r="C16" s="34" t="s">
        <v>9</v>
      </c>
      <c r="D16" s="1"/>
      <c r="E16" s="1"/>
      <c r="F16" s="1"/>
      <c r="G16" s="24"/>
      <c r="H16" s="35">
        <v>0</v>
      </c>
      <c r="I16" s="30">
        <v>1464.4314999999999</v>
      </c>
      <c r="J16" s="32"/>
    </row>
    <row r="17" spans="2:10" x14ac:dyDescent="0.4">
      <c r="B17" s="17"/>
      <c r="C17" s="41" t="s">
        <v>10</v>
      </c>
      <c r="D17" s="1"/>
      <c r="E17" s="1"/>
      <c r="F17" s="1"/>
      <c r="G17" s="24"/>
      <c r="H17" s="35">
        <v>19.092140000000001</v>
      </c>
      <c r="I17" s="30">
        <v>330.47610000000003</v>
      </c>
      <c r="J17" s="32"/>
    </row>
    <row r="18" spans="2:10" x14ac:dyDescent="0.4">
      <c r="B18" s="17"/>
      <c r="C18" s="34" t="s">
        <v>11</v>
      </c>
      <c r="D18" s="1"/>
      <c r="E18" s="1"/>
      <c r="F18" s="1"/>
      <c r="G18" s="24"/>
      <c r="H18" s="35">
        <v>-14635.295699999999</v>
      </c>
      <c r="I18" s="30">
        <v>-1433.4848999999999</v>
      </c>
      <c r="J18" s="32"/>
    </row>
    <row r="19" spans="2:10" x14ac:dyDescent="0.4">
      <c r="B19" s="17"/>
      <c r="C19" s="34" t="s">
        <v>12</v>
      </c>
      <c r="D19" s="1"/>
      <c r="E19" s="1"/>
      <c r="F19" s="1"/>
      <c r="G19" s="24"/>
      <c r="H19" s="35">
        <v>-8600.3699999999953</v>
      </c>
      <c r="I19" s="30">
        <v>-10541.0538</v>
      </c>
      <c r="J19" s="32"/>
    </row>
    <row r="20" spans="2:10" x14ac:dyDescent="0.4">
      <c r="B20" s="17"/>
      <c r="C20" s="34" t="s">
        <v>13</v>
      </c>
      <c r="D20" s="1"/>
      <c r="E20" s="1"/>
      <c r="F20" s="1"/>
      <c r="G20" s="24"/>
      <c r="H20" s="35">
        <v>-100</v>
      </c>
      <c r="I20" s="30">
        <v>-236.1</v>
      </c>
      <c r="J20" s="32"/>
    </row>
    <row r="21" spans="2:10" x14ac:dyDescent="0.4">
      <c r="B21" s="17"/>
      <c r="C21" s="23" t="s">
        <v>14</v>
      </c>
      <c r="D21" s="1"/>
      <c r="E21" s="1"/>
      <c r="F21" s="1"/>
      <c r="G21" s="24"/>
      <c r="H21" s="38">
        <f>SUM(H14:H20)</f>
        <v>-316.4596599999677</v>
      </c>
      <c r="I21" s="39">
        <f>SUM(I14:I20)</f>
        <v>38456.473900000041</v>
      </c>
      <c r="J21" s="42"/>
    </row>
    <row r="22" spans="2:10" x14ac:dyDescent="0.4">
      <c r="B22" s="17"/>
      <c r="C22" s="41" t="s">
        <v>15</v>
      </c>
      <c r="D22" s="1"/>
      <c r="E22" s="1"/>
      <c r="F22" s="1"/>
      <c r="G22" s="24"/>
      <c r="H22" s="29">
        <v>-13280.47</v>
      </c>
      <c r="I22" s="30">
        <v>-8971.49</v>
      </c>
      <c r="J22" s="32"/>
    </row>
    <row r="23" spans="2:10" x14ac:dyDescent="0.4">
      <c r="B23" s="17"/>
      <c r="C23" s="41"/>
      <c r="D23" s="1"/>
      <c r="E23" s="1"/>
      <c r="F23" s="1"/>
      <c r="G23" s="24"/>
      <c r="H23" s="35"/>
      <c r="I23" s="30"/>
      <c r="J23" s="32"/>
    </row>
    <row r="24" spans="2:10" x14ac:dyDescent="0.4">
      <c r="B24" s="17"/>
      <c r="C24" s="23" t="s">
        <v>16</v>
      </c>
      <c r="D24" s="1"/>
      <c r="E24" s="1"/>
      <c r="F24" s="1"/>
      <c r="G24" s="24"/>
      <c r="H24" s="43">
        <f>H21+H22</f>
        <v>-13596.929659999967</v>
      </c>
      <c r="I24" s="44">
        <f>I21+I22</f>
        <v>29484.983900000043</v>
      </c>
      <c r="J24" s="40"/>
    </row>
    <row r="25" spans="2:10" x14ac:dyDescent="0.4">
      <c r="B25" s="17"/>
      <c r="C25" s="34"/>
      <c r="D25" s="1"/>
      <c r="E25" s="1"/>
      <c r="F25" s="1"/>
      <c r="G25" s="24"/>
      <c r="H25" s="35"/>
      <c r="I25" s="30"/>
      <c r="J25" s="32"/>
    </row>
    <row r="26" spans="2:10" x14ac:dyDescent="0.4">
      <c r="B26" s="22" t="s">
        <v>17</v>
      </c>
      <c r="C26" s="23" t="s">
        <v>18</v>
      </c>
      <c r="D26" s="1"/>
      <c r="E26" s="1"/>
      <c r="F26" s="1"/>
      <c r="G26" s="24"/>
      <c r="H26" s="35"/>
      <c r="I26" s="30"/>
      <c r="J26" s="32"/>
    </row>
    <row r="27" spans="2:10" x14ac:dyDescent="0.4">
      <c r="B27" s="17"/>
      <c r="C27" s="34" t="s">
        <v>19</v>
      </c>
      <c r="D27" s="1"/>
      <c r="E27" s="1"/>
      <c r="F27" s="1"/>
      <c r="G27" s="24"/>
      <c r="H27" s="35">
        <v>-1184.75</v>
      </c>
      <c r="I27" s="36">
        <v>-12206.46</v>
      </c>
      <c r="J27" s="37"/>
    </row>
    <row r="28" spans="2:10" x14ac:dyDescent="0.4">
      <c r="B28" s="17"/>
      <c r="C28" s="34"/>
      <c r="D28" s="1"/>
      <c r="E28" s="1"/>
      <c r="F28" s="1"/>
      <c r="G28" s="24"/>
      <c r="H28" s="35"/>
      <c r="I28" s="30"/>
      <c r="J28" s="32"/>
    </row>
    <row r="29" spans="2:10" x14ac:dyDescent="0.4">
      <c r="B29" s="17"/>
      <c r="C29" s="23" t="s">
        <v>20</v>
      </c>
      <c r="D29" s="1"/>
      <c r="E29" s="1"/>
      <c r="F29" s="1"/>
      <c r="G29" s="24"/>
      <c r="H29" s="43">
        <f>SUM(H27:H28)</f>
        <v>-1184.75</v>
      </c>
      <c r="I29" s="45">
        <f>SUM(I27:I28)</f>
        <v>-12206.46</v>
      </c>
      <c r="J29" s="46"/>
    </row>
    <row r="30" spans="2:10" x14ac:dyDescent="0.4">
      <c r="B30" s="17"/>
      <c r="C30" s="34"/>
      <c r="D30" s="1"/>
      <c r="E30" s="1"/>
      <c r="F30" s="1"/>
      <c r="G30" s="24"/>
      <c r="H30" s="35"/>
      <c r="I30" s="30"/>
      <c r="J30" s="32"/>
    </row>
    <row r="31" spans="2:10" x14ac:dyDescent="0.4">
      <c r="B31" s="22" t="s">
        <v>21</v>
      </c>
      <c r="C31" s="23" t="s">
        <v>22</v>
      </c>
      <c r="D31" s="1"/>
      <c r="E31" s="1"/>
      <c r="F31" s="1"/>
      <c r="G31" s="24"/>
      <c r="H31" s="35"/>
      <c r="I31" s="30"/>
      <c r="J31" s="32"/>
    </row>
    <row r="32" spans="2:10" x14ac:dyDescent="0.4">
      <c r="B32" s="17"/>
      <c r="C32" s="34" t="s">
        <v>23</v>
      </c>
      <c r="D32" s="1"/>
      <c r="E32" s="1"/>
      <c r="F32" s="1"/>
      <c r="G32" s="24"/>
      <c r="H32" s="35">
        <v>0</v>
      </c>
      <c r="I32" s="36">
        <v>0</v>
      </c>
      <c r="J32" s="37"/>
    </row>
    <row r="33" spans="2:10" x14ac:dyDescent="0.4">
      <c r="B33" s="17"/>
      <c r="C33" s="34"/>
      <c r="D33" s="1"/>
      <c r="E33" s="1"/>
      <c r="F33" s="1"/>
      <c r="G33" s="24"/>
      <c r="H33" s="35"/>
      <c r="I33" s="30"/>
      <c r="J33" s="32"/>
    </row>
    <row r="34" spans="2:10" x14ac:dyDescent="0.4">
      <c r="B34" s="17"/>
      <c r="C34" s="23" t="s">
        <v>24</v>
      </c>
      <c r="D34" s="1"/>
      <c r="E34" s="1"/>
      <c r="F34" s="1"/>
      <c r="G34" s="24"/>
      <c r="H34" s="43">
        <f>SUM(H32:H33)</f>
        <v>0</v>
      </c>
      <c r="I34" s="44">
        <f>SUM(I32:I33)</f>
        <v>0</v>
      </c>
      <c r="J34" s="42"/>
    </row>
    <row r="35" spans="2:10" x14ac:dyDescent="0.4">
      <c r="B35" s="17"/>
      <c r="C35" s="34"/>
      <c r="D35" s="1"/>
      <c r="E35" s="1"/>
      <c r="F35" s="1"/>
      <c r="G35" s="24"/>
      <c r="H35" s="35"/>
      <c r="I35" s="30"/>
      <c r="J35" s="32"/>
    </row>
    <row r="36" spans="2:10" x14ac:dyDescent="0.4">
      <c r="B36" s="17"/>
      <c r="C36" s="23" t="s">
        <v>25</v>
      </c>
      <c r="D36" s="1"/>
      <c r="E36" s="1"/>
      <c r="F36" s="1"/>
      <c r="G36" s="24"/>
      <c r="H36" s="29">
        <v>-14781.679659999967</v>
      </c>
      <c r="I36" s="30">
        <v>17278.513900000045</v>
      </c>
      <c r="J36" s="32"/>
    </row>
    <row r="37" spans="2:10" x14ac:dyDescent="0.4">
      <c r="B37" s="17"/>
      <c r="C37" s="41" t="s">
        <v>26</v>
      </c>
      <c r="D37" s="1"/>
      <c r="E37" s="1"/>
      <c r="F37" s="1"/>
      <c r="G37" s="24"/>
      <c r="H37" s="29">
        <v>45055.488000000048</v>
      </c>
      <c r="I37" s="30">
        <v>27776.974100000003</v>
      </c>
      <c r="J37" s="32"/>
    </row>
    <row r="38" spans="2:10" x14ac:dyDescent="0.4">
      <c r="B38" s="17"/>
      <c r="C38" s="23" t="s">
        <v>27</v>
      </c>
      <c r="D38" s="1"/>
      <c r="E38" s="1"/>
      <c r="F38" s="1"/>
      <c r="G38" s="24"/>
      <c r="H38" s="47">
        <f>SUM(H36:H37)</f>
        <v>30273.808340000083</v>
      </c>
      <c r="I38" s="44">
        <f>SUM(I36:I37)</f>
        <v>45055.488000000048</v>
      </c>
      <c r="J38" s="40"/>
    </row>
    <row r="39" spans="2:10" ht="19.5" customHeight="1" x14ac:dyDescent="0.4">
      <c r="B39" s="17"/>
      <c r="C39" s="41"/>
      <c r="D39" s="1"/>
      <c r="E39" s="1"/>
      <c r="F39" s="1"/>
      <c r="G39" s="24"/>
      <c r="H39" s="29"/>
      <c r="I39" s="30"/>
      <c r="J39" s="32"/>
    </row>
    <row r="40" spans="2:10" ht="19.5" customHeight="1" x14ac:dyDescent="0.4">
      <c r="B40" s="17"/>
      <c r="C40" s="23" t="s">
        <v>28</v>
      </c>
      <c r="D40" s="1"/>
      <c r="E40" s="1"/>
      <c r="F40" s="1"/>
      <c r="G40" s="24"/>
      <c r="H40" s="29"/>
      <c r="I40" s="30"/>
      <c r="J40" s="32"/>
    </row>
    <row r="41" spans="2:10" ht="19.5" customHeight="1" x14ac:dyDescent="0.4">
      <c r="B41" s="17"/>
      <c r="C41" s="48" t="s">
        <v>29</v>
      </c>
      <c r="D41" s="1"/>
      <c r="E41" s="1"/>
      <c r="F41" s="1"/>
      <c r="G41" s="24"/>
      <c r="H41" s="29"/>
      <c r="I41" s="30"/>
      <c r="J41" s="32"/>
    </row>
    <row r="42" spans="2:10" x14ac:dyDescent="0.4">
      <c r="B42" s="17"/>
      <c r="C42" s="49" t="s">
        <v>30</v>
      </c>
      <c r="D42" s="1"/>
      <c r="E42" s="1"/>
      <c r="F42" s="1"/>
      <c r="G42" s="24"/>
      <c r="H42" s="29">
        <v>414.9633</v>
      </c>
      <c r="I42" s="30">
        <v>297.44238100000001</v>
      </c>
      <c r="J42" s="33"/>
    </row>
    <row r="43" spans="2:10" ht="7.5" customHeight="1" x14ac:dyDescent="0.4">
      <c r="B43" s="17"/>
      <c r="C43" s="49"/>
      <c r="D43" s="1"/>
      <c r="E43" s="1"/>
      <c r="F43" s="1"/>
      <c r="G43" s="24"/>
      <c r="H43" s="29"/>
      <c r="I43" s="30"/>
      <c r="J43" s="32"/>
    </row>
    <row r="44" spans="2:10" x14ac:dyDescent="0.4">
      <c r="B44" s="17"/>
      <c r="C44" s="50" t="s">
        <v>31</v>
      </c>
      <c r="D44" s="1"/>
      <c r="E44" s="1"/>
      <c r="F44" s="1"/>
      <c r="G44" s="24"/>
      <c r="H44" s="29"/>
      <c r="I44" s="30"/>
      <c r="J44" s="32"/>
    </row>
    <row r="45" spans="2:10" ht="30" customHeight="1" x14ac:dyDescent="0.4">
      <c r="B45" s="17"/>
      <c r="C45" s="51" t="s">
        <v>32</v>
      </c>
      <c r="D45" s="52"/>
      <c r="E45" s="52"/>
      <c r="F45" s="52"/>
      <c r="G45" s="53"/>
      <c r="H45" s="54">
        <f>'[1]Note BS-Asset'!G86</f>
        <v>0</v>
      </c>
      <c r="I45" s="55">
        <f>'[1]Note BS-Asset'!H86</f>
        <v>0</v>
      </c>
      <c r="J45" s="56"/>
    </row>
    <row r="46" spans="2:10" ht="22.5" customHeight="1" thickBot="1" x14ac:dyDescent="0.45">
      <c r="B46" s="57"/>
      <c r="C46" s="58"/>
      <c r="D46" s="59"/>
      <c r="E46" s="59"/>
      <c r="F46" s="59"/>
      <c r="G46" s="60"/>
      <c r="H46" s="61">
        <f>H42+H45</f>
        <v>414.9633</v>
      </c>
      <c r="I46" s="62">
        <f>I42+I45</f>
        <v>297.44238100000001</v>
      </c>
      <c r="J46" s="63"/>
    </row>
    <row r="47" spans="2:10" x14ac:dyDescent="0.4">
      <c r="B47" s="1"/>
      <c r="C47" s="64"/>
      <c r="D47" s="1"/>
      <c r="E47" s="1"/>
      <c r="F47" s="1"/>
      <c r="G47" s="1"/>
      <c r="H47" s="65"/>
      <c r="I47" s="66"/>
      <c r="J47" s="6"/>
    </row>
    <row r="48" spans="2:10" x14ac:dyDescent="0.4">
      <c r="B48" s="67"/>
      <c r="C48" s="68" t="s">
        <v>33</v>
      </c>
      <c r="D48" s="1"/>
      <c r="E48" s="1"/>
      <c r="F48" s="1"/>
      <c r="G48" s="1"/>
      <c r="H48" s="1"/>
      <c r="I48" s="66"/>
      <c r="J48" s="6"/>
    </row>
    <row r="49" spans="2:10" ht="24" customHeight="1" x14ac:dyDescent="0.4">
      <c r="B49" s="28"/>
      <c r="C49" s="69" t="s">
        <v>34</v>
      </c>
      <c r="D49" s="69"/>
      <c r="E49" s="69"/>
      <c r="F49" s="69"/>
      <c r="G49" s="69"/>
      <c r="H49" s="69"/>
      <c r="I49" s="69"/>
      <c r="J49" s="70"/>
    </row>
    <row r="50" spans="2:10" x14ac:dyDescent="0.4">
      <c r="B50" s="1"/>
      <c r="C50" s="1"/>
      <c r="D50" s="1"/>
      <c r="E50" s="1"/>
      <c r="F50" s="1"/>
      <c r="G50" s="1"/>
      <c r="H50" s="1"/>
      <c r="I50" s="71"/>
    </row>
    <row r="51" spans="2:10" x14ac:dyDescent="0.4">
      <c r="B51" s="1"/>
      <c r="C51" s="28" t="s">
        <v>35</v>
      </c>
      <c r="D51" s="1"/>
      <c r="E51" s="1"/>
      <c r="F51" s="1"/>
      <c r="G51" s="1"/>
      <c r="H51" s="1"/>
      <c r="I51" s="71"/>
    </row>
    <row r="52" spans="2:10" x14ac:dyDescent="0.4">
      <c r="B52" s="1"/>
      <c r="C52" s="1"/>
      <c r="D52" s="1"/>
      <c r="E52" s="1"/>
      <c r="F52" s="1"/>
      <c r="G52" s="1"/>
      <c r="H52" s="1"/>
      <c r="I52" s="71"/>
    </row>
    <row r="53" spans="2:10" x14ac:dyDescent="0.4">
      <c r="B53" s="1"/>
      <c r="C53" s="67" t="s">
        <v>36</v>
      </c>
      <c r="D53" s="1"/>
      <c r="E53" s="1"/>
      <c r="F53" s="1"/>
      <c r="G53" s="1"/>
      <c r="H53" s="1"/>
      <c r="I53" s="71"/>
    </row>
    <row r="54" spans="2:10" x14ac:dyDescent="0.4">
      <c r="B54" s="1"/>
      <c r="C54" s="1"/>
      <c r="D54" s="1"/>
      <c r="E54" s="1"/>
      <c r="F54" s="1"/>
      <c r="G54" s="1"/>
      <c r="H54" s="1"/>
      <c r="I54" s="71"/>
    </row>
    <row r="55" spans="2:10" x14ac:dyDescent="0.4">
      <c r="B55" s="1"/>
      <c r="C55" s="72" t="str">
        <f>[1]BS!B65</f>
        <v>For XYZ &amp; CO.</v>
      </c>
      <c r="D55" s="1"/>
      <c r="E55" s="1"/>
      <c r="F55" s="1"/>
      <c r="G55" s="73" t="s">
        <v>37</v>
      </c>
      <c r="H55" s="1"/>
      <c r="I55" s="71"/>
    </row>
    <row r="56" spans="2:10" x14ac:dyDescent="0.4">
      <c r="B56" s="1"/>
      <c r="C56" s="74" t="s">
        <v>38</v>
      </c>
      <c r="D56" s="1"/>
      <c r="E56" s="1"/>
      <c r="F56" s="1"/>
      <c r="G56" s="73" t="str">
        <f>[1]BS!E66</f>
        <v>ABC PRIVATE LIMITED</v>
      </c>
      <c r="H56" s="1"/>
      <c r="I56" s="71"/>
    </row>
    <row r="57" spans="2:10" x14ac:dyDescent="0.4">
      <c r="B57" s="1"/>
      <c r="C57" s="74" t="str">
        <f>[1]BS!B67</f>
        <v>Firm's Registration No.: 15XXXXW</v>
      </c>
      <c r="D57" s="74"/>
      <c r="E57" s="74"/>
      <c r="F57" s="74"/>
      <c r="G57" s="74"/>
      <c r="H57" s="1"/>
      <c r="I57" s="71"/>
    </row>
    <row r="58" spans="2:10" x14ac:dyDescent="0.4">
      <c r="B58" s="1"/>
      <c r="C58" s="74"/>
      <c r="D58" s="74"/>
      <c r="E58" s="74"/>
      <c r="F58" s="74"/>
      <c r="G58" s="74"/>
      <c r="H58" s="1"/>
      <c r="I58" s="71"/>
    </row>
    <row r="59" spans="2:10" x14ac:dyDescent="0.4">
      <c r="B59" s="1"/>
      <c r="C59" s="74"/>
      <c r="D59" s="74"/>
      <c r="E59" s="74"/>
      <c r="F59" s="74"/>
      <c r="G59" s="74"/>
      <c r="H59" s="1"/>
      <c r="I59" s="71"/>
    </row>
    <row r="60" spans="2:10" x14ac:dyDescent="0.4">
      <c r="B60" s="1"/>
      <c r="C60" s="74" t="str">
        <f>[1]BS!B71</f>
        <v>X</v>
      </c>
      <c r="D60" s="1"/>
      <c r="E60" s="1"/>
      <c r="F60" s="1"/>
      <c r="G60" s="75" t="str">
        <f>[1]BS!E71</f>
        <v>V Chauhan</v>
      </c>
      <c r="H60" s="76"/>
      <c r="I60" s="75" t="str">
        <f>[1]BS!G71</f>
        <v>M Chauhan</v>
      </c>
      <c r="J60" s="77"/>
    </row>
    <row r="61" spans="2:10" x14ac:dyDescent="0.4">
      <c r="B61" s="1"/>
      <c r="C61" s="74" t="s">
        <v>39</v>
      </c>
      <c r="D61" s="1"/>
      <c r="E61" s="1"/>
      <c r="F61" s="1"/>
      <c r="G61" s="74" t="s">
        <v>40</v>
      </c>
      <c r="H61" s="78"/>
      <c r="I61" s="78" t="s">
        <v>40</v>
      </c>
      <c r="J61" s="79"/>
    </row>
    <row r="62" spans="2:10" x14ac:dyDescent="0.4">
      <c r="B62" s="1"/>
      <c r="C62" s="1" t="str">
        <f>[1]BS!B73</f>
        <v>Membership No.: 602XXX</v>
      </c>
      <c r="D62" s="1"/>
      <c r="E62" s="1"/>
      <c r="F62" s="1"/>
      <c r="G62" s="1" t="str">
        <f>[1]BS!E73</f>
        <v>DIN:</v>
      </c>
      <c r="H62" s="74"/>
      <c r="I62" s="1" t="str">
        <f>[1]BS!G73</f>
        <v>DIN:</v>
      </c>
      <c r="J62" s="5"/>
    </row>
    <row r="63" spans="2:10" x14ac:dyDescent="0.4">
      <c r="B63" s="1"/>
      <c r="C63" s="80"/>
      <c r="D63" s="1"/>
      <c r="E63" s="1"/>
      <c r="F63" s="1"/>
      <c r="G63" s="1"/>
      <c r="H63" s="74"/>
      <c r="I63" s="81"/>
      <c r="J63" s="82"/>
    </row>
    <row r="64" spans="2:10" x14ac:dyDescent="0.4">
      <c r="B64" s="1"/>
      <c r="C64" s="83" t="str">
        <f>[1]BS!B75</f>
        <v>Place: Navi Mumbai</v>
      </c>
      <c r="D64" s="80"/>
      <c r="E64" s="1"/>
      <c r="F64" s="1"/>
      <c r="G64" s="83" t="str">
        <f>[1]BS!E75</f>
        <v>Place: Navi Mumbai</v>
      </c>
      <c r="H64" s="65"/>
      <c r="I64" s="83" t="str">
        <f>[1]BS!G75</f>
        <v>Place: Navi Mumbai</v>
      </c>
      <c r="J64" s="84"/>
    </row>
    <row r="65" spans="2:10" x14ac:dyDescent="0.4">
      <c r="B65" s="1"/>
      <c r="C65" s="83" t="str">
        <f>[1]BS!B76</f>
        <v>Date:</v>
      </c>
      <c r="D65" s="85"/>
      <c r="E65" s="1"/>
      <c r="F65" s="1"/>
      <c r="G65" s="83" t="str">
        <f>[1]BS!E76</f>
        <v>Date:</v>
      </c>
      <c r="H65" s="1"/>
      <c r="I65" s="83" t="str">
        <f>[1]BS!G76</f>
        <v>Date:</v>
      </c>
      <c r="J65" s="84"/>
    </row>
    <row r="216" spans="3:3" x14ac:dyDescent="0.4">
      <c r="C216" s="5" t="s">
        <v>41</v>
      </c>
    </row>
  </sheetData>
  <protectedRanges>
    <protectedRange sqref="C51" name="Protect_BS_5_1_1"/>
  </protectedRanges>
  <mergeCells count="8">
    <mergeCell ref="C45:G45"/>
    <mergeCell ref="C49:I49"/>
    <mergeCell ref="C1:I1"/>
    <mergeCell ref="C2:I2"/>
    <mergeCell ref="C3:I3"/>
    <mergeCell ref="C4:I4"/>
    <mergeCell ref="H5:H6"/>
    <mergeCell ref="I5:I6"/>
  </mergeCells>
  <pageMargins left="0.25" right="0.25" top="0.75" bottom="0.75" header="0.3" footer="0.3"/>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E59F9-DB88-4E7C-A529-C3CA7479F080}">
  <sheetPr>
    <pageSetUpPr fitToPage="1"/>
  </sheetPr>
  <dimension ref="B1:J216"/>
  <sheetViews>
    <sheetView showGridLines="0" zoomScaleNormal="100" zoomScaleSheetLayoutView="140" workbookViewId="0">
      <selection activeCell="J8" sqref="J8"/>
    </sheetView>
  </sheetViews>
  <sheetFormatPr defaultColWidth="9.20703125" defaultRowHeight="11.4" x14ac:dyDescent="0.4"/>
  <cols>
    <col min="1" max="1" width="9.20703125" style="5"/>
    <col min="2" max="2" width="2.41796875" style="5" customWidth="1"/>
    <col min="3" max="3" width="19.20703125" style="5" customWidth="1"/>
    <col min="4" max="4" width="14.7890625" style="5" customWidth="1"/>
    <col min="5" max="5" width="12.7890625" style="5" customWidth="1"/>
    <col min="6" max="6" width="3.20703125" style="5" customWidth="1"/>
    <col min="7" max="7" width="9.20703125" style="5" customWidth="1"/>
    <col min="8" max="8" width="14.7890625" style="5" customWidth="1"/>
    <col min="9" max="9" width="15.41796875" style="4" customWidth="1"/>
    <col min="10" max="10" width="14.41796875" style="4" customWidth="1"/>
    <col min="11" max="16384" width="9.20703125" style="5"/>
  </cols>
  <sheetData>
    <row r="1" spans="2:10" ht="12.3" x14ac:dyDescent="0.4">
      <c r="B1" s="1"/>
      <c r="C1" s="2" t="s">
        <v>50</v>
      </c>
      <c r="D1" s="2"/>
      <c r="E1" s="2"/>
      <c r="F1" s="2"/>
      <c r="G1" s="2"/>
      <c r="H1" s="2"/>
      <c r="I1" s="2"/>
      <c r="J1" s="3"/>
    </row>
    <row r="2" spans="2:10" ht="14.55" customHeight="1" x14ac:dyDescent="0.4">
      <c r="B2" s="1"/>
      <c r="C2" s="7" t="s">
        <v>43</v>
      </c>
      <c r="D2" s="7"/>
      <c r="E2" s="7"/>
      <c r="F2" s="7"/>
      <c r="G2" s="7"/>
      <c r="H2" s="7"/>
      <c r="I2" s="7"/>
      <c r="J2" s="8"/>
    </row>
    <row r="3" spans="2:10" ht="12.3" x14ac:dyDescent="0.4">
      <c r="B3" s="1"/>
      <c r="C3" s="2" t="s">
        <v>47</v>
      </c>
      <c r="D3" s="2"/>
      <c r="E3" s="2"/>
      <c r="F3" s="2"/>
      <c r="G3" s="2"/>
      <c r="H3" s="2"/>
      <c r="I3" s="2"/>
      <c r="J3" s="3"/>
    </row>
    <row r="4" spans="2:10" ht="11.7" thickBot="1" x14ac:dyDescent="0.45">
      <c r="B4" s="1"/>
      <c r="C4" s="9" t="s">
        <v>42</v>
      </c>
      <c r="D4" s="9"/>
      <c r="E4" s="9"/>
      <c r="F4" s="9"/>
      <c r="G4" s="9"/>
      <c r="H4" s="9"/>
      <c r="I4" s="9"/>
      <c r="J4" s="10"/>
    </row>
    <row r="5" spans="2:10" ht="11.4" customHeight="1" x14ac:dyDescent="0.4">
      <c r="B5" s="11"/>
      <c r="C5" s="12" t="s">
        <v>0</v>
      </c>
      <c r="D5" s="13"/>
      <c r="E5" s="13"/>
      <c r="F5" s="13"/>
      <c r="G5" s="14"/>
      <c r="H5" s="15" t="s">
        <v>48</v>
      </c>
      <c r="I5" s="15" t="s">
        <v>49</v>
      </c>
      <c r="J5" s="16"/>
    </row>
    <row r="6" spans="2:10" ht="11.7" thickBot="1" x14ac:dyDescent="0.45">
      <c r="B6" s="17"/>
      <c r="C6" s="18"/>
      <c r="D6" s="19"/>
      <c r="E6" s="19"/>
      <c r="F6" s="19"/>
      <c r="G6" s="20"/>
      <c r="H6" s="21"/>
      <c r="I6" s="21"/>
      <c r="J6" s="16"/>
    </row>
    <row r="7" spans="2:10" x14ac:dyDescent="0.4">
      <c r="B7" s="22"/>
      <c r="C7" s="23"/>
      <c r="D7" s="1"/>
      <c r="E7" s="1"/>
      <c r="F7" s="1"/>
      <c r="G7" s="24"/>
      <c r="H7" s="25"/>
      <c r="I7" s="26"/>
      <c r="J7" s="16"/>
    </row>
    <row r="8" spans="2:10" x14ac:dyDescent="0.4">
      <c r="B8" s="22" t="s">
        <v>1</v>
      </c>
      <c r="C8" s="27" t="s">
        <v>2</v>
      </c>
      <c r="D8" s="28"/>
      <c r="E8" s="1"/>
      <c r="F8" s="1"/>
      <c r="G8" s="24"/>
      <c r="H8" s="29"/>
      <c r="I8" s="30"/>
      <c r="J8" s="31"/>
    </row>
    <row r="9" spans="2:10" x14ac:dyDescent="0.4">
      <c r="B9" s="17"/>
      <c r="C9" s="23" t="s">
        <v>3</v>
      </c>
      <c r="D9" s="1"/>
      <c r="E9" s="1"/>
      <c r="F9" s="1"/>
      <c r="G9" s="24"/>
      <c r="H9" s="29">
        <v>30818.420850000039</v>
      </c>
      <c r="I9" s="30">
        <v>71836.194750000068</v>
      </c>
      <c r="J9" s="32"/>
    </row>
    <row r="10" spans="2:10" x14ac:dyDescent="0.4">
      <c r="B10" s="17"/>
      <c r="C10" s="34" t="s">
        <v>4</v>
      </c>
      <c r="D10" s="1"/>
      <c r="E10" s="1"/>
      <c r="F10" s="1"/>
      <c r="G10" s="24"/>
      <c r="H10" s="29">
        <v>0</v>
      </c>
      <c r="I10" s="30">
        <v>0</v>
      </c>
      <c r="J10" s="32"/>
    </row>
    <row r="11" spans="2:10" x14ac:dyDescent="0.4">
      <c r="B11" s="17"/>
      <c r="C11" s="34" t="s">
        <v>5</v>
      </c>
      <c r="D11" s="1"/>
      <c r="E11" s="1"/>
      <c r="F11" s="1"/>
      <c r="G11" s="24"/>
      <c r="H11" s="35">
        <v>3681.75</v>
      </c>
      <c r="I11" s="30">
        <v>1964.9850000000001</v>
      </c>
      <c r="J11" s="32"/>
    </row>
    <row r="12" spans="2:10" x14ac:dyDescent="0.4">
      <c r="B12" s="17"/>
      <c r="C12" s="34" t="s">
        <v>6</v>
      </c>
      <c r="D12" s="1"/>
      <c r="E12" s="1"/>
      <c r="F12" s="1"/>
      <c r="G12" s="24"/>
      <c r="H12" s="35">
        <v>0</v>
      </c>
      <c r="I12" s="36">
        <v>-492.87225000000001</v>
      </c>
      <c r="J12" s="37"/>
    </row>
    <row r="13" spans="2:10" x14ac:dyDescent="0.4">
      <c r="B13" s="17"/>
      <c r="C13" s="34"/>
      <c r="D13" s="1"/>
      <c r="E13" s="1"/>
      <c r="F13" s="1"/>
      <c r="G13" s="24"/>
      <c r="H13" s="35"/>
      <c r="I13" s="30"/>
      <c r="J13" s="32"/>
    </row>
    <row r="14" spans="2:10" x14ac:dyDescent="0.4">
      <c r="B14" s="17"/>
      <c r="C14" s="23" t="s">
        <v>7</v>
      </c>
      <c r="D14" s="1"/>
      <c r="E14" s="1"/>
      <c r="F14" s="1"/>
      <c r="G14" s="24"/>
      <c r="H14" s="38">
        <f>SUM(H9:H12)</f>
        <v>34500.170850000039</v>
      </c>
      <c r="I14" s="39">
        <f>SUM(I9:I12)</f>
        <v>73308.307500000068</v>
      </c>
      <c r="J14" s="40"/>
    </row>
    <row r="15" spans="2:10" ht="14.25" customHeight="1" x14ac:dyDescent="0.4">
      <c r="B15" s="17"/>
      <c r="C15" s="23" t="s">
        <v>8</v>
      </c>
      <c r="D15" s="1"/>
      <c r="E15" s="1"/>
      <c r="F15" s="1"/>
      <c r="G15" s="24"/>
      <c r="H15" s="35"/>
      <c r="I15" s="30"/>
      <c r="J15" s="32"/>
    </row>
    <row r="16" spans="2:10" x14ac:dyDescent="0.4">
      <c r="B16" s="17"/>
      <c r="C16" s="34" t="s">
        <v>9</v>
      </c>
      <c r="D16" s="1"/>
      <c r="E16" s="1"/>
      <c r="F16" s="1"/>
      <c r="G16" s="24"/>
      <c r="H16" s="35">
        <v>0</v>
      </c>
      <c r="I16" s="30">
        <v>2196.64725</v>
      </c>
      <c r="J16" s="32"/>
    </row>
    <row r="17" spans="2:10" x14ac:dyDescent="0.4">
      <c r="B17" s="17"/>
      <c r="C17" s="41" t="s">
        <v>10</v>
      </c>
      <c r="D17" s="1"/>
      <c r="E17" s="1"/>
      <c r="F17" s="1"/>
      <c r="G17" s="24"/>
      <c r="H17" s="35">
        <v>28.638210000000001</v>
      </c>
      <c r="I17" s="30">
        <v>495.71415000000002</v>
      </c>
      <c r="J17" s="32"/>
    </row>
    <row r="18" spans="2:10" x14ac:dyDescent="0.4">
      <c r="B18" s="17"/>
      <c r="C18" s="34" t="s">
        <v>11</v>
      </c>
      <c r="D18" s="1"/>
      <c r="E18" s="1"/>
      <c r="F18" s="1"/>
      <c r="G18" s="24"/>
      <c r="H18" s="35">
        <v>-21952.943549999996</v>
      </c>
      <c r="I18" s="30">
        <v>-2150.2273500000001</v>
      </c>
      <c r="J18" s="32"/>
    </row>
    <row r="19" spans="2:10" x14ac:dyDescent="0.4">
      <c r="B19" s="17"/>
      <c r="C19" s="34" t="s">
        <v>12</v>
      </c>
      <c r="D19" s="1"/>
      <c r="E19" s="1"/>
      <c r="F19" s="1"/>
      <c r="G19" s="24"/>
      <c r="H19" s="35">
        <v>-12900.554999999993</v>
      </c>
      <c r="I19" s="30">
        <v>-15811.580699999999</v>
      </c>
      <c r="J19" s="32"/>
    </row>
    <row r="20" spans="2:10" x14ac:dyDescent="0.4">
      <c r="B20" s="17"/>
      <c r="C20" s="34" t="s">
        <v>13</v>
      </c>
      <c r="D20" s="1"/>
      <c r="E20" s="1"/>
      <c r="F20" s="1"/>
      <c r="G20" s="24"/>
      <c r="H20" s="35">
        <v>-150</v>
      </c>
      <c r="I20" s="30">
        <v>-354.15</v>
      </c>
      <c r="J20" s="32"/>
    </row>
    <row r="21" spans="2:10" x14ac:dyDescent="0.4">
      <c r="B21" s="17"/>
      <c r="C21" s="23" t="s">
        <v>14</v>
      </c>
      <c r="D21" s="1"/>
      <c r="E21" s="1"/>
      <c r="F21" s="1"/>
      <c r="G21" s="24"/>
      <c r="H21" s="38">
        <f>SUM(H14:H20)</f>
        <v>-474.68948999995337</v>
      </c>
      <c r="I21" s="39">
        <f>SUM(I14:I20)</f>
        <v>57684.710850000061</v>
      </c>
      <c r="J21" s="42"/>
    </row>
    <row r="22" spans="2:10" x14ac:dyDescent="0.4">
      <c r="B22" s="17"/>
      <c r="C22" s="41" t="s">
        <v>15</v>
      </c>
      <c r="D22" s="1"/>
      <c r="E22" s="1"/>
      <c r="F22" s="1"/>
      <c r="G22" s="24"/>
      <c r="H22" s="29">
        <v>-19920.704999999998</v>
      </c>
      <c r="I22" s="30">
        <v>-13457.235000000001</v>
      </c>
      <c r="J22" s="32"/>
    </row>
    <row r="23" spans="2:10" x14ac:dyDescent="0.4">
      <c r="B23" s="17"/>
      <c r="C23" s="41"/>
      <c r="D23" s="1"/>
      <c r="E23" s="1"/>
      <c r="F23" s="1"/>
      <c r="G23" s="24"/>
      <c r="H23" s="35"/>
      <c r="I23" s="30"/>
      <c r="J23" s="32"/>
    </row>
    <row r="24" spans="2:10" x14ac:dyDescent="0.4">
      <c r="B24" s="17"/>
      <c r="C24" s="23" t="s">
        <v>16</v>
      </c>
      <c r="D24" s="1"/>
      <c r="E24" s="1"/>
      <c r="F24" s="1"/>
      <c r="G24" s="24"/>
      <c r="H24" s="43">
        <f>H21+H22</f>
        <v>-20395.394489999951</v>
      </c>
      <c r="I24" s="44">
        <f>I21+I22</f>
        <v>44227.475850000061</v>
      </c>
      <c r="J24" s="40"/>
    </row>
    <row r="25" spans="2:10" x14ac:dyDescent="0.4">
      <c r="B25" s="17"/>
      <c r="C25" s="34"/>
      <c r="D25" s="1"/>
      <c r="E25" s="1"/>
      <c r="F25" s="1"/>
      <c r="G25" s="24"/>
      <c r="H25" s="35"/>
      <c r="I25" s="30"/>
      <c r="J25" s="32"/>
    </row>
    <row r="26" spans="2:10" x14ac:dyDescent="0.4">
      <c r="B26" s="22" t="s">
        <v>17</v>
      </c>
      <c r="C26" s="23" t="s">
        <v>18</v>
      </c>
      <c r="D26" s="1"/>
      <c r="E26" s="1"/>
      <c r="F26" s="1"/>
      <c r="G26" s="24"/>
      <c r="H26" s="35">
        <v>0</v>
      </c>
      <c r="I26" s="30">
        <v>0</v>
      </c>
      <c r="J26" s="32"/>
    </row>
    <row r="27" spans="2:10" x14ac:dyDescent="0.4">
      <c r="B27" s="17"/>
      <c r="C27" s="34" t="s">
        <v>19</v>
      </c>
      <c r="D27" s="1"/>
      <c r="E27" s="1"/>
      <c r="F27" s="1"/>
      <c r="G27" s="24"/>
      <c r="H27" s="35">
        <v>-1777.125</v>
      </c>
      <c r="I27" s="36">
        <v>-18309.689999999999</v>
      </c>
      <c r="J27" s="37"/>
    </row>
    <row r="28" spans="2:10" x14ac:dyDescent="0.4">
      <c r="B28" s="17"/>
      <c r="C28" s="34"/>
      <c r="D28" s="1"/>
      <c r="E28" s="1"/>
      <c r="F28" s="1"/>
      <c r="G28" s="24"/>
      <c r="H28" s="35"/>
      <c r="I28" s="30"/>
      <c r="J28" s="32"/>
    </row>
    <row r="29" spans="2:10" x14ac:dyDescent="0.4">
      <c r="B29" s="17"/>
      <c r="C29" s="23" t="s">
        <v>20</v>
      </c>
      <c r="D29" s="1"/>
      <c r="E29" s="1"/>
      <c r="F29" s="1"/>
      <c r="G29" s="24"/>
      <c r="H29" s="43">
        <f>SUM(H27:H28)</f>
        <v>-1777.125</v>
      </c>
      <c r="I29" s="45">
        <f>SUM(I27:I28)</f>
        <v>-18309.689999999999</v>
      </c>
      <c r="J29" s="46"/>
    </row>
    <row r="30" spans="2:10" x14ac:dyDescent="0.4">
      <c r="B30" s="17"/>
      <c r="C30" s="34"/>
      <c r="D30" s="1"/>
      <c r="E30" s="1"/>
      <c r="F30" s="1"/>
      <c r="G30" s="24"/>
      <c r="H30" s="35"/>
      <c r="I30" s="30"/>
      <c r="J30" s="32"/>
    </row>
    <row r="31" spans="2:10" x14ac:dyDescent="0.4">
      <c r="B31" s="22" t="s">
        <v>21</v>
      </c>
      <c r="C31" s="23" t="s">
        <v>22</v>
      </c>
      <c r="D31" s="1"/>
      <c r="E31" s="1"/>
      <c r="F31" s="1"/>
      <c r="G31" s="24"/>
      <c r="H31" s="35"/>
      <c r="I31" s="30"/>
      <c r="J31" s="32"/>
    </row>
    <row r="32" spans="2:10" x14ac:dyDescent="0.4">
      <c r="B32" s="17"/>
      <c r="C32" s="34" t="s">
        <v>23</v>
      </c>
      <c r="D32" s="1"/>
      <c r="E32" s="1"/>
      <c r="F32" s="1"/>
      <c r="G32" s="24"/>
      <c r="H32" s="35">
        <v>0</v>
      </c>
      <c r="I32" s="36">
        <v>0</v>
      </c>
      <c r="J32" s="37"/>
    </row>
    <row r="33" spans="2:10" x14ac:dyDescent="0.4">
      <c r="B33" s="17"/>
      <c r="C33" s="34"/>
      <c r="D33" s="1"/>
      <c r="E33" s="1"/>
      <c r="F33" s="1"/>
      <c r="G33" s="24"/>
      <c r="H33" s="35"/>
      <c r="I33" s="30"/>
      <c r="J33" s="32"/>
    </row>
    <row r="34" spans="2:10" x14ac:dyDescent="0.4">
      <c r="B34" s="17"/>
      <c r="C34" s="23" t="s">
        <v>24</v>
      </c>
      <c r="D34" s="1"/>
      <c r="E34" s="1"/>
      <c r="F34" s="1"/>
      <c r="G34" s="24"/>
      <c r="H34" s="43">
        <f>SUM(H32:H33)</f>
        <v>0</v>
      </c>
      <c r="I34" s="44">
        <f>SUM(I32:I33)</f>
        <v>0</v>
      </c>
      <c r="J34" s="42"/>
    </row>
    <row r="35" spans="2:10" x14ac:dyDescent="0.4">
      <c r="B35" s="17"/>
      <c r="C35" s="34"/>
      <c r="D35" s="1"/>
      <c r="E35" s="1"/>
      <c r="F35" s="1"/>
      <c r="G35" s="24"/>
      <c r="H35" s="35"/>
      <c r="I35" s="30"/>
      <c r="J35" s="32"/>
    </row>
    <row r="36" spans="2:10" x14ac:dyDescent="0.4">
      <c r="B36" s="17"/>
      <c r="C36" s="23" t="s">
        <v>25</v>
      </c>
      <c r="D36" s="1"/>
      <c r="E36" s="1"/>
      <c r="F36" s="1"/>
      <c r="G36" s="24"/>
      <c r="H36" s="29">
        <v>-22172.519489999951</v>
      </c>
      <c r="I36" s="30">
        <v>25917.770850000066</v>
      </c>
      <c r="J36" s="32"/>
    </row>
    <row r="37" spans="2:10" x14ac:dyDescent="0.4">
      <c r="B37" s="17"/>
      <c r="C37" s="41" t="s">
        <v>26</v>
      </c>
      <c r="D37" s="1"/>
      <c r="E37" s="1"/>
      <c r="F37" s="1"/>
      <c r="G37" s="24"/>
      <c r="H37" s="29">
        <v>67583.232000000076</v>
      </c>
      <c r="I37" s="30">
        <v>41665.461150000003</v>
      </c>
      <c r="J37" s="32"/>
    </row>
    <row r="38" spans="2:10" x14ac:dyDescent="0.4">
      <c r="B38" s="17"/>
      <c r="C38" s="23" t="s">
        <v>27</v>
      </c>
      <c r="D38" s="1"/>
      <c r="E38" s="1"/>
      <c r="F38" s="1"/>
      <c r="G38" s="24"/>
      <c r="H38" s="47">
        <f>SUM(H36:H37)</f>
        <v>45410.712510000129</v>
      </c>
      <c r="I38" s="44">
        <f>SUM(I36:I37)</f>
        <v>67583.232000000076</v>
      </c>
      <c r="J38" s="40"/>
    </row>
    <row r="39" spans="2:10" ht="19.5" customHeight="1" x14ac:dyDescent="0.4">
      <c r="B39" s="17"/>
      <c r="C39" s="41"/>
      <c r="D39" s="1"/>
      <c r="E39" s="1"/>
      <c r="F39" s="1"/>
      <c r="G39" s="24"/>
      <c r="H39" s="29"/>
      <c r="I39" s="30"/>
      <c r="J39" s="32"/>
    </row>
    <row r="40" spans="2:10" ht="19.5" customHeight="1" x14ac:dyDescent="0.4">
      <c r="B40" s="17"/>
      <c r="C40" s="23" t="s">
        <v>28</v>
      </c>
      <c r="D40" s="1"/>
      <c r="E40" s="1"/>
      <c r="F40" s="1"/>
      <c r="G40" s="24"/>
      <c r="H40" s="29"/>
      <c r="I40" s="30"/>
      <c r="J40" s="32"/>
    </row>
    <row r="41" spans="2:10" ht="19.5" customHeight="1" x14ac:dyDescent="0.4">
      <c r="B41" s="17"/>
      <c r="C41" s="48" t="s">
        <v>29</v>
      </c>
      <c r="D41" s="1"/>
      <c r="E41" s="1"/>
      <c r="F41" s="1"/>
      <c r="G41" s="24"/>
      <c r="H41" s="29"/>
      <c r="I41" s="30"/>
      <c r="J41" s="32"/>
    </row>
    <row r="42" spans="2:10" x14ac:dyDescent="0.4">
      <c r="B42" s="17"/>
      <c r="C42" s="49" t="s">
        <v>30</v>
      </c>
      <c r="D42" s="1"/>
      <c r="E42" s="1"/>
      <c r="F42" s="1"/>
      <c r="G42" s="24"/>
      <c r="H42" s="29">
        <v>414.9633</v>
      </c>
      <c r="I42" s="30">
        <v>297.44238100000001</v>
      </c>
      <c r="J42" s="33"/>
    </row>
    <row r="43" spans="2:10" ht="7.5" customHeight="1" x14ac:dyDescent="0.4">
      <c r="B43" s="17"/>
      <c r="C43" s="49"/>
      <c r="D43" s="1"/>
      <c r="E43" s="1"/>
      <c r="F43" s="1"/>
      <c r="G43" s="24"/>
      <c r="H43" s="29"/>
      <c r="I43" s="30"/>
      <c r="J43" s="32"/>
    </row>
    <row r="44" spans="2:10" x14ac:dyDescent="0.4">
      <c r="B44" s="17"/>
      <c r="C44" s="50" t="s">
        <v>31</v>
      </c>
      <c r="D44" s="1"/>
      <c r="E44" s="1"/>
      <c r="F44" s="1"/>
      <c r="G44" s="24"/>
      <c r="H44" s="29"/>
      <c r="I44" s="30"/>
      <c r="J44" s="32"/>
    </row>
    <row r="45" spans="2:10" ht="30" customHeight="1" x14ac:dyDescent="0.4">
      <c r="B45" s="17"/>
      <c r="C45" s="51" t="s">
        <v>32</v>
      </c>
      <c r="D45" s="52"/>
      <c r="E45" s="52"/>
      <c r="F45" s="52"/>
      <c r="G45" s="53"/>
      <c r="H45" s="54">
        <f>'[1]Note BS-Asset'!G86</f>
        <v>0</v>
      </c>
      <c r="I45" s="55">
        <f>'[1]Note BS-Asset'!H86</f>
        <v>0</v>
      </c>
      <c r="J45" s="56"/>
    </row>
    <row r="46" spans="2:10" ht="22.5" customHeight="1" thickBot="1" x14ac:dyDescent="0.45">
      <c r="B46" s="57"/>
      <c r="C46" s="58"/>
      <c r="D46" s="59"/>
      <c r="E46" s="59"/>
      <c r="F46" s="59"/>
      <c r="G46" s="60"/>
      <c r="H46" s="61">
        <f>H42+H45</f>
        <v>414.9633</v>
      </c>
      <c r="I46" s="62">
        <f>I42+I45</f>
        <v>297.44238100000001</v>
      </c>
      <c r="J46" s="63"/>
    </row>
    <row r="47" spans="2:10" x14ac:dyDescent="0.4">
      <c r="B47" s="1"/>
      <c r="C47" s="64"/>
      <c r="D47" s="1"/>
      <c r="E47" s="1"/>
      <c r="F47" s="1"/>
      <c r="G47" s="1"/>
      <c r="H47" s="65"/>
      <c r="I47" s="66"/>
      <c r="J47" s="6"/>
    </row>
    <row r="48" spans="2:10" x14ac:dyDescent="0.4">
      <c r="B48" s="67"/>
      <c r="C48" s="68" t="s">
        <v>33</v>
      </c>
      <c r="D48" s="1"/>
      <c r="E48" s="1"/>
      <c r="F48" s="1"/>
      <c r="G48" s="1"/>
      <c r="H48" s="1"/>
      <c r="I48" s="66"/>
      <c r="J48" s="6"/>
    </row>
    <row r="49" spans="2:10" ht="24" customHeight="1" x14ac:dyDescent="0.4">
      <c r="B49" s="28"/>
      <c r="C49" s="69" t="s">
        <v>34</v>
      </c>
      <c r="D49" s="69"/>
      <c r="E49" s="69"/>
      <c r="F49" s="69"/>
      <c r="G49" s="69"/>
      <c r="H49" s="69"/>
      <c r="I49" s="69"/>
      <c r="J49" s="70"/>
    </row>
    <row r="50" spans="2:10" x14ac:dyDescent="0.4">
      <c r="B50" s="1"/>
      <c r="C50" s="1"/>
      <c r="D50" s="1"/>
      <c r="E50" s="1"/>
      <c r="F50" s="1"/>
      <c r="G50" s="1"/>
      <c r="H50" s="1"/>
      <c r="I50" s="71"/>
    </row>
    <row r="51" spans="2:10" x14ac:dyDescent="0.4">
      <c r="B51" s="1"/>
      <c r="C51" s="28" t="s">
        <v>35</v>
      </c>
      <c r="D51" s="1"/>
      <c r="E51" s="1"/>
      <c r="F51" s="1"/>
      <c r="G51" s="1"/>
      <c r="H51" s="1"/>
      <c r="I51" s="71"/>
    </row>
    <row r="52" spans="2:10" x14ac:dyDescent="0.4">
      <c r="B52" s="1"/>
      <c r="C52" s="1"/>
      <c r="D52" s="1"/>
      <c r="E52" s="1"/>
      <c r="F52" s="1"/>
      <c r="G52" s="1"/>
      <c r="H52" s="1"/>
      <c r="I52" s="71"/>
    </row>
    <row r="53" spans="2:10" x14ac:dyDescent="0.4">
      <c r="B53" s="1"/>
      <c r="C53" s="67" t="s">
        <v>36</v>
      </c>
      <c r="D53" s="1"/>
      <c r="E53" s="1"/>
      <c r="F53" s="1"/>
      <c r="G53" s="1"/>
      <c r="H53" s="1"/>
      <c r="I53" s="71"/>
    </row>
    <row r="54" spans="2:10" x14ac:dyDescent="0.4">
      <c r="B54" s="1"/>
      <c r="C54" s="1"/>
      <c r="D54" s="1"/>
      <c r="E54" s="1"/>
      <c r="F54" s="1"/>
      <c r="G54" s="1"/>
      <c r="H54" s="1"/>
      <c r="I54" s="71"/>
    </row>
    <row r="55" spans="2:10" x14ac:dyDescent="0.4">
      <c r="B55" s="1"/>
      <c r="C55" s="72" t="str">
        <f>[1]BS!B65</f>
        <v>For XYZ &amp; CO.</v>
      </c>
      <c r="D55" s="1"/>
      <c r="E55" s="1"/>
      <c r="F55" s="1"/>
      <c r="G55" s="73" t="s">
        <v>37</v>
      </c>
      <c r="H55" s="1"/>
      <c r="I55" s="71"/>
    </row>
    <row r="56" spans="2:10" x14ac:dyDescent="0.4">
      <c r="B56" s="1"/>
      <c r="C56" s="74" t="s">
        <v>38</v>
      </c>
      <c r="D56" s="1"/>
      <c r="E56" s="1"/>
      <c r="F56" s="1"/>
      <c r="G56" s="73" t="str">
        <f>[1]BS!E66</f>
        <v>ABC PRIVATE LIMITED</v>
      </c>
      <c r="H56" s="1"/>
      <c r="I56" s="71"/>
    </row>
    <row r="57" spans="2:10" x14ac:dyDescent="0.4">
      <c r="B57" s="1"/>
      <c r="C57" s="74" t="str">
        <f>[1]BS!B67</f>
        <v>Firm's Registration No.: 15XXXXW</v>
      </c>
      <c r="D57" s="74"/>
      <c r="E57" s="74"/>
      <c r="F57" s="74"/>
      <c r="G57" s="74"/>
      <c r="H57" s="1"/>
      <c r="I57" s="71"/>
    </row>
    <row r="58" spans="2:10" x14ac:dyDescent="0.4">
      <c r="B58" s="1"/>
      <c r="C58" s="74"/>
      <c r="D58" s="74"/>
      <c r="E58" s="74"/>
      <c r="F58" s="74"/>
      <c r="G58" s="74"/>
      <c r="H58" s="1"/>
      <c r="I58" s="71"/>
    </row>
    <row r="59" spans="2:10" x14ac:dyDescent="0.4">
      <c r="B59" s="1"/>
      <c r="C59" s="74"/>
      <c r="D59" s="74"/>
      <c r="E59" s="74"/>
      <c r="F59" s="74"/>
      <c r="G59" s="74"/>
      <c r="H59" s="1"/>
      <c r="I59" s="71"/>
    </row>
    <row r="60" spans="2:10" x14ac:dyDescent="0.4">
      <c r="B60" s="1"/>
      <c r="C60" s="74" t="str">
        <f>[1]BS!B71</f>
        <v>X</v>
      </c>
      <c r="D60" s="1"/>
      <c r="E60" s="1"/>
      <c r="F60" s="1"/>
      <c r="G60" s="75" t="str">
        <f>[1]BS!E71</f>
        <v>V Chauhan</v>
      </c>
      <c r="H60" s="76"/>
      <c r="I60" s="75" t="str">
        <f>[1]BS!G71</f>
        <v>M Chauhan</v>
      </c>
      <c r="J60" s="77"/>
    </row>
    <row r="61" spans="2:10" x14ac:dyDescent="0.4">
      <c r="B61" s="1"/>
      <c r="C61" s="74" t="s">
        <v>39</v>
      </c>
      <c r="D61" s="1"/>
      <c r="E61" s="1"/>
      <c r="F61" s="1"/>
      <c r="G61" s="74" t="s">
        <v>40</v>
      </c>
      <c r="H61" s="78"/>
      <c r="I61" s="78" t="s">
        <v>40</v>
      </c>
      <c r="J61" s="79"/>
    </row>
    <row r="62" spans="2:10" x14ac:dyDescent="0.4">
      <c r="B62" s="1"/>
      <c r="C62" s="1" t="str">
        <f>[1]BS!B73</f>
        <v>Membership No.: 602XXX</v>
      </c>
      <c r="D62" s="1"/>
      <c r="E62" s="1"/>
      <c r="F62" s="1"/>
      <c r="G62" s="1" t="str">
        <f>[1]BS!E73</f>
        <v>DIN:</v>
      </c>
      <c r="H62" s="74"/>
      <c r="I62" s="1" t="str">
        <f>[1]BS!G73</f>
        <v>DIN:</v>
      </c>
      <c r="J62" s="5"/>
    </row>
    <row r="63" spans="2:10" x14ac:dyDescent="0.4">
      <c r="B63" s="1"/>
      <c r="C63" s="80"/>
      <c r="D63" s="1"/>
      <c r="E63" s="1"/>
      <c r="F63" s="1"/>
      <c r="G63" s="1"/>
      <c r="H63" s="74"/>
      <c r="I63" s="81"/>
      <c r="J63" s="82"/>
    </row>
    <row r="64" spans="2:10" x14ac:dyDescent="0.4">
      <c r="B64" s="1"/>
      <c r="C64" s="83" t="str">
        <f>[1]BS!B75</f>
        <v>Place: Navi Mumbai</v>
      </c>
      <c r="D64" s="80"/>
      <c r="E64" s="1"/>
      <c r="F64" s="1"/>
      <c r="G64" s="83" t="str">
        <f>[1]BS!E75</f>
        <v>Place: Navi Mumbai</v>
      </c>
      <c r="H64" s="65"/>
      <c r="I64" s="83" t="str">
        <f>[1]BS!G75</f>
        <v>Place: Navi Mumbai</v>
      </c>
      <c r="J64" s="84"/>
    </row>
    <row r="65" spans="2:10" x14ac:dyDescent="0.4">
      <c r="B65" s="1"/>
      <c r="C65" s="83" t="str">
        <f>[1]BS!B76</f>
        <v>Date:</v>
      </c>
      <c r="D65" s="85"/>
      <c r="E65" s="1"/>
      <c r="F65" s="1"/>
      <c r="G65" s="83" t="str">
        <f>[1]BS!E76</f>
        <v>Date:</v>
      </c>
      <c r="H65" s="1"/>
      <c r="I65" s="83" t="str">
        <f>[1]BS!G76</f>
        <v>Date:</v>
      </c>
      <c r="J65" s="84"/>
    </row>
    <row r="216" spans="3:3" x14ac:dyDescent="0.4">
      <c r="C216" s="5" t="s">
        <v>41</v>
      </c>
    </row>
  </sheetData>
  <protectedRanges>
    <protectedRange sqref="C51" name="Protect_BS_5_1_1"/>
  </protectedRanges>
  <mergeCells count="8">
    <mergeCell ref="C45:G45"/>
    <mergeCell ref="C49:I49"/>
    <mergeCell ref="C1:I1"/>
    <mergeCell ref="C2:I2"/>
    <mergeCell ref="C3:I3"/>
    <mergeCell ref="C4:I4"/>
    <mergeCell ref="H5:H6"/>
    <mergeCell ref="I5:I6"/>
  </mergeCells>
  <pageMargins left="0.25" right="0.25" top="0.75" bottom="0.75" header="0.3" footer="0.3"/>
  <pageSetup paperSize="9" scale="9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5E4D7-962B-441D-8C90-54897F4B25F7}">
  <sheetPr>
    <pageSetUpPr fitToPage="1"/>
  </sheetPr>
  <dimension ref="B1:J216"/>
  <sheetViews>
    <sheetView showGridLines="0" zoomScaleNormal="100" zoomScaleSheetLayoutView="140" workbookViewId="0">
      <selection activeCell="I5" sqref="I5:I6"/>
    </sheetView>
  </sheetViews>
  <sheetFormatPr defaultColWidth="9.20703125" defaultRowHeight="11.4" x14ac:dyDescent="0.4"/>
  <cols>
    <col min="1" max="1" width="9.20703125" style="5"/>
    <col min="2" max="2" width="2.41796875" style="5" customWidth="1"/>
    <col min="3" max="3" width="19.20703125" style="5" customWidth="1"/>
    <col min="4" max="4" width="14.7890625" style="5" customWidth="1"/>
    <col min="5" max="5" width="12.7890625" style="5" customWidth="1"/>
    <col min="6" max="6" width="3.20703125" style="5" customWidth="1"/>
    <col min="7" max="7" width="9.20703125" style="5" customWidth="1"/>
    <col min="8" max="8" width="14.7890625" style="5" customWidth="1"/>
    <col min="9" max="9" width="15.41796875" style="4" customWidth="1"/>
    <col min="10" max="10" width="14.41796875" style="4" customWidth="1"/>
    <col min="11" max="16384" width="9.20703125" style="5"/>
  </cols>
  <sheetData>
    <row r="1" spans="2:10" ht="12.3" x14ac:dyDescent="0.4">
      <c r="B1" s="1"/>
      <c r="C1" s="2" t="s">
        <v>50</v>
      </c>
      <c r="D1" s="2"/>
      <c r="E1" s="2"/>
      <c r="F1" s="2"/>
      <c r="G1" s="2"/>
      <c r="H1" s="2"/>
      <c r="I1" s="2"/>
      <c r="J1" s="3"/>
    </row>
    <row r="2" spans="2:10" ht="14.55" customHeight="1" x14ac:dyDescent="0.4">
      <c r="B2" s="1"/>
      <c r="C2" s="7" t="s">
        <v>43</v>
      </c>
      <c r="D2" s="7"/>
      <c r="E2" s="7"/>
      <c r="F2" s="7"/>
      <c r="G2" s="7"/>
      <c r="H2" s="7"/>
      <c r="I2" s="7"/>
      <c r="J2" s="8"/>
    </row>
    <row r="3" spans="2:10" ht="12.3" x14ac:dyDescent="0.4">
      <c r="B3" s="1"/>
      <c r="C3" s="2" t="s">
        <v>51</v>
      </c>
      <c r="D3" s="2"/>
      <c r="E3" s="2"/>
      <c r="F3" s="2"/>
      <c r="G3" s="2"/>
      <c r="H3" s="2"/>
      <c r="I3" s="2"/>
      <c r="J3" s="3"/>
    </row>
    <row r="4" spans="2:10" ht="11.7" thickBot="1" x14ac:dyDescent="0.45">
      <c r="B4" s="1"/>
      <c r="C4" s="9" t="s">
        <v>42</v>
      </c>
      <c r="D4" s="9"/>
      <c r="E4" s="9"/>
      <c r="F4" s="9"/>
      <c r="G4" s="9"/>
      <c r="H4" s="9"/>
      <c r="I4" s="9"/>
      <c r="J4" s="10"/>
    </row>
    <row r="5" spans="2:10" ht="11.4" customHeight="1" x14ac:dyDescent="0.4">
      <c r="B5" s="11"/>
      <c r="C5" s="12" t="s">
        <v>0</v>
      </c>
      <c r="D5" s="13"/>
      <c r="E5" s="13"/>
      <c r="F5" s="13"/>
      <c r="G5" s="14"/>
      <c r="H5" s="15" t="s">
        <v>52</v>
      </c>
      <c r="I5" s="15" t="s">
        <v>53</v>
      </c>
      <c r="J5" s="16"/>
    </row>
    <row r="6" spans="2:10" ht="11.7" thickBot="1" x14ac:dyDescent="0.45">
      <c r="B6" s="17"/>
      <c r="C6" s="18"/>
      <c r="D6" s="19"/>
      <c r="E6" s="19"/>
      <c r="F6" s="19"/>
      <c r="G6" s="20"/>
      <c r="H6" s="21"/>
      <c r="I6" s="21"/>
      <c r="J6" s="16"/>
    </row>
    <row r="7" spans="2:10" x14ac:dyDescent="0.4">
      <c r="B7" s="22"/>
      <c r="C7" s="23"/>
      <c r="D7" s="1"/>
      <c r="E7" s="1"/>
      <c r="F7" s="1"/>
      <c r="G7" s="24"/>
      <c r="H7" s="25"/>
      <c r="I7" s="26"/>
      <c r="J7" s="16"/>
    </row>
    <row r="8" spans="2:10" x14ac:dyDescent="0.4">
      <c r="B8" s="22" t="s">
        <v>1</v>
      </c>
      <c r="C8" s="27" t="s">
        <v>2</v>
      </c>
      <c r="D8" s="28"/>
      <c r="E8" s="1"/>
      <c r="F8" s="1"/>
      <c r="G8" s="24"/>
      <c r="H8" s="29"/>
      <c r="I8" s="30"/>
      <c r="J8" s="31"/>
    </row>
    <row r="9" spans="2:10" x14ac:dyDescent="0.4">
      <c r="B9" s="17"/>
      <c r="C9" s="23" t="s">
        <v>3</v>
      </c>
      <c r="D9" s="1"/>
      <c r="E9" s="1"/>
      <c r="F9" s="1"/>
      <c r="G9" s="24"/>
      <c r="H9" s="29">
        <v>32872.982240000041</v>
      </c>
      <c r="I9" s="30">
        <v>76625.274400000082</v>
      </c>
      <c r="J9" s="32"/>
    </row>
    <row r="10" spans="2:10" x14ac:dyDescent="0.4">
      <c r="B10" s="17"/>
      <c r="C10" s="34" t="s">
        <v>4</v>
      </c>
      <c r="D10" s="1"/>
      <c r="E10" s="1"/>
      <c r="F10" s="1"/>
      <c r="G10" s="24"/>
      <c r="H10" s="29">
        <v>0</v>
      </c>
      <c r="I10" s="30">
        <v>0</v>
      </c>
      <c r="J10" s="32"/>
    </row>
    <row r="11" spans="2:10" x14ac:dyDescent="0.4">
      <c r="B11" s="17"/>
      <c r="C11" s="34" t="s">
        <v>5</v>
      </c>
      <c r="D11" s="1"/>
      <c r="E11" s="1"/>
      <c r="F11" s="1"/>
      <c r="G11" s="24"/>
      <c r="H11" s="35">
        <v>3927.2000000000003</v>
      </c>
      <c r="I11" s="30">
        <v>2095.9839999999999</v>
      </c>
      <c r="J11" s="32"/>
    </row>
    <row r="12" spans="2:10" x14ac:dyDescent="0.4">
      <c r="B12" s="17"/>
      <c r="C12" s="34" t="s">
        <v>6</v>
      </c>
      <c r="D12" s="1"/>
      <c r="E12" s="1"/>
      <c r="F12" s="1"/>
      <c r="G12" s="24"/>
      <c r="H12" s="35">
        <v>0</v>
      </c>
      <c r="I12" s="36">
        <v>-525.73040000000003</v>
      </c>
      <c r="J12" s="37"/>
    </row>
    <row r="13" spans="2:10" x14ac:dyDescent="0.4">
      <c r="B13" s="17"/>
      <c r="C13" s="34"/>
      <c r="D13" s="1"/>
      <c r="E13" s="1"/>
      <c r="F13" s="1"/>
      <c r="G13" s="24"/>
      <c r="H13" s="35">
        <v>0</v>
      </c>
      <c r="I13" s="30">
        <v>0</v>
      </c>
      <c r="J13" s="32"/>
    </row>
    <row r="14" spans="2:10" x14ac:dyDescent="0.4">
      <c r="B14" s="17"/>
      <c r="C14" s="23" t="s">
        <v>7</v>
      </c>
      <c r="D14" s="1"/>
      <c r="E14" s="1"/>
      <c r="F14" s="1"/>
      <c r="G14" s="24"/>
      <c r="H14" s="38">
        <f>SUM(H9:H12)</f>
        <v>36800.182240000038</v>
      </c>
      <c r="I14" s="39">
        <f>SUM(I9:I12)</f>
        <v>78195.528000000078</v>
      </c>
      <c r="J14" s="40"/>
    </row>
    <row r="15" spans="2:10" ht="14.25" customHeight="1" x14ac:dyDescent="0.4">
      <c r="B15" s="17"/>
      <c r="C15" s="23" t="s">
        <v>8</v>
      </c>
      <c r="D15" s="1"/>
      <c r="E15" s="1"/>
      <c r="F15" s="1"/>
      <c r="G15" s="24"/>
      <c r="H15" s="35"/>
      <c r="I15" s="30"/>
      <c r="J15" s="32"/>
    </row>
    <row r="16" spans="2:10" x14ac:dyDescent="0.4">
      <c r="B16" s="17"/>
      <c r="C16" s="34" t="s">
        <v>9</v>
      </c>
      <c r="D16" s="1"/>
      <c r="E16" s="1"/>
      <c r="F16" s="1"/>
      <c r="G16" s="24"/>
      <c r="H16" s="35">
        <v>0</v>
      </c>
      <c r="I16" s="30">
        <v>2343.0904</v>
      </c>
      <c r="J16" s="32"/>
    </row>
    <row r="17" spans="2:10" x14ac:dyDescent="0.4">
      <c r="B17" s="17"/>
      <c r="C17" s="41" t="s">
        <v>10</v>
      </c>
      <c r="D17" s="1"/>
      <c r="E17" s="1"/>
      <c r="F17" s="1"/>
      <c r="G17" s="24"/>
      <c r="H17" s="35">
        <v>30.547424000000003</v>
      </c>
      <c r="I17" s="30">
        <v>528.76176000000009</v>
      </c>
      <c r="J17" s="32"/>
    </row>
    <row r="18" spans="2:10" x14ac:dyDescent="0.4">
      <c r="B18" s="17"/>
      <c r="C18" s="34" t="s">
        <v>11</v>
      </c>
      <c r="D18" s="1"/>
      <c r="E18" s="1"/>
      <c r="F18" s="1"/>
      <c r="G18" s="24"/>
      <c r="H18" s="35">
        <v>-23416.473119999999</v>
      </c>
      <c r="I18" s="30">
        <v>-2293.57584</v>
      </c>
      <c r="J18" s="32"/>
    </row>
    <row r="19" spans="2:10" x14ac:dyDescent="0.4">
      <c r="B19" s="17"/>
      <c r="C19" s="34" t="s">
        <v>12</v>
      </c>
      <c r="D19" s="1"/>
      <c r="E19" s="1"/>
      <c r="F19" s="1"/>
      <c r="G19" s="24"/>
      <c r="H19" s="35">
        <v>-13760.591999999993</v>
      </c>
      <c r="I19" s="30">
        <v>-16865.686079999999</v>
      </c>
      <c r="J19" s="32"/>
    </row>
    <row r="20" spans="2:10" x14ac:dyDescent="0.4">
      <c r="B20" s="17"/>
      <c r="C20" s="34" t="s">
        <v>13</v>
      </c>
      <c r="D20" s="1"/>
      <c r="E20" s="1"/>
      <c r="F20" s="1"/>
      <c r="G20" s="24"/>
      <c r="H20" s="35">
        <v>-160</v>
      </c>
      <c r="I20" s="30">
        <v>-377.76</v>
      </c>
      <c r="J20" s="32"/>
    </row>
    <row r="21" spans="2:10" x14ac:dyDescent="0.4">
      <c r="B21" s="17"/>
      <c r="C21" s="23" t="s">
        <v>14</v>
      </c>
      <c r="D21" s="1"/>
      <c r="E21" s="1"/>
      <c r="F21" s="1"/>
      <c r="G21" s="24"/>
      <c r="H21" s="38">
        <f>SUM(H14:H20)</f>
        <v>-506.33545599995705</v>
      </c>
      <c r="I21" s="39">
        <f>SUM(I14:I20)</f>
        <v>61530.358240000067</v>
      </c>
      <c r="J21" s="42"/>
    </row>
    <row r="22" spans="2:10" x14ac:dyDescent="0.4">
      <c r="B22" s="17"/>
      <c r="C22" s="41" t="s">
        <v>15</v>
      </c>
      <c r="D22" s="1"/>
      <c r="E22" s="1"/>
      <c r="F22" s="1"/>
      <c r="G22" s="24"/>
      <c r="H22" s="29">
        <v>-21248.752</v>
      </c>
      <c r="I22" s="30">
        <v>-14354.384</v>
      </c>
      <c r="J22" s="32"/>
    </row>
    <row r="23" spans="2:10" x14ac:dyDescent="0.4">
      <c r="B23" s="17"/>
      <c r="C23" s="41"/>
      <c r="D23" s="1"/>
      <c r="E23" s="1"/>
      <c r="F23" s="1"/>
      <c r="G23" s="24"/>
      <c r="H23" s="35"/>
      <c r="I23" s="30"/>
      <c r="J23" s="32"/>
    </row>
    <row r="24" spans="2:10" x14ac:dyDescent="0.4">
      <c r="B24" s="17"/>
      <c r="C24" s="23" t="s">
        <v>16</v>
      </c>
      <c r="D24" s="1"/>
      <c r="E24" s="1"/>
      <c r="F24" s="1"/>
      <c r="G24" s="24"/>
      <c r="H24" s="43">
        <f>H21+H22</f>
        <v>-21755.087455999957</v>
      </c>
      <c r="I24" s="44">
        <f>I21+I22</f>
        <v>47175.974240000069</v>
      </c>
      <c r="J24" s="40"/>
    </row>
    <row r="25" spans="2:10" x14ac:dyDescent="0.4">
      <c r="B25" s="17"/>
      <c r="C25" s="34"/>
      <c r="D25" s="1"/>
      <c r="E25" s="1"/>
      <c r="F25" s="1"/>
      <c r="G25" s="24"/>
      <c r="H25" s="35"/>
      <c r="I25" s="30"/>
      <c r="J25" s="32"/>
    </row>
    <row r="26" spans="2:10" x14ac:dyDescent="0.4">
      <c r="B26" s="22" t="s">
        <v>17</v>
      </c>
      <c r="C26" s="23" t="s">
        <v>18</v>
      </c>
      <c r="D26" s="1"/>
      <c r="E26" s="1"/>
      <c r="F26" s="1"/>
      <c r="G26" s="24"/>
      <c r="H26" s="35"/>
      <c r="I26" s="30"/>
      <c r="J26" s="32"/>
    </row>
    <row r="27" spans="2:10" x14ac:dyDescent="0.4">
      <c r="B27" s="17"/>
      <c r="C27" s="34" t="s">
        <v>19</v>
      </c>
      <c r="D27" s="1"/>
      <c r="E27" s="1"/>
      <c r="F27" s="1"/>
      <c r="G27" s="24"/>
      <c r="H27" s="35">
        <v>-1895.6000000000001</v>
      </c>
      <c r="I27" s="36">
        <v>-19530.335999999999</v>
      </c>
      <c r="J27" s="37"/>
    </row>
    <row r="28" spans="2:10" x14ac:dyDescent="0.4">
      <c r="B28" s="17"/>
      <c r="C28" s="34"/>
      <c r="D28" s="1"/>
      <c r="E28" s="1"/>
      <c r="F28" s="1"/>
      <c r="G28" s="24"/>
      <c r="H28" s="35"/>
      <c r="I28" s="30"/>
      <c r="J28" s="32"/>
    </row>
    <row r="29" spans="2:10" x14ac:dyDescent="0.4">
      <c r="B29" s="17"/>
      <c r="C29" s="23" t="s">
        <v>20</v>
      </c>
      <c r="D29" s="1"/>
      <c r="E29" s="1"/>
      <c r="F29" s="1"/>
      <c r="G29" s="24"/>
      <c r="H29" s="43">
        <f>SUM(H27:H28)</f>
        <v>-1895.6000000000001</v>
      </c>
      <c r="I29" s="45">
        <f>SUM(I27:I28)</f>
        <v>-19530.335999999999</v>
      </c>
      <c r="J29" s="46"/>
    </row>
    <row r="30" spans="2:10" x14ac:dyDescent="0.4">
      <c r="B30" s="17"/>
      <c r="C30" s="34"/>
      <c r="D30" s="1"/>
      <c r="E30" s="1"/>
      <c r="F30" s="1"/>
      <c r="G30" s="24"/>
      <c r="H30" s="35"/>
      <c r="I30" s="30"/>
      <c r="J30" s="32"/>
    </row>
    <row r="31" spans="2:10" x14ac:dyDescent="0.4">
      <c r="B31" s="22" t="s">
        <v>21</v>
      </c>
      <c r="C31" s="23" t="s">
        <v>22</v>
      </c>
      <c r="D31" s="1"/>
      <c r="E31" s="1"/>
      <c r="F31" s="1"/>
      <c r="G31" s="24"/>
      <c r="H31" s="35"/>
      <c r="I31" s="30"/>
      <c r="J31" s="32"/>
    </row>
    <row r="32" spans="2:10" x14ac:dyDescent="0.4">
      <c r="B32" s="17"/>
      <c r="C32" s="34" t="s">
        <v>23</v>
      </c>
      <c r="D32" s="1"/>
      <c r="E32" s="1"/>
      <c r="F32" s="1"/>
      <c r="G32" s="24"/>
      <c r="H32" s="35">
        <v>0</v>
      </c>
      <c r="I32" s="36">
        <v>0</v>
      </c>
      <c r="J32" s="37"/>
    </row>
    <row r="33" spans="2:10" x14ac:dyDescent="0.4">
      <c r="B33" s="17"/>
      <c r="C33" s="34"/>
      <c r="D33" s="1"/>
      <c r="E33" s="1"/>
      <c r="F33" s="1"/>
      <c r="G33" s="24"/>
      <c r="H33" s="35"/>
      <c r="I33" s="30"/>
      <c r="J33" s="32"/>
    </row>
    <row r="34" spans="2:10" x14ac:dyDescent="0.4">
      <c r="B34" s="17"/>
      <c r="C34" s="23" t="s">
        <v>24</v>
      </c>
      <c r="D34" s="1"/>
      <c r="E34" s="1"/>
      <c r="F34" s="1"/>
      <c r="G34" s="24"/>
      <c r="H34" s="43">
        <f>SUM(H32:H33)</f>
        <v>0</v>
      </c>
      <c r="I34" s="44">
        <f>SUM(I32:I33)</f>
        <v>0</v>
      </c>
      <c r="J34" s="42"/>
    </row>
    <row r="35" spans="2:10" x14ac:dyDescent="0.4">
      <c r="B35" s="17"/>
      <c r="C35" s="34"/>
      <c r="D35" s="1"/>
      <c r="E35" s="1"/>
      <c r="F35" s="1"/>
      <c r="G35" s="24"/>
      <c r="H35" s="35">
        <v>0</v>
      </c>
      <c r="I35" s="30">
        <v>0</v>
      </c>
      <c r="J35" s="32"/>
    </row>
    <row r="36" spans="2:10" x14ac:dyDescent="0.4">
      <c r="B36" s="17"/>
      <c r="C36" s="23" t="s">
        <v>25</v>
      </c>
      <c r="D36" s="1"/>
      <c r="E36" s="1"/>
      <c r="F36" s="1"/>
      <c r="G36" s="24"/>
      <c r="H36" s="29">
        <v>-23650.687455999949</v>
      </c>
      <c r="I36" s="30">
        <v>27645.622240000073</v>
      </c>
      <c r="J36" s="32"/>
    </row>
    <row r="37" spans="2:10" x14ac:dyDescent="0.4">
      <c r="B37" s="17"/>
      <c r="C37" s="41" t="s">
        <v>26</v>
      </c>
      <c r="D37" s="1"/>
      <c r="E37" s="1"/>
      <c r="F37" s="1"/>
      <c r="G37" s="24"/>
      <c r="H37" s="29">
        <v>72088.78080000008</v>
      </c>
      <c r="I37" s="30">
        <v>44443.158560000011</v>
      </c>
      <c r="J37" s="32"/>
    </row>
    <row r="38" spans="2:10" x14ac:dyDescent="0.4">
      <c r="B38" s="17"/>
      <c r="C38" s="23" t="s">
        <v>27</v>
      </c>
      <c r="D38" s="1"/>
      <c r="E38" s="1"/>
      <c r="F38" s="1"/>
      <c r="G38" s="24"/>
      <c r="H38" s="47">
        <f>SUM(H36:H37)</f>
        <v>48438.093344000132</v>
      </c>
      <c r="I38" s="44">
        <f>SUM(I36:I37)</f>
        <v>72088.78080000008</v>
      </c>
      <c r="J38" s="40"/>
    </row>
    <row r="39" spans="2:10" ht="19.5" customHeight="1" x14ac:dyDescent="0.4">
      <c r="B39" s="17"/>
      <c r="C39" s="41"/>
      <c r="D39" s="1"/>
      <c r="E39" s="1"/>
      <c r="F39" s="1"/>
      <c r="G39" s="24"/>
      <c r="H39" s="29"/>
      <c r="I39" s="30"/>
      <c r="J39" s="32"/>
    </row>
    <row r="40" spans="2:10" ht="19.5" customHeight="1" x14ac:dyDescent="0.4">
      <c r="B40" s="17"/>
      <c r="C40" s="23" t="s">
        <v>28</v>
      </c>
      <c r="D40" s="1"/>
      <c r="E40" s="1"/>
      <c r="F40" s="1"/>
      <c r="G40" s="24"/>
      <c r="H40" s="29"/>
      <c r="I40" s="30"/>
      <c r="J40" s="32"/>
    </row>
    <row r="41" spans="2:10" ht="19.5" customHeight="1" x14ac:dyDescent="0.4">
      <c r="B41" s="17"/>
      <c r="C41" s="48" t="s">
        <v>29</v>
      </c>
      <c r="D41" s="1"/>
      <c r="E41" s="1"/>
      <c r="F41" s="1"/>
      <c r="G41" s="24"/>
      <c r="H41" s="29"/>
      <c r="I41" s="30"/>
      <c r="J41" s="32"/>
    </row>
    <row r="42" spans="2:10" x14ac:dyDescent="0.4">
      <c r="B42" s="17"/>
      <c r="C42" s="49" t="s">
        <v>30</v>
      </c>
      <c r="D42" s="1"/>
      <c r="E42" s="1"/>
      <c r="F42" s="1"/>
      <c r="G42" s="24"/>
      <c r="H42" s="29">
        <v>663.94128000000001</v>
      </c>
      <c r="I42" s="30">
        <v>475.90780960000006</v>
      </c>
      <c r="J42" s="33"/>
    </row>
    <row r="43" spans="2:10" ht="7.5" customHeight="1" x14ac:dyDescent="0.4">
      <c r="B43" s="17"/>
      <c r="C43" s="49"/>
      <c r="D43" s="1"/>
      <c r="E43" s="1"/>
      <c r="F43" s="1"/>
      <c r="G43" s="24"/>
      <c r="H43" s="29">
        <v>0</v>
      </c>
      <c r="I43" s="30">
        <v>0</v>
      </c>
      <c r="J43" s="32"/>
    </row>
    <row r="44" spans="2:10" x14ac:dyDescent="0.4">
      <c r="B44" s="17"/>
      <c r="C44" s="50" t="s">
        <v>31</v>
      </c>
      <c r="D44" s="1"/>
      <c r="E44" s="1"/>
      <c r="F44" s="1"/>
      <c r="G44" s="24"/>
      <c r="H44" s="29">
        <v>0</v>
      </c>
      <c r="I44" s="30">
        <v>0</v>
      </c>
      <c r="J44" s="32"/>
    </row>
    <row r="45" spans="2:10" ht="30" customHeight="1" x14ac:dyDescent="0.4">
      <c r="B45" s="17"/>
      <c r="C45" s="51" t="s">
        <v>32</v>
      </c>
      <c r="D45" s="52"/>
      <c r="E45" s="52"/>
      <c r="F45" s="52"/>
      <c r="G45" s="53"/>
      <c r="H45" s="54">
        <f>('[1]Note BS-Asset'!G86)*1.6</f>
        <v>0</v>
      </c>
      <c r="I45" s="55">
        <f>('[1]Note BS-Asset'!H86)*1.6</f>
        <v>0</v>
      </c>
      <c r="J45" s="56"/>
    </row>
    <row r="46" spans="2:10" ht="22.5" customHeight="1" thickBot="1" x14ac:dyDescent="0.45">
      <c r="B46" s="57"/>
      <c r="C46" s="58"/>
      <c r="D46" s="59"/>
      <c r="E46" s="59"/>
      <c r="F46" s="59"/>
      <c r="G46" s="60"/>
      <c r="H46" s="61">
        <f>H42+H45</f>
        <v>663.94128000000001</v>
      </c>
      <c r="I46" s="62">
        <f>I42+I45</f>
        <v>475.90780960000006</v>
      </c>
      <c r="J46" s="63"/>
    </row>
    <row r="47" spans="2:10" x14ac:dyDescent="0.4">
      <c r="B47" s="1"/>
      <c r="C47" s="64"/>
      <c r="D47" s="1"/>
      <c r="E47" s="1"/>
      <c r="F47" s="1"/>
      <c r="G47" s="1"/>
      <c r="H47" s="65"/>
      <c r="I47" s="66"/>
      <c r="J47" s="6"/>
    </row>
    <row r="48" spans="2:10" x14ac:dyDescent="0.4">
      <c r="B48" s="67"/>
      <c r="C48" s="68" t="s">
        <v>33</v>
      </c>
      <c r="D48" s="1"/>
      <c r="E48" s="1"/>
      <c r="F48" s="1"/>
      <c r="G48" s="1"/>
      <c r="H48" s="1"/>
      <c r="I48" s="66"/>
      <c r="J48" s="6"/>
    </row>
    <row r="49" spans="2:10" ht="24" customHeight="1" x14ac:dyDescent="0.4">
      <c r="B49" s="28"/>
      <c r="C49" s="69" t="s">
        <v>34</v>
      </c>
      <c r="D49" s="69"/>
      <c r="E49" s="69"/>
      <c r="F49" s="69"/>
      <c r="G49" s="69"/>
      <c r="H49" s="69"/>
      <c r="I49" s="69"/>
      <c r="J49" s="70"/>
    </row>
    <row r="50" spans="2:10" x14ac:dyDescent="0.4">
      <c r="B50" s="1"/>
      <c r="C50" s="1"/>
      <c r="D50" s="1"/>
      <c r="E50" s="1"/>
      <c r="F50" s="1"/>
      <c r="G50" s="1"/>
      <c r="H50" s="1"/>
      <c r="I50" s="71"/>
    </row>
    <row r="51" spans="2:10" x14ac:dyDescent="0.4">
      <c r="B51" s="1"/>
      <c r="C51" s="28" t="s">
        <v>35</v>
      </c>
      <c r="D51" s="1"/>
      <c r="E51" s="1"/>
      <c r="F51" s="1"/>
      <c r="G51" s="1"/>
      <c r="H51" s="1"/>
      <c r="I51" s="71"/>
    </row>
    <row r="52" spans="2:10" x14ac:dyDescent="0.4">
      <c r="B52" s="1"/>
      <c r="C52" s="1"/>
      <c r="D52" s="1"/>
      <c r="E52" s="1"/>
      <c r="F52" s="1"/>
      <c r="G52" s="1"/>
      <c r="H52" s="1"/>
      <c r="I52" s="71"/>
    </row>
    <row r="53" spans="2:10" x14ac:dyDescent="0.4">
      <c r="B53" s="1"/>
      <c r="C53" s="67" t="s">
        <v>36</v>
      </c>
      <c r="D53" s="1"/>
      <c r="E53" s="1"/>
      <c r="F53" s="1"/>
      <c r="G53" s="1"/>
      <c r="H53" s="1"/>
      <c r="I53" s="71"/>
    </row>
    <row r="54" spans="2:10" x14ac:dyDescent="0.4">
      <c r="B54" s="1"/>
      <c r="C54" s="1"/>
      <c r="D54" s="1"/>
      <c r="E54" s="1"/>
      <c r="F54" s="1"/>
      <c r="G54" s="1"/>
      <c r="H54" s="1"/>
      <c r="I54" s="71"/>
    </row>
    <row r="55" spans="2:10" x14ac:dyDescent="0.4">
      <c r="B55" s="1"/>
      <c r="C55" s="72" t="str">
        <f>[1]BS!B65</f>
        <v>For XYZ &amp; CO.</v>
      </c>
      <c r="D55" s="1"/>
      <c r="E55" s="1"/>
      <c r="F55" s="1"/>
      <c r="G55" s="73" t="s">
        <v>37</v>
      </c>
      <c r="H55" s="1"/>
      <c r="I55" s="71"/>
    </row>
    <row r="56" spans="2:10" x14ac:dyDescent="0.4">
      <c r="B56" s="1"/>
      <c r="C56" s="74" t="s">
        <v>38</v>
      </c>
      <c r="D56" s="1"/>
      <c r="E56" s="1"/>
      <c r="F56" s="1"/>
      <c r="G56" s="73" t="str">
        <f>[1]BS!E66</f>
        <v>ABC PRIVATE LIMITED</v>
      </c>
      <c r="H56" s="1"/>
      <c r="I56" s="71"/>
    </row>
    <row r="57" spans="2:10" x14ac:dyDescent="0.4">
      <c r="B57" s="1"/>
      <c r="C57" s="74" t="str">
        <f>[1]BS!B67</f>
        <v>Firm's Registration No.: 15XXXXW</v>
      </c>
      <c r="D57" s="74"/>
      <c r="E57" s="74"/>
      <c r="F57" s="74"/>
      <c r="G57" s="74"/>
      <c r="H57" s="1"/>
      <c r="I57" s="71"/>
    </row>
    <row r="58" spans="2:10" x14ac:dyDescent="0.4">
      <c r="B58" s="1"/>
      <c r="C58" s="74"/>
      <c r="D58" s="74"/>
      <c r="E58" s="74"/>
      <c r="F58" s="74"/>
      <c r="G58" s="74"/>
      <c r="H58" s="1"/>
      <c r="I58" s="71"/>
    </row>
    <row r="59" spans="2:10" x14ac:dyDescent="0.4">
      <c r="B59" s="1"/>
      <c r="C59" s="74"/>
      <c r="D59" s="74"/>
      <c r="E59" s="74"/>
      <c r="F59" s="74"/>
      <c r="G59" s="74"/>
      <c r="H59" s="1"/>
      <c r="I59" s="71"/>
    </row>
    <row r="60" spans="2:10" x14ac:dyDescent="0.4">
      <c r="B60" s="1"/>
      <c r="C60" s="74" t="str">
        <f>[1]BS!B71</f>
        <v>X</v>
      </c>
      <c r="D60" s="1"/>
      <c r="E60" s="1"/>
      <c r="F60" s="1"/>
      <c r="G60" s="75" t="str">
        <f>[1]BS!E71</f>
        <v>V Chauhan</v>
      </c>
      <c r="H60" s="76"/>
      <c r="I60" s="75" t="str">
        <f>[1]BS!G71</f>
        <v>M Chauhan</v>
      </c>
      <c r="J60" s="77"/>
    </row>
    <row r="61" spans="2:10" x14ac:dyDescent="0.4">
      <c r="B61" s="1"/>
      <c r="C61" s="74" t="s">
        <v>39</v>
      </c>
      <c r="D61" s="1"/>
      <c r="E61" s="1"/>
      <c r="F61" s="1"/>
      <c r="G61" s="74" t="s">
        <v>40</v>
      </c>
      <c r="H61" s="78"/>
      <c r="I61" s="78" t="s">
        <v>40</v>
      </c>
      <c r="J61" s="79"/>
    </row>
    <row r="62" spans="2:10" x14ac:dyDescent="0.4">
      <c r="B62" s="1"/>
      <c r="C62" s="1" t="str">
        <f>[1]BS!B73</f>
        <v>Membership No.: 602XXX</v>
      </c>
      <c r="D62" s="1"/>
      <c r="E62" s="1"/>
      <c r="F62" s="1"/>
      <c r="G62" s="1" t="str">
        <f>[1]BS!E73</f>
        <v>DIN:</v>
      </c>
      <c r="H62" s="74"/>
      <c r="I62" s="1" t="str">
        <f>[1]BS!G73</f>
        <v>DIN:</v>
      </c>
      <c r="J62" s="5"/>
    </row>
    <row r="63" spans="2:10" x14ac:dyDescent="0.4">
      <c r="B63" s="1"/>
      <c r="C63" s="80"/>
      <c r="D63" s="1"/>
      <c r="E63" s="1"/>
      <c r="F63" s="1"/>
      <c r="G63" s="1"/>
      <c r="H63" s="74"/>
      <c r="I63" s="81"/>
      <c r="J63" s="82"/>
    </row>
    <row r="64" spans="2:10" x14ac:dyDescent="0.4">
      <c r="B64" s="1"/>
      <c r="C64" s="83" t="str">
        <f>[1]BS!B75</f>
        <v>Place: Navi Mumbai</v>
      </c>
      <c r="D64" s="80"/>
      <c r="E64" s="1"/>
      <c r="F64" s="1"/>
      <c r="G64" s="83" t="str">
        <f>[1]BS!E75</f>
        <v>Place: Navi Mumbai</v>
      </c>
      <c r="H64" s="65"/>
      <c r="I64" s="83" t="str">
        <f>[1]BS!G75</f>
        <v>Place: Navi Mumbai</v>
      </c>
      <c r="J64" s="84"/>
    </row>
    <row r="65" spans="2:10" x14ac:dyDescent="0.4">
      <c r="B65" s="1"/>
      <c r="C65" s="83" t="str">
        <f>[1]BS!B76</f>
        <v>Date:</v>
      </c>
      <c r="D65" s="85"/>
      <c r="E65" s="1"/>
      <c r="F65" s="1"/>
      <c r="G65" s="83" t="str">
        <f>[1]BS!E76</f>
        <v>Date:</v>
      </c>
      <c r="H65" s="1"/>
      <c r="I65" s="83" t="str">
        <f>[1]BS!G76</f>
        <v>Date:</v>
      </c>
      <c r="J65" s="84"/>
    </row>
    <row r="216" spans="3:3" x14ac:dyDescent="0.4">
      <c r="C216" s="5" t="s">
        <v>41</v>
      </c>
    </row>
  </sheetData>
  <protectedRanges>
    <protectedRange sqref="C51" name="Protect_BS_5_1_1"/>
  </protectedRanges>
  <mergeCells count="8">
    <mergeCell ref="C45:G45"/>
    <mergeCell ref="C49:I49"/>
    <mergeCell ref="C1:I1"/>
    <mergeCell ref="C2:I2"/>
    <mergeCell ref="C3:I3"/>
    <mergeCell ref="C4:I4"/>
    <mergeCell ref="H5:H6"/>
    <mergeCell ref="I5:I6"/>
  </mergeCells>
  <pageMargins left="0.25" right="0.25" top="0.75" bottom="0.75" header="0.3" footer="0.3"/>
  <pageSetup paperSize="9" scale="9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87ECA-29E9-43BC-8E6E-CD824FD88AC6}">
  <sheetPr>
    <pageSetUpPr fitToPage="1"/>
  </sheetPr>
  <dimension ref="B1:J216"/>
  <sheetViews>
    <sheetView showGridLines="0" topLeftCell="A11" zoomScaleNormal="100" zoomScaleSheetLayoutView="140" workbookViewId="0">
      <selection activeCell="K9" sqref="K9"/>
    </sheetView>
  </sheetViews>
  <sheetFormatPr defaultColWidth="9.20703125" defaultRowHeight="11.4" x14ac:dyDescent="0.4"/>
  <cols>
    <col min="1" max="1" width="9.20703125" style="5"/>
    <col min="2" max="2" width="2.41796875" style="5" customWidth="1"/>
    <col min="3" max="3" width="19.20703125" style="5" customWidth="1"/>
    <col min="4" max="4" width="14.7890625" style="5" customWidth="1"/>
    <col min="5" max="5" width="12.7890625" style="5" customWidth="1"/>
    <col min="6" max="6" width="3.20703125" style="5" customWidth="1"/>
    <col min="7" max="7" width="9.20703125" style="5" customWidth="1"/>
    <col min="8" max="8" width="14.7890625" style="5" customWidth="1"/>
    <col min="9" max="9" width="15.41796875" style="4" customWidth="1"/>
    <col min="10" max="10" width="14.41796875" style="4" customWidth="1"/>
    <col min="11" max="16384" width="9.20703125" style="5"/>
  </cols>
  <sheetData>
    <row r="1" spans="2:10" ht="12.3" x14ac:dyDescent="0.4">
      <c r="B1" s="1"/>
      <c r="C1" s="2" t="s">
        <v>50</v>
      </c>
      <c r="D1" s="2"/>
      <c r="E1" s="2"/>
      <c r="F1" s="2"/>
      <c r="G1" s="2"/>
      <c r="H1" s="2"/>
      <c r="I1" s="2"/>
      <c r="J1" s="3"/>
    </row>
    <row r="2" spans="2:10" ht="14.55" customHeight="1" x14ac:dyDescent="0.4">
      <c r="B2" s="1"/>
      <c r="C2" s="7" t="s">
        <v>43</v>
      </c>
      <c r="D2" s="7"/>
      <c r="E2" s="7"/>
      <c r="F2" s="7"/>
      <c r="G2" s="7"/>
      <c r="H2" s="7"/>
      <c r="I2" s="7"/>
      <c r="J2" s="8"/>
    </row>
    <row r="3" spans="2:10" ht="12.3" x14ac:dyDescent="0.4">
      <c r="B3" s="1"/>
      <c r="C3" s="2" t="s">
        <v>54</v>
      </c>
      <c r="D3" s="2"/>
      <c r="E3" s="2"/>
      <c r="F3" s="2"/>
      <c r="G3" s="2"/>
      <c r="H3" s="2"/>
      <c r="I3" s="2"/>
      <c r="J3" s="3"/>
    </row>
    <row r="4" spans="2:10" ht="11.7" thickBot="1" x14ac:dyDescent="0.45">
      <c r="B4" s="1"/>
      <c r="C4" s="9" t="s">
        <v>42</v>
      </c>
      <c r="D4" s="9"/>
      <c r="E4" s="9"/>
      <c r="F4" s="9"/>
      <c r="G4" s="9"/>
      <c r="H4" s="9"/>
      <c r="I4" s="9"/>
      <c r="J4" s="10"/>
    </row>
    <row r="5" spans="2:10" ht="11.4" customHeight="1" x14ac:dyDescent="0.4">
      <c r="B5" s="11"/>
      <c r="C5" s="12" t="s">
        <v>0</v>
      </c>
      <c r="D5" s="13"/>
      <c r="E5" s="13"/>
      <c r="F5" s="13"/>
      <c r="G5" s="14"/>
      <c r="H5" s="15" t="s">
        <v>55</v>
      </c>
      <c r="I5" s="15" t="s">
        <v>56</v>
      </c>
      <c r="J5" s="16"/>
    </row>
    <row r="6" spans="2:10" ht="11.7" thickBot="1" x14ac:dyDescent="0.45">
      <c r="B6" s="17"/>
      <c r="C6" s="18"/>
      <c r="D6" s="19"/>
      <c r="E6" s="19"/>
      <c r="F6" s="19"/>
      <c r="G6" s="20"/>
      <c r="H6" s="21"/>
      <c r="I6" s="21"/>
      <c r="J6" s="16"/>
    </row>
    <row r="7" spans="2:10" x14ac:dyDescent="0.4">
      <c r="B7" s="22"/>
      <c r="C7" s="23"/>
      <c r="D7" s="1"/>
      <c r="E7" s="1"/>
      <c r="F7" s="1"/>
      <c r="G7" s="24"/>
      <c r="H7" s="25"/>
      <c r="I7" s="26"/>
      <c r="J7" s="16"/>
    </row>
    <row r="8" spans="2:10" x14ac:dyDescent="0.4">
      <c r="B8" s="22" t="s">
        <v>1</v>
      </c>
      <c r="C8" s="27" t="s">
        <v>2</v>
      </c>
      <c r="D8" s="28"/>
      <c r="E8" s="1"/>
      <c r="F8" s="1"/>
      <c r="G8" s="24"/>
      <c r="H8" s="29"/>
      <c r="I8" s="30"/>
      <c r="J8" s="31"/>
    </row>
    <row r="9" spans="2:10" x14ac:dyDescent="0.4">
      <c r="B9" s="17"/>
      <c r="C9" s="23" t="s">
        <v>3</v>
      </c>
      <c r="D9" s="1"/>
      <c r="E9" s="1"/>
      <c r="F9" s="1"/>
      <c r="G9" s="24"/>
      <c r="H9" s="29">
        <v>34927.543630000044</v>
      </c>
      <c r="I9" s="30">
        <v>81414.354050000082</v>
      </c>
      <c r="J9" s="32"/>
    </row>
    <row r="10" spans="2:10" x14ac:dyDescent="0.4">
      <c r="B10" s="17"/>
      <c r="C10" s="34" t="s">
        <v>4</v>
      </c>
      <c r="D10" s="1"/>
      <c r="E10" s="1"/>
      <c r="F10" s="1"/>
      <c r="G10" s="24"/>
      <c r="H10" s="29">
        <v>0</v>
      </c>
      <c r="I10" s="30">
        <v>0</v>
      </c>
      <c r="J10" s="32"/>
    </row>
    <row r="11" spans="2:10" x14ac:dyDescent="0.4">
      <c r="B11" s="17"/>
      <c r="C11" s="34" t="s">
        <v>5</v>
      </c>
      <c r="D11" s="1"/>
      <c r="E11" s="1"/>
      <c r="F11" s="1"/>
      <c r="G11" s="24"/>
      <c r="H11" s="35">
        <v>4172.6499999999996</v>
      </c>
      <c r="I11" s="30">
        <v>2226.9830000000002</v>
      </c>
      <c r="J11" s="32"/>
    </row>
    <row r="12" spans="2:10" x14ac:dyDescent="0.4">
      <c r="B12" s="17"/>
      <c r="C12" s="34" t="s">
        <v>6</v>
      </c>
      <c r="D12" s="1"/>
      <c r="E12" s="1"/>
      <c r="F12" s="1"/>
      <c r="G12" s="24"/>
      <c r="H12" s="35">
        <v>0</v>
      </c>
      <c r="I12" s="36">
        <v>-558.58854999999994</v>
      </c>
      <c r="J12" s="37"/>
    </row>
    <row r="13" spans="2:10" x14ac:dyDescent="0.4">
      <c r="B13" s="17"/>
      <c r="C13" s="34"/>
      <c r="D13" s="1"/>
      <c r="E13" s="1"/>
      <c r="F13" s="1"/>
      <c r="G13" s="24"/>
      <c r="H13" s="35"/>
      <c r="I13" s="30"/>
      <c r="J13" s="32"/>
    </row>
    <row r="14" spans="2:10" x14ac:dyDescent="0.4">
      <c r="B14" s="17"/>
      <c r="C14" s="23" t="s">
        <v>7</v>
      </c>
      <c r="D14" s="1"/>
      <c r="E14" s="1"/>
      <c r="F14" s="1"/>
      <c r="G14" s="24"/>
      <c r="H14" s="38">
        <f>SUM(H9:H12)</f>
        <v>39100.193630000045</v>
      </c>
      <c r="I14" s="39">
        <f>SUM(I9:I12)</f>
        <v>83082.748500000089</v>
      </c>
      <c r="J14" s="40"/>
    </row>
    <row r="15" spans="2:10" ht="14.25" customHeight="1" x14ac:dyDescent="0.4">
      <c r="B15" s="17"/>
      <c r="C15" s="23" t="s">
        <v>8</v>
      </c>
      <c r="D15" s="1"/>
      <c r="E15" s="1"/>
      <c r="F15" s="1"/>
      <c r="G15" s="24"/>
      <c r="H15" s="35"/>
      <c r="I15" s="30"/>
      <c r="J15" s="32"/>
    </row>
    <row r="16" spans="2:10" x14ac:dyDescent="0.4">
      <c r="B16" s="17"/>
      <c r="C16" s="34" t="s">
        <v>9</v>
      </c>
      <c r="D16" s="1"/>
      <c r="E16" s="1"/>
      <c r="F16" s="1"/>
      <c r="G16" s="24"/>
      <c r="H16" s="35">
        <v>0</v>
      </c>
      <c r="I16" s="30">
        <v>2489.5335499999997</v>
      </c>
      <c r="J16" s="32"/>
    </row>
    <row r="17" spans="2:10" x14ac:dyDescent="0.4">
      <c r="B17" s="17"/>
      <c r="C17" s="41" t="s">
        <v>10</v>
      </c>
      <c r="D17" s="1"/>
      <c r="E17" s="1"/>
      <c r="F17" s="1"/>
      <c r="G17" s="24"/>
      <c r="H17" s="35">
        <v>32.456637999999998</v>
      </c>
      <c r="I17" s="30">
        <v>561.80937000000006</v>
      </c>
      <c r="J17" s="32"/>
    </row>
    <row r="18" spans="2:10" x14ac:dyDescent="0.4">
      <c r="B18" s="17"/>
      <c r="C18" s="34" t="s">
        <v>11</v>
      </c>
      <c r="D18" s="1"/>
      <c r="E18" s="1"/>
      <c r="F18" s="1"/>
      <c r="G18" s="24"/>
      <c r="H18" s="35">
        <v>-24880.002689999998</v>
      </c>
      <c r="I18" s="30">
        <v>-2436.9243299999998</v>
      </c>
      <c r="J18" s="32"/>
    </row>
    <row r="19" spans="2:10" x14ac:dyDescent="0.4">
      <c r="B19" s="17"/>
      <c r="C19" s="34" t="s">
        <v>12</v>
      </c>
      <c r="D19" s="1"/>
      <c r="E19" s="1"/>
      <c r="F19" s="1"/>
      <c r="G19" s="24"/>
      <c r="H19" s="35">
        <v>-14620.628999999992</v>
      </c>
      <c r="I19" s="30">
        <v>-17919.79146</v>
      </c>
      <c r="J19" s="32"/>
    </row>
    <row r="20" spans="2:10" x14ac:dyDescent="0.4">
      <c r="B20" s="17"/>
      <c r="C20" s="34" t="s">
        <v>13</v>
      </c>
      <c r="D20" s="1"/>
      <c r="E20" s="1"/>
      <c r="F20" s="1"/>
      <c r="G20" s="24"/>
      <c r="H20" s="35">
        <v>-170</v>
      </c>
      <c r="I20" s="30">
        <v>-401.37</v>
      </c>
      <c r="J20" s="32"/>
    </row>
    <row r="21" spans="2:10" x14ac:dyDescent="0.4">
      <c r="B21" s="17"/>
      <c r="C21" s="23" t="s">
        <v>14</v>
      </c>
      <c r="D21" s="1"/>
      <c r="E21" s="1"/>
      <c r="F21" s="1"/>
      <c r="G21" s="24"/>
      <c r="H21" s="38">
        <f>SUM(H14:H20)</f>
        <v>-537.98142199994072</v>
      </c>
      <c r="I21" s="39">
        <f>SUM(I14:I20)</f>
        <v>65376.00563000008</v>
      </c>
      <c r="J21" s="42"/>
    </row>
    <row r="22" spans="2:10" x14ac:dyDescent="0.4">
      <c r="B22" s="17"/>
      <c r="C22" s="41" t="s">
        <v>15</v>
      </c>
      <c r="D22" s="1"/>
      <c r="E22" s="1"/>
      <c r="F22" s="1"/>
      <c r="G22" s="24"/>
      <c r="H22" s="29">
        <v>-22576.798999999999</v>
      </c>
      <c r="I22" s="30">
        <v>-15251.532999999999</v>
      </c>
      <c r="J22" s="32"/>
    </row>
    <row r="23" spans="2:10" x14ac:dyDescent="0.4">
      <c r="B23" s="17"/>
      <c r="C23" s="41"/>
      <c r="D23" s="1"/>
      <c r="E23" s="1"/>
      <c r="F23" s="1"/>
      <c r="G23" s="24"/>
      <c r="H23" s="35"/>
      <c r="I23" s="30"/>
      <c r="J23" s="32"/>
    </row>
    <row r="24" spans="2:10" x14ac:dyDescent="0.4">
      <c r="B24" s="17"/>
      <c r="C24" s="23" t="s">
        <v>16</v>
      </c>
      <c r="D24" s="1"/>
      <c r="E24" s="1"/>
      <c r="F24" s="1"/>
      <c r="G24" s="24"/>
      <c r="H24" s="43">
        <f>H21+H22</f>
        <v>-23114.780421999938</v>
      </c>
      <c r="I24" s="44">
        <f>I21+I22</f>
        <v>50124.472630000077</v>
      </c>
      <c r="J24" s="40"/>
    </row>
    <row r="25" spans="2:10" x14ac:dyDescent="0.4">
      <c r="B25" s="17"/>
      <c r="C25" s="34"/>
      <c r="D25" s="1"/>
      <c r="E25" s="1"/>
      <c r="F25" s="1"/>
      <c r="G25" s="24"/>
      <c r="H25" s="35"/>
      <c r="I25" s="30"/>
      <c r="J25" s="32"/>
    </row>
    <row r="26" spans="2:10" x14ac:dyDescent="0.4">
      <c r="B26" s="22" t="s">
        <v>17</v>
      </c>
      <c r="C26" s="23" t="s">
        <v>18</v>
      </c>
      <c r="D26" s="1"/>
      <c r="E26" s="1"/>
      <c r="F26" s="1"/>
      <c r="G26" s="24"/>
      <c r="H26" s="35"/>
      <c r="I26" s="30"/>
      <c r="J26" s="32"/>
    </row>
    <row r="27" spans="2:10" x14ac:dyDescent="0.4">
      <c r="B27" s="17"/>
      <c r="C27" s="34" t="s">
        <v>19</v>
      </c>
      <c r="D27" s="1"/>
      <c r="E27" s="1"/>
      <c r="F27" s="1"/>
      <c r="G27" s="24"/>
      <c r="H27" s="35">
        <v>-2014.075</v>
      </c>
      <c r="I27" s="36">
        <v>-20750.981999999996</v>
      </c>
      <c r="J27" s="37"/>
    </row>
    <row r="28" spans="2:10" x14ac:dyDescent="0.4">
      <c r="B28" s="17"/>
      <c r="C28" s="34"/>
      <c r="D28" s="1"/>
      <c r="E28" s="1"/>
      <c r="F28" s="1"/>
      <c r="G28" s="24"/>
      <c r="H28" s="35"/>
      <c r="I28" s="30"/>
      <c r="J28" s="32"/>
    </row>
    <row r="29" spans="2:10" x14ac:dyDescent="0.4">
      <c r="B29" s="17"/>
      <c r="C29" s="23" t="s">
        <v>20</v>
      </c>
      <c r="D29" s="1"/>
      <c r="E29" s="1"/>
      <c r="F29" s="1"/>
      <c r="G29" s="24"/>
      <c r="H29" s="43">
        <f>SUM(H27:H28)</f>
        <v>-2014.075</v>
      </c>
      <c r="I29" s="45">
        <f>SUM(I27:I28)</f>
        <v>-20750.981999999996</v>
      </c>
      <c r="J29" s="46"/>
    </row>
    <row r="30" spans="2:10" x14ac:dyDescent="0.4">
      <c r="B30" s="17"/>
      <c r="C30" s="34"/>
      <c r="D30" s="1"/>
      <c r="E30" s="1"/>
      <c r="F30" s="1"/>
      <c r="G30" s="24"/>
      <c r="H30" s="35"/>
      <c r="I30" s="30"/>
      <c r="J30" s="32"/>
    </row>
    <row r="31" spans="2:10" x14ac:dyDescent="0.4">
      <c r="B31" s="22" t="s">
        <v>21</v>
      </c>
      <c r="C31" s="23" t="s">
        <v>22</v>
      </c>
      <c r="D31" s="1"/>
      <c r="E31" s="1"/>
      <c r="F31" s="1"/>
      <c r="G31" s="24"/>
      <c r="H31" s="35"/>
      <c r="I31" s="30"/>
      <c r="J31" s="32"/>
    </row>
    <row r="32" spans="2:10" x14ac:dyDescent="0.4">
      <c r="B32" s="17"/>
      <c r="C32" s="34" t="s">
        <v>23</v>
      </c>
      <c r="D32" s="1"/>
      <c r="E32" s="1"/>
      <c r="F32" s="1"/>
      <c r="G32" s="24"/>
      <c r="H32" s="35">
        <v>0</v>
      </c>
      <c r="I32" s="36">
        <v>0</v>
      </c>
      <c r="J32" s="37"/>
    </row>
    <row r="33" spans="2:10" x14ac:dyDescent="0.4">
      <c r="B33" s="17"/>
      <c r="C33" s="34"/>
      <c r="D33" s="1"/>
      <c r="E33" s="1"/>
      <c r="F33" s="1"/>
      <c r="G33" s="24"/>
      <c r="H33" s="35"/>
      <c r="I33" s="30"/>
      <c r="J33" s="32"/>
    </row>
    <row r="34" spans="2:10" x14ac:dyDescent="0.4">
      <c r="B34" s="17"/>
      <c r="C34" s="23" t="s">
        <v>24</v>
      </c>
      <c r="D34" s="1"/>
      <c r="E34" s="1"/>
      <c r="F34" s="1"/>
      <c r="G34" s="24"/>
      <c r="H34" s="43">
        <f>SUM(H32:H33)</f>
        <v>0</v>
      </c>
      <c r="I34" s="44">
        <f>SUM(I32:I33)</f>
        <v>0</v>
      </c>
      <c r="J34" s="42"/>
    </row>
    <row r="35" spans="2:10" x14ac:dyDescent="0.4">
      <c r="B35" s="17"/>
      <c r="C35" s="34"/>
      <c r="D35" s="1"/>
      <c r="E35" s="1"/>
      <c r="F35" s="1"/>
      <c r="G35" s="24"/>
      <c r="H35" s="35"/>
      <c r="I35" s="30"/>
      <c r="J35" s="32"/>
    </row>
    <row r="36" spans="2:10" x14ac:dyDescent="0.4">
      <c r="B36" s="17"/>
      <c r="C36" s="23" t="s">
        <v>25</v>
      </c>
      <c r="D36" s="1"/>
      <c r="E36" s="1"/>
      <c r="F36" s="1"/>
      <c r="G36" s="24"/>
      <c r="H36" s="29">
        <v>-25128.855421999942</v>
      </c>
      <c r="I36" s="30">
        <v>29373.473630000077</v>
      </c>
      <c r="J36" s="32"/>
    </row>
    <row r="37" spans="2:10" x14ac:dyDescent="0.4">
      <c r="B37" s="17"/>
      <c r="C37" s="41" t="s">
        <v>26</v>
      </c>
      <c r="D37" s="1"/>
      <c r="E37" s="1"/>
      <c r="F37" s="1"/>
      <c r="G37" s="24"/>
      <c r="H37" s="29">
        <v>76594.329600000085</v>
      </c>
      <c r="I37" s="30">
        <v>47220.855970000004</v>
      </c>
      <c r="J37" s="32"/>
    </row>
    <row r="38" spans="2:10" x14ac:dyDescent="0.4">
      <c r="B38" s="17"/>
      <c r="C38" s="23" t="s">
        <v>27</v>
      </c>
      <c r="D38" s="1"/>
      <c r="E38" s="1"/>
      <c r="F38" s="1"/>
      <c r="G38" s="24"/>
      <c r="H38" s="47">
        <f>SUM(H36:H37)</f>
        <v>51465.474178000142</v>
      </c>
      <c r="I38" s="44">
        <f>SUM(I36:I37)</f>
        <v>76594.329600000085</v>
      </c>
      <c r="J38" s="40"/>
    </row>
    <row r="39" spans="2:10" ht="19.5" customHeight="1" x14ac:dyDescent="0.4">
      <c r="B39" s="17"/>
      <c r="C39" s="41"/>
      <c r="D39" s="1"/>
      <c r="E39" s="1"/>
      <c r="F39" s="1"/>
      <c r="G39" s="24"/>
      <c r="H39" s="29"/>
      <c r="I39" s="30"/>
      <c r="J39" s="32"/>
    </row>
    <row r="40" spans="2:10" ht="19.5" customHeight="1" x14ac:dyDescent="0.4">
      <c r="B40" s="17"/>
      <c r="C40" s="23" t="s">
        <v>28</v>
      </c>
      <c r="D40" s="1"/>
      <c r="E40" s="1"/>
      <c r="F40" s="1"/>
      <c r="G40" s="24"/>
      <c r="H40" s="29"/>
      <c r="I40" s="30"/>
      <c r="J40" s="32"/>
    </row>
    <row r="41" spans="2:10" ht="19.5" customHeight="1" x14ac:dyDescent="0.4">
      <c r="B41" s="17"/>
      <c r="C41" s="48" t="s">
        <v>29</v>
      </c>
      <c r="D41" s="1"/>
      <c r="E41" s="1"/>
      <c r="F41" s="1"/>
      <c r="G41" s="24"/>
      <c r="H41" s="29"/>
      <c r="I41" s="30"/>
      <c r="J41" s="32"/>
    </row>
    <row r="42" spans="2:10" x14ac:dyDescent="0.4">
      <c r="B42" s="17"/>
      <c r="C42" s="49" t="s">
        <v>30</v>
      </c>
      <c r="D42" s="1"/>
      <c r="E42" s="1"/>
      <c r="F42" s="1"/>
      <c r="G42" s="24"/>
      <c r="H42" s="29">
        <v>705.43760999999995</v>
      </c>
      <c r="I42" s="30">
        <v>505.65204770000003</v>
      </c>
      <c r="J42" s="33"/>
    </row>
    <row r="43" spans="2:10" ht="7.5" customHeight="1" x14ac:dyDescent="0.4">
      <c r="B43" s="17"/>
      <c r="C43" s="49"/>
      <c r="D43" s="1"/>
      <c r="E43" s="1"/>
      <c r="F43" s="1"/>
      <c r="G43" s="24"/>
      <c r="H43" s="29"/>
      <c r="I43" s="30"/>
      <c r="J43" s="32"/>
    </row>
    <row r="44" spans="2:10" x14ac:dyDescent="0.4">
      <c r="B44" s="17"/>
      <c r="C44" s="50" t="s">
        <v>31</v>
      </c>
      <c r="D44" s="1"/>
      <c r="E44" s="1"/>
      <c r="F44" s="1"/>
      <c r="G44" s="24"/>
      <c r="H44" s="29"/>
      <c r="I44" s="30"/>
      <c r="J44" s="32"/>
    </row>
    <row r="45" spans="2:10" ht="30" customHeight="1" x14ac:dyDescent="0.4">
      <c r="B45" s="17"/>
      <c r="C45" s="51" t="s">
        <v>32</v>
      </c>
      <c r="D45" s="52"/>
      <c r="E45" s="52"/>
      <c r="F45" s="52"/>
      <c r="G45" s="53"/>
      <c r="H45" s="54">
        <f>'[1]Note BS-Asset'!G86</f>
        <v>0</v>
      </c>
      <c r="I45" s="55">
        <f>'[1]Note BS-Asset'!H86</f>
        <v>0</v>
      </c>
      <c r="J45" s="56"/>
    </row>
    <row r="46" spans="2:10" ht="22.5" customHeight="1" thickBot="1" x14ac:dyDescent="0.45">
      <c r="B46" s="57"/>
      <c r="C46" s="58"/>
      <c r="D46" s="59"/>
      <c r="E46" s="59"/>
      <c r="F46" s="59"/>
      <c r="G46" s="60"/>
      <c r="H46" s="61">
        <f>H42+H45</f>
        <v>705.43760999999995</v>
      </c>
      <c r="I46" s="62">
        <f>I42+I45</f>
        <v>505.65204770000003</v>
      </c>
      <c r="J46" s="63"/>
    </row>
    <row r="47" spans="2:10" x14ac:dyDescent="0.4">
      <c r="B47" s="1"/>
      <c r="C47" s="64"/>
      <c r="D47" s="1"/>
      <c r="E47" s="1"/>
      <c r="F47" s="1"/>
      <c r="G47" s="1"/>
      <c r="H47" s="65"/>
      <c r="I47" s="66"/>
      <c r="J47" s="6"/>
    </row>
    <row r="48" spans="2:10" x14ac:dyDescent="0.4">
      <c r="B48" s="67"/>
      <c r="C48" s="68" t="s">
        <v>33</v>
      </c>
      <c r="D48" s="1"/>
      <c r="E48" s="1"/>
      <c r="F48" s="1"/>
      <c r="G48" s="1"/>
      <c r="H48" s="1"/>
      <c r="I48" s="66"/>
      <c r="J48" s="6"/>
    </row>
    <row r="49" spans="2:10" ht="24" customHeight="1" x14ac:dyDescent="0.4">
      <c r="B49" s="28"/>
      <c r="C49" s="69" t="s">
        <v>34</v>
      </c>
      <c r="D49" s="69"/>
      <c r="E49" s="69"/>
      <c r="F49" s="69"/>
      <c r="G49" s="69"/>
      <c r="H49" s="69"/>
      <c r="I49" s="69"/>
      <c r="J49" s="70"/>
    </row>
    <row r="50" spans="2:10" x14ac:dyDescent="0.4">
      <c r="B50" s="1"/>
      <c r="C50" s="1"/>
      <c r="D50" s="1"/>
      <c r="E50" s="1"/>
      <c r="F50" s="1"/>
      <c r="G50" s="1"/>
      <c r="H50" s="1"/>
      <c r="I50" s="71"/>
    </row>
    <row r="51" spans="2:10" x14ac:dyDescent="0.4">
      <c r="B51" s="1"/>
      <c r="C51" s="28" t="s">
        <v>35</v>
      </c>
      <c r="D51" s="1"/>
      <c r="E51" s="1"/>
      <c r="F51" s="1"/>
      <c r="G51" s="1"/>
      <c r="H51" s="1"/>
      <c r="I51" s="71"/>
    </row>
    <row r="52" spans="2:10" x14ac:dyDescent="0.4">
      <c r="B52" s="1"/>
      <c r="C52" s="1"/>
      <c r="D52" s="1"/>
      <c r="E52" s="1"/>
      <c r="F52" s="1"/>
      <c r="G52" s="1"/>
      <c r="H52" s="1"/>
      <c r="I52" s="71"/>
    </row>
    <row r="53" spans="2:10" x14ac:dyDescent="0.4">
      <c r="B53" s="1"/>
      <c r="C53" s="67" t="s">
        <v>36</v>
      </c>
      <c r="D53" s="1"/>
      <c r="E53" s="1"/>
      <c r="F53" s="1"/>
      <c r="G53" s="1"/>
      <c r="H53" s="1"/>
      <c r="I53" s="71"/>
    </row>
    <row r="54" spans="2:10" x14ac:dyDescent="0.4">
      <c r="B54" s="1"/>
      <c r="C54" s="1"/>
      <c r="D54" s="1"/>
      <c r="E54" s="1"/>
      <c r="F54" s="1"/>
      <c r="G54" s="1"/>
      <c r="H54" s="1"/>
      <c r="I54" s="71"/>
    </row>
    <row r="55" spans="2:10" x14ac:dyDescent="0.4">
      <c r="B55" s="1"/>
      <c r="C55" s="72" t="str">
        <f>[1]BS!B65</f>
        <v>For XYZ &amp; CO.</v>
      </c>
      <c r="D55" s="1"/>
      <c r="E55" s="1"/>
      <c r="F55" s="1"/>
      <c r="G55" s="73" t="s">
        <v>37</v>
      </c>
      <c r="H55" s="1"/>
      <c r="I55" s="71"/>
    </row>
    <row r="56" spans="2:10" x14ac:dyDescent="0.4">
      <c r="B56" s="1"/>
      <c r="C56" s="74" t="s">
        <v>38</v>
      </c>
      <c r="D56" s="1"/>
      <c r="E56" s="1"/>
      <c r="F56" s="1"/>
      <c r="G56" s="73" t="str">
        <f>[1]BS!E66</f>
        <v>ABC PRIVATE LIMITED</v>
      </c>
      <c r="H56" s="1"/>
      <c r="I56" s="71"/>
    </row>
    <row r="57" spans="2:10" x14ac:dyDescent="0.4">
      <c r="B57" s="1"/>
      <c r="C57" s="74" t="str">
        <f>[1]BS!B67</f>
        <v>Firm's Registration No.: 15XXXXW</v>
      </c>
      <c r="D57" s="74"/>
      <c r="E57" s="74"/>
      <c r="F57" s="74"/>
      <c r="G57" s="74"/>
      <c r="H57" s="1"/>
      <c r="I57" s="71"/>
    </row>
    <row r="58" spans="2:10" x14ac:dyDescent="0.4">
      <c r="B58" s="1"/>
      <c r="C58" s="74"/>
      <c r="D58" s="74"/>
      <c r="E58" s="74"/>
      <c r="F58" s="74"/>
      <c r="G58" s="74"/>
      <c r="H58" s="1"/>
      <c r="I58" s="71"/>
    </row>
    <row r="59" spans="2:10" x14ac:dyDescent="0.4">
      <c r="B59" s="1"/>
      <c r="C59" s="74"/>
      <c r="D59" s="74"/>
      <c r="E59" s="74"/>
      <c r="F59" s="74"/>
      <c r="G59" s="74"/>
      <c r="H59" s="1"/>
      <c r="I59" s="71"/>
    </row>
    <row r="60" spans="2:10" x14ac:dyDescent="0.4">
      <c r="B60" s="1"/>
      <c r="C60" s="74" t="str">
        <f>[1]BS!B71</f>
        <v>X</v>
      </c>
      <c r="D60" s="1"/>
      <c r="E60" s="1"/>
      <c r="F60" s="1"/>
      <c r="G60" s="75" t="str">
        <f>[1]BS!E71</f>
        <v>V Chauhan</v>
      </c>
      <c r="H60" s="76"/>
      <c r="I60" s="75" t="str">
        <f>[1]BS!G71</f>
        <v>M Chauhan</v>
      </c>
      <c r="J60" s="77"/>
    </row>
    <row r="61" spans="2:10" x14ac:dyDescent="0.4">
      <c r="B61" s="1"/>
      <c r="C61" s="74" t="s">
        <v>39</v>
      </c>
      <c r="D61" s="1"/>
      <c r="E61" s="1"/>
      <c r="F61" s="1"/>
      <c r="G61" s="74" t="s">
        <v>40</v>
      </c>
      <c r="H61" s="78"/>
      <c r="I61" s="78" t="s">
        <v>40</v>
      </c>
      <c r="J61" s="79"/>
    </row>
    <row r="62" spans="2:10" x14ac:dyDescent="0.4">
      <c r="B62" s="1"/>
      <c r="C62" s="1" t="str">
        <f>[1]BS!B73</f>
        <v>Membership No.: 602XXX</v>
      </c>
      <c r="D62" s="1"/>
      <c r="E62" s="1"/>
      <c r="F62" s="1"/>
      <c r="G62" s="1" t="str">
        <f>[1]BS!E73</f>
        <v>DIN:</v>
      </c>
      <c r="H62" s="74"/>
      <c r="I62" s="1" t="str">
        <f>[1]BS!G73</f>
        <v>DIN:</v>
      </c>
      <c r="J62" s="5"/>
    </row>
    <row r="63" spans="2:10" x14ac:dyDescent="0.4">
      <c r="B63" s="1"/>
      <c r="C63" s="80"/>
      <c r="D63" s="1"/>
      <c r="E63" s="1"/>
      <c r="F63" s="1"/>
      <c r="G63" s="1"/>
      <c r="H63" s="74"/>
      <c r="I63" s="81"/>
      <c r="J63" s="82"/>
    </row>
    <row r="64" spans="2:10" x14ac:dyDescent="0.4">
      <c r="B64" s="1"/>
      <c r="C64" s="83" t="str">
        <f>[1]BS!B75</f>
        <v>Place: Navi Mumbai</v>
      </c>
      <c r="D64" s="80"/>
      <c r="E64" s="1"/>
      <c r="F64" s="1"/>
      <c r="G64" s="83" t="str">
        <f>[1]BS!E75</f>
        <v>Place: Navi Mumbai</v>
      </c>
      <c r="H64" s="65"/>
      <c r="I64" s="83" t="str">
        <f>[1]BS!G75</f>
        <v>Place: Navi Mumbai</v>
      </c>
      <c r="J64" s="84"/>
    </row>
    <row r="65" spans="2:10" x14ac:dyDescent="0.4">
      <c r="B65" s="1"/>
      <c r="C65" s="83" t="str">
        <f>[1]BS!B76</f>
        <v>Date:</v>
      </c>
      <c r="D65" s="85"/>
      <c r="E65" s="1"/>
      <c r="F65" s="1"/>
      <c r="G65" s="83" t="str">
        <f>[1]BS!E76</f>
        <v>Date:</v>
      </c>
      <c r="H65" s="1"/>
      <c r="I65" s="83" t="str">
        <f>[1]BS!G76</f>
        <v>Date:</v>
      </c>
      <c r="J65" s="84"/>
    </row>
    <row r="216" spans="3:3" x14ac:dyDescent="0.4">
      <c r="C216" s="5" t="s">
        <v>41</v>
      </c>
    </row>
  </sheetData>
  <protectedRanges>
    <protectedRange sqref="C51" name="Protect_BS_5_1_1"/>
  </protectedRanges>
  <mergeCells count="8">
    <mergeCell ref="C45:G45"/>
    <mergeCell ref="C49:I49"/>
    <mergeCell ref="C1:I1"/>
    <mergeCell ref="C2:I2"/>
    <mergeCell ref="C3:I3"/>
    <mergeCell ref="C4:I4"/>
    <mergeCell ref="H5:H6"/>
    <mergeCell ref="I5:I6"/>
  </mergeCells>
  <pageMargins left="0.25" right="0.25" top="0.75" bottom="0.75" header="0.3" footer="0.3"/>
  <pageSetup paperSize="9" scale="9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34B8-2D1D-4A74-AE84-CC29C1FDB1A0}">
  <sheetPr>
    <pageSetUpPr fitToPage="1"/>
  </sheetPr>
  <dimension ref="B1:J216"/>
  <sheetViews>
    <sheetView showGridLines="0" zoomScaleNormal="100" zoomScaleSheetLayoutView="140" workbookViewId="0">
      <selection activeCell="K9" sqref="K9"/>
    </sheetView>
  </sheetViews>
  <sheetFormatPr defaultColWidth="9.20703125" defaultRowHeight="11.4" x14ac:dyDescent="0.4"/>
  <cols>
    <col min="1" max="1" width="9.20703125" style="5"/>
    <col min="2" max="2" width="2.41796875" style="5" customWidth="1"/>
    <col min="3" max="3" width="19.20703125" style="5" customWidth="1"/>
    <col min="4" max="4" width="14.7890625" style="5" customWidth="1"/>
    <col min="5" max="5" width="12.7890625" style="5" customWidth="1"/>
    <col min="6" max="6" width="3.20703125" style="5" customWidth="1"/>
    <col min="7" max="7" width="9.20703125" style="5" customWidth="1"/>
    <col min="8" max="8" width="14.7890625" style="5" customWidth="1"/>
    <col min="9" max="9" width="15.41796875" style="4" customWidth="1"/>
    <col min="10" max="10" width="14.41796875" style="4" customWidth="1"/>
    <col min="11" max="16384" width="9.20703125" style="5"/>
  </cols>
  <sheetData>
    <row r="1" spans="2:10" ht="12.3" x14ac:dyDescent="0.4">
      <c r="B1" s="1"/>
      <c r="C1" s="2" t="s">
        <v>50</v>
      </c>
      <c r="D1" s="2"/>
      <c r="E1" s="2"/>
      <c r="F1" s="2"/>
      <c r="G1" s="2"/>
      <c r="H1" s="2"/>
      <c r="I1" s="2"/>
      <c r="J1" s="3"/>
    </row>
    <row r="2" spans="2:10" ht="14.55" customHeight="1" x14ac:dyDescent="0.4">
      <c r="B2" s="1"/>
      <c r="C2" s="7" t="s">
        <v>43</v>
      </c>
      <c r="D2" s="7"/>
      <c r="E2" s="7"/>
      <c r="F2" s="7"/>
      <c r="G2" s="7"/>
      <c r="H2" s="7"/>
      <c r="I2" s="7"/>
      <c r="J2" s="8"/>
    </row>
    <row r="3" spans="2:10" ht="12.3" x14ac:dyDescent="0.4">
      <c r="B3" s="1"/>
      <c r="C3" s="2" t="s">
        <v>57</v>
      </c>
      <c r="D3" s="2"/>
      <c r="E3" s="2"/>
      <c r="F3" s="2"/>
      <c r="G3" s="2"/>
      <c r="H3" s="2"/>
      <c r="I3" s="2"/>
      <c r="J3" s="3"/>
    </row>
    <row r="4" spans="2:10" ht="11.7" thickBot="1" x14ac:dyDescent="0.45">
      <c r="B4" s="1"/>
      <c r="C4" s="9" t="s">
        <v>42</v>
      </c>
      <c r="D4" s="9"/>
      <c r="E4" s="9"/>
      <c r="F4" s="9"/>
      <c r="G4" s="9"/>
      <c r="H4" s="9"/>
      <c r="I4" s="9"/>
      <c r="J4" s="10"/>
    </row>
    <row r="5" spans="2:10" ht="11.4" customHeight="1" x14ac:dyDescent="0.4">
      <c r="B5" s="11"/>
      <c r="C5" s="12" t="s">
        <v>0</v>
      </c>
      <c r="D5" s="13"/>
      <c r="E5" s="13"/>
      <c r="F5" s="13"/>
      <c r="G5" s="14"/>
      <c r="H5" s="15" t="s">
        <v>58</v>
      </c>
      <c r="I5" s="15" t="s">
        <v>59</v>
      </c>
      <c r="J5" s="16"/>
    </row>
    <row r="6" spans="2:10" ht="11.7" thickBot="1" x14ac:dyDescent="0.45">
      <c r="B6" s="17"/>
      <c r="C6" s="18"/>
      <c r="D6" s="19"/>
      <c r="E6" s="19"/>
      <c r="F6" s="19"/>
      <c r="G6" s="20"/>
      <c r="H6" s="21"/>
      <c r="I6" s="21"/>
      <c r="J6" s="16"/>
    </row>
    <row r="7" spans="2:10" x14ac:dyDescent="0.4">
      <c r="B7" s="22"/>
      <c r="C7" s="23"/>
      <c r="D7" s="1"/>
      <c r="E7" s="1"/>
      <c r="F7" s="1"/>
      <c r="G7" s="24"/>
      <c r="H7" s="25"/>
      <c r="I7" s="26"/>
      <c r="J7" s="16"/>
    </row>
    <row r="8" spans="2:10" x14ac:dyDescent="0.4">
      <c r="B8" s="22" t="s">
        <v>1</v>
      </c>
      <c r="C8" s="27" t="s">
        <v>2</v>
      </c>
      <c r="D8" s="28"/>
      <c r="E8" s="1"/>
      <c r="F8" s="1"/>
      <c r="G8" s="24"/>
      <c r="H8" s="29"/>
      <c r="I8" s="30"/>
      <c r="J8" s="31"/>
    </row>
    <row r="9" spans="2:10" x14ac:dyDescent="0.4">
      <c r="B9" s="17"/>
      <c r="C9" s="23" t="s">
        <v>3</v>
      </c>
      <c r="D9" s="1"/>
      <c r="E9" s="1"/>
      <c r="F9" s="1"/>
      <c r="G9" s="24"/>
      <c r="H9" s="29">
        <v>36982.105020000046</v>
      </c>
      <c r="I9" s="30">
        <v>86203.433700000081</v>
      </c>
      <c r="J9" s="32"/>
    </row>
    <row r="10" spans="2:10" x14ac:dyDescent="0.4">
      <c r="B10" s="17"/>
      <c r="C10" s="34" t="s">
        <v>4</v>
      </c>
      <c r="D10" s="1"/>
      <c r="E10" s="1"/>
      <c r="F10" s="1"/>
      <c r="G10" s="24"/>
      <c r="H10" s="29">
        <v>0</v>
      </c>
      <c r="I10" s="30">
        <v>0</v>
      </c>
      <c r="J10" s="32"/>
    </row>
    <row r="11" spans="2:10" x14ac:dyDescent="0.4">
      <c r="B11" s="17"/>
      <c r="C11" s="34" t="s">
        <v>5</v>
      </c>
      <c r="D11" s="1"/>
      <c r="E11" s="1"/>
      <c r="F11" s="1"/>
      <c r="G11" s="24"/>
      <c r="H11" s="35">
        <v>4418.1000000000004</v>
      </c>
      <c r="I11" s="30">
        <v>2357.982</v>
      </c>
      <c r="J11" s="32"/>
    </row>
    <row r="12" spans="2:10" x14ac:dyDescent="0.4">
      <c r="B12" s="17"/>
      <c r="C12" s="34" t="s">
        <v>6</v>
      </c>
      <c r="D12" s="1"/>
      <c r="E12" s="1"/>
      <c r="F12" s="1"/>
      <c r="G12" s="24"/>
      <c r="H12" s="35">
        <v>0</v>
      </c>
      <c r="I12" s="36">
        <v>-591.44670000000008</v>
      </c>
      <c r="J12" s="37"/>
    </row>
    <row r="13" spans="2:10" x14ac:dyDescent="0.4">
      <c r="B13" s="17"/>
      <c r="C13" s="34"/>
      <c r="D13" s="1"/>
      <c r="E13" s="1"/>
      <c r="F13" s="1"/>
      <c r="G13" s="24"/>
      <c r="H13" s="35"/>
      <c r="I13" s="30"/>
      <c r="J13" s="32"/>
    </row>
    <row r="14" spans="2:10" x14ac:dyDescent="0.4">
      <c r="B14" s="17"/>
      <c r="C14" s="23" t="s">
        <v>7</v>
      </c>
      <c r="D14" s="1"/>
      <c r="E14" s="1"/>
      <c r="F14" s="1"/>
      <c r="G14" s="24"/>
      <c r="H14" s="38">
        <f>SUM(H9:H12)</f>
        <v>41400.205020000045</v>
      </c>
      <c r="I14" s="39">
        <f>SUM(I9:I12)</f>
        <v>87969.969000000085</v>
      </c>
      <c r="J14" s="40"/>
    </row>
    <row r="15" spans="2:10" ht="14.25" customHeight="1" x14ac:dyDescent="0.4">
      <c r="B15" s="17"/>
      <c r="C15" s="23" t="s">
        <v>8</v>
      </c>
      <c r="D15" s="1"/>
      <c r="E15" s="1"/>
      <c r="F15" s="1"/>
      <c r="G15" s="24"/>
      <c r="H15" s="35"/>
      <c r="I15" s="30"/>
      <c r="J15" s="32"/>
    </row>
    <row r="16" spans="2:10" x14ac:dyDescent="0.4">
      <c r="B16" s="17"/>
      <c r="C16" s="34" t="s">
        <v>9</v>
      </c>
      <c r="D16" s="1"/>
      <c r="E16" s="1"/>
      <c r="F16" s="1"/>
      <c r="G16" s="24"/>
      <c r="H16" s="35">
        <v>0</v>
      </c>
      <c r="I16" s="30">
        <v>2635.9766999999997</v>
      </c>
      <c r="J16" s="32"/>
    </row>
    <row r="17" spans="2:10" x14ac:dyDescent="0.4">
      <c r="B17" s="17"/>
      <c r="C17" s="41" t="s">
        <v>10</v>
      </c>
      <c r="D17" s="1"/>
      <c r="E17" s="1"/>
      <c r="F17" s="1"/>
      <c r="G17" s="24"/>
      <c r="H17" s="35">
        <v>34.365852000000004</v>
      </c>
      <c r="I17" s="30">
        <v>594.85698000000002</v>
      </c>
      <c r="J17" s="32"/>
    </row>
    <row r="18" spans="2:10" x14ac:dyDescent="0.4">
      <c r="B18" s="17"/>
      <c r="C18" s="34" t="s">
        <v>11</v>
      </c>
      <c r="D18" s="1"/>
      <c r="E18" s="1"/>
      <c r="F18" s="1"/>
      <c r="G18" s="24"/>
      <c r="H18" s="35">
        <v>-26343.53226</v>
      </c>
      <c r="I18" s="30">
        <v>-2580.2728200000001</v>
      </c>
      <c r="J18" s="32"/>
    </row>
    <row r="19" spans="2:10" x14ac:dyDescent="0.4">
      <c r="B19" s="17"/>
      <c r="C19" s="34" t="s">
        <v>12</v>
      </c>
      <c r="D19" s="1"/>
      <c r="E19" s="1"/>
      <c r="F19" s="1"/>
      <c r="G19" s="24"/>
      <c r="H19" s="35">
        <v>-15480.665999999992</v>
      </c>
      <c r="I19" s="30">
        <v>-18973.896840000001</v>
      </c>
      <c r="J19" s="32"/>
    </row>
    <row r="20" spans="2:10" x14ac:dyDescent="0.4">
      <c r="B20" s="17"/>
      <c r="C20" s="34" t="s">
        <v>13</v>
      </c>
      <c r="D20" s="1"/>
      <c r="E20" s="1"/>
      <c r="F20" s="1"/>
      <c r="G20" s="24"/>
      <c r="H20" s="35">
        <v>-180</v>
      </c>
      <c r="I20" s="30">
        <v>-424.98</v>
      </c>
      <c r="J20" s="32"/>
    </row>
    <row r="21" spans="2:10" x14ac:dyDescent="0.4">
      <c r="B21" s="17"/>
      <c r="C21" s="23" t="s">
        <v>14</v>
      </c>
      <c r="D21" s="1"/>
      <c r="E21" s="1"/>
      <c r="F21" s="1"/>
      <c r="G21" s="24"/>
      <c r="H21" s="38">
        <f>SUM(H14:H20)</f>
        <v>-569.6273879999444</v>
      </c>
      <c r="I21" s="39">
        <f>SUM(I14:I20)</f>
        <v>69221.653020000085</v>
      </c>
      <c r="J21" s="42"/>
    </row>
    <row r="22" spans="2:10" x14ac:dyDescent="0.4">
      <c r="B22" s="17"/>
      <c r="C22" s="41" t="s">
        <v>15</v>
      </c>
      <c r="D22" s="1"/>
      <c r="E22" s="1"/>
      <c r="F22" s="1"/>
      <c r="G22" s="24"/>
      <c r="H22" s="29">
        <v>-23904.845999999998</v>
      </c>
      <c r="I22" s="30">
        <v>-16148.682000000001</v>
      </c>
      <c r="J22" s="32"/>
    </row>
    <row r="23" spans="2:10" x14ac:dyDescent="0.4">
      <c r="B23" s="17"/>
      <c r="C23" s="41"/>
      <c r="D23" s="1"/>
      <c r="E23" s="1"/>
      <c r="F23" s="1"/>
      <c r="G23" s="24"/>
      <c r="H23" s="35"/>
      <c r="I23" s="30"/>
      <c r="J23" s="32"/>
    </row>
    <row r="24" spans="2:10" x14ac:dyDescent="0.4">
      <c r="B24" s="17"/>
      <c r="C24" s="23" t="s">
        <v>16</v>
      </c>
      <c r="D24" s="1"/>
      <c r="E24" s="1"/>
      <c r="F24" s="1"/>
      <c r="G24" s="24"/>
      <c r="H24" s="43">
        <f>H21+H22</f>
        <v>-24474.47338799994</v>
      </c>
      <c r="I24" s="44">
        <f>I21+I22</f>
        <v>53072.971020000085</v>
      </c>
      <c r="J24" s="40"/>
    </row>
    <row r="25" spans="2:10" x14ac:dyDescent="0.4">
      <c r="B25" s="17"/>
      <c r="C25" s="34"/>
      <c r="D25" s="1"/>
      <c r="E25" s="1"/>
      <c r="F25" s="1"/>
      <c r="G25" s="24"/>
      <c r="H25" s="35"/>
      <c r="I25" s="30"/>
      <c r="J25" s="32"/>
    </row>
    <row r="26" spans="2:10" x14ac:dyDescent="0.4">
      <c r="B26" s="22" t="s">
        <v>17</v>
      </c>
      <c r="C26" s="23" t="s">
        <v>18</v>
      </c>
      <c r="D26" s="1"/>
      <c r="E26" s="1"/>
      <c r="F26" s="1"/>
      <c r="G26" s="24"/>
      <c r="H26" s="35"/>
      <c r="I26" s="30"/>
      <c r="J26" s="32"/>
    </row>
    <row r="27" spans="2:10" x14ac:dyDescent="0.4">
      <c r="B27" s="17"/>
      <c r="C27" s="34" t="s">
        <v>19</v>
      </c>
      <c r="D27" s="1"/>
      <c r="E27" s="1"/>
      <c r="F27" s="1"/>
      <c r="G27" s="24"/>
      <c r="H27" s="35">
        <v>-2132.5500000000002</v>
      </c>
      <c r="I27" s="36">
        <v>-21971.628000000001</v>
      </c>
      <c r="J27" s="37"/>
    </row>
    <row r="28" spans="2:10" x14ac:dyDescent="0.4">
      <c r="B28" s="17"/>
      <c r="C28" s="34"/>
      <c r="D28" s="1"/>
      <c r="E28" s="1"/>
      <c r="F28" s="1"/>
      <c r="G28" s="24"/>
      <c r="H28" s="35"/>
      <c r="I28" s="30"/>
      <c r="J28" s="32"/>
    </row>
    <row r="29" spans="2:10" x14ac:dyDescent="0.4">
      <c r="B29" s="17"/>
      <c r="C29" s="23" t="s">
        <v>20</v>
      </c>
      <c r="D29" s="1"/>
      <c r="E29" s="1"/>
      <c r="F29" s="1"/>
      <c r="G29" s="24"/>
      <c r="H29" s="43">
        <f>SUM(H27:H28)</f>
        <v>-2132.5500000000002</v>
      </c>
      <c r="I29" s="45">
        <f>SUM(I27:I28)</f>
        <v>-21971.628000000001</v>
      </c>
      <c r="J29" s="46"/>
    </row>
    <row r="30" spans="2:10" x14ac:dyDescent="0.4">
      <c r="B30" s="17"/>
      <c r="C30" s="34"/>
      <c r="D30" s="1"/>
      <c r="E30" s="1"/>
      <c r="F30" s="1"/>
      <c r="G30" s="24"/>
      <c r="H30" s="35"/>
      <c r="I30" s="30"/>
      <c r="J30" s="32"/>
    </row>
    <row r="31" spans="2:10" x14ac:dyDescent="0.4">
      <c r="B31" s="22" t="s">
        <v>21</v>
      </c>
      <c r="C31" s="23" t="s">
        <v>22</v>
      </c>
      <c r="D31" s="1"/>
      <c r="E31" s="1"/>
      <c r="F31" s="1"/>
      <c r="G31" s="24"/>
      <c r="H31" s="35"/>
      <c r="I31" s="30"/>
      <c r="J31" s="32"/>
    </row>
    <row r="32" spans="2:10" x14ac:dyDescent="0.4">
      <c r="B32" s="17"/>
      <c r="C32" s="34" t="s">
        <v>23</v>
      </c>
      <c r="D32" s="1"/>
      <c r="E32" s="1"/>
      <c r="F32" s="1"/>
      <c r="G32" s="24"/>
      <c r="H32" s="35">
        <v>0</v>
      </c>
      <c r="I32" s="36">
        <v>0</v>
      </c>
      <c r="J32" s="37"/>
    </row>
    <row r="33" spans="2:10" x14ac:dyDescent="0.4">
      <c r="B33" s="17"/>
      <c r="C33" s="34"/>
      <c r="D33" s="1"/>
      <c r="E33" s="1"/>
      <c r="F33" s="1"/>
      <c r="G33" s="24"/>
      <c r="H33" s="35"/>
      <c r="I33" s="30"/>
      <c r="J33" s="32"/>
    </row>
    <row r="34" spans="2:10" x14ac:dyDescent="0.4">
      <c r="B34" s="17"/>
      <c r="C34" s="23" t="s">
        <v>24</v>
      </c>
      <c r="D34" s="1"/>
      <c r="E34" s="1"/>
      <c r="F34" s="1"/>
      <c r="G34" s="24"/>
      <c r="H34" s="43">
        <f>SUM(H32:H33)</f>
        <v>0</v>
      </c>
      <c r="I34" s="44">
        <f>SUM(I32:I33)</f>
        <v>0</v>
      </c>
      <c r="J34" s="42"/>
    </row>
    <row r="35" spans="2:10" x14ac:dyDescent="0.4">
      <c r="B35" s="17"/>
      <c r="C35" s="34"/>
      <c r="D35" s="1"/>
      <c r="E35" s="1"/>
      <c r="F35" s="1"/>
      <c r="G35" s="24"/>
      <c r="H35" s="35"/>
      <c r="I35" s="30"/>
      <c r="J35" s="32"/>
    </row>
    <row r="36" spans="2:10" x14ac:dyDescent="0.4">
      <c r="B36" s="17"/>
      <c r="C36" s="23" t="s">
        <v>25</v>
      </c>
      <c r="D36" s="1"/>
      <c r="E36" s="1"/>
      <c r="F36" s="1"/>
      <c r="G36" s="24"/>
      <c r="H36" s="29">
        <v>-26607.02338799994</v>
      </c>
      <c r="I36" s="30">
        <v>31101.325020000084</v>
      </c>
      <c r="J36" s="32"/>
    </row>
    <row r="37" spans="2:10" x14ac:dyDescent="0.4">
      <c r="B37" s="17"/>
      <c r="C37" s="41" t="s">
        <v>26</v>
      </c>
      <c r="D37" s="1"/>
      <c r="E37" s="1"/>
      <c r="F37" s="1"/>
      <c r="G37" s="24"/>
      <c r="H37" s="29">
        <v>81099.878400000089</v>
      </c>
      <c r="I37" s="30">
        <v>49998.553380000005</v>
      </c>
      <c r="J37" s="32"/>
    </row>
    <row r="38" spans="2:10" x14ac:dyDescent="0.4">
      <c r="B38" s="17"/>
      <c r="C38" s="23" t="s">
        <v>27</v>
      </c>
      <c r="D38" s="1"/>
      <c r="E38" s="1"/>
      <c r="F38" s="1"/>
      <c r="G38" s="24"/>
      <c r="H38" s="47">
        <f>SUM(H36:H37)</f>
        <v>54492.855012000146</v>
      </c>
      <c r="I38" s="44">
        <f>SUM(I36:I37)</f>
        <v>81099.878400000089</v>
      </c>
      <c r="J38" s="40"/>
    </row>
    <row r="39" spans="2:10" ht="19.5" customHeight="1" x14ac:dyDescent="0.4">
      <c r="B39" s="17"/>
      <c r="C39" s="41"/>
      <c r="D39" s="1"/>
      <c r="E39" s="1"/>
      <c r="F39" s="1"/>
      <c r="G39" s="24"/>
      <c r="H39" s="29"/>
      <c r="I39" s="30"/>
      <c r="J39" s="32"/>
    </row>
    <row r="40" spans="2:10" ht="19.5" customHeight="1" x14ac:dyDescent="0.4">
      <c r="B40" s="17"/>
      <c r="C40" s="23" t="s">
        <v>28</v>
      </c>
      <c r="D40" s="1"/>
      <c r="E40" s="1"/>
      <c r="F40" s="1"/>
      <c r="G40" s="24"/>
      <c r="H40" s="29"/>
      <c r="I40" s="30"/>
      <c r="J40" s="32"/>
    </row>
    <row r="41" spans="2:10" ht="19.5" customHeight="1" x14ac:dyDescent="0.4">
      <c r="B41" s="17"/>
      <c r="C41" s="48" t="s">
        <v>29</v>
      </c>
      <c r="D41" s="1"/>
      <c r="E41" s="1"/>
      <c r="F41" s="1"/>
      <c r="G41" s="24"/>
      <c r="H41" s="29"/>
      <c r="I41" s="30"/>
      <c r="J41" s="32"/>
    </row>
    <row r="42" spans="2:10" x14ac:dyDescent="0.4">
      <c r="B42" s="17"/>
      <c r="C42" s="49" t="s">
        <v>30</v>
      </c>
      <c r="D42" s="1"/>
      <c r="E42" s="1"/>
      <c r="F42" s="1"/>
      <c r="G42" s="24"/>
      <c r="H42" s="29">
        <v>746.93394000000001</v>
      </c>
      <c r="I42" s="30">
        <v>535.39628579999999</v>
      </c>
      <c r="J42" s="33"/>
    </row>
    <row r="43" spans="2:10" ht="7.5" customHeight="1" x14ac:dyDescent="0.4">
      <c r="B43" s="17"/>
      <c r="C43" s="49"/>
      <c r="D43" s="1"/>
      <c r="E43" s="1"/>
      <c r="F43" s="1"/>
      <c r="G43" s="24"/>
      <c r="H43" s="29"/>
      <c r="I43" s="30"/>
      <c r="J43" s="32"/>
    </row>
    <row r="44" spans="2:10" x14ac:dyDescent="0.4">
      <c r="B44" s="17"/>
      <c r="C44" s="50" t="s">
        <v>31</v>
      </c>
      <c r="D44" s="1"/>
      <c r="E44" s="1"/>
      <c r="F44" s="1"/>
      <c r="G44" s="24"/>
      <c r="H44" s="29"/>
      <c r="I44" s="30"/>
      <c r="J44" s="32"/>
    </row>
    <row r="45" spans="2:10" ht="30" customHeight="1" x14ac:dyDescent="0.4">
      <c r="B45" s="17"/>
      <c r="C45" s="51" t="s">
        <v>32</v>
      </c>
      <c r="D45" s="52"/>
      <c r="E45" s="52"/>
      <c r="F45" s="52"/>
      <c r="G45" s="53"/>
      <c r="H45" s="54">
        <f>'[1]Note BS-Asset'!G86</f>
        <v>0</v>
      </c>
      <c r="I45" s="55">
        <f>'[1]Note BS-Asset'!H86</f>
        <v>0</v>
      </c>
      <c r="J45" s="56"/>
    </row>
    <row r="46" spans="2:10" ht="22.5" customHeight="1" thickBot="1" x14ac:dyDescent="0.45">
      <c r="B46" s="57"/>
      <c r="C46" s="58"/>
      <c r="D46" s="59"/>
      <c r="E46" s="59"/>
      <c r="F46" s="59"/>
      <c r="G46" s="60"/>
      <c r="H46" s="61">
        <f>H42+H45</f>
        <v>746.93394000000001</v>
      </c>
      <c r="I46" s="62">
        <f>I42+I45</f>
        <v>535.39628579999999</v>
      </c>
      <c r="J46" s="63"/>
    </row>
    <row r="47" spans="2:10" x14ac:dyDescent="0.4">
      <c r="B47" s="1"/>
      <c r="C47" s="64"/>
      <c r="D47" s="1"/>
      <c r="E47" s="1"/>
      <c r="F47" s="1"/>
      <c r="G47" s="1"/>
      <c r="H47" s="65"/>
      <c r="I47" s="66"/>
      <c r="J47" s="6"/>
    </row>
    <row r="48" spans="2:10" x14ac:dyDescent="0.4">
      <c r="B48" s="67"/>
      <c r="C48" s="68" t="s">
        <v>33</v>
      </c>
      <c r="D48" s="1"/>
      <c r="E48" s="1"/>
      <c r="F48" s="1"/>
      <c r="G48" s="1"/>
      <c r="H48" s="1"/>
      <c r="I48" s="66"/>
      <c r="J48" s="6"/>
    </row>
    <row r="49" spans="2:10" ht="24" customHeight="1" x14ac:dyDescent="0.4">
      <c r="B49" s="28"/>
      <c r="C49" s="69" t="s">
        <v>34</v>
      </c>
      <c r="D49" s="69"/>
      <c r="E49" s="69"/>
      <c r="F49" s="69"/>
      <c r="G49" s="69"/>
      <c r="H49" s="69"/>
      <c r="I49" s="69"/>
      <c r="J49" s="70"/>
    </row>
    <row r="50" spans="2:10" x14ac:dyDescent="0.4">
      <c r="B50" s="1"/>
      <c r="C50" s="1"/>
      <c r="D50" s="1"/>
      <c r="E50" s="1"/>
      <c r="F50" s="1"/>
      <c r="G50" s="1"/>
      <c r="H50" s="1"/>
      <c r="I50" s="71"/>
    </row>
    <row r="51" spans="2:10" x14ac:dyDescent="0.4">
      <c r="B51" s="1"/>
      <c r="C51" s="28" t="s">
        <v>35</v>
      </c>
      <c r="D51" s="1"/>
      <c r="E51" s="1"/>
      <c r="F51" s="1"/>
      <c r="G51" s="1"/>
      <c r="H51" s="1"/>
      <c r="I51" s="71"/>
    </row>
    <row r="52" spans="2:10" x14ac:dyDescent="0.4">
      <c r="B52" s="1"/>
      <c r="C52" s="1"/>
      <c r="D52" s="1"/>
      <c r="E52" s="1"/>
      <c r="F52" s="1"/>
      <c r="G52" s="1"/>
      <c r="H52" s="1"/>
      <c r="I52" s="71"/>
    </row>
    <row r="53" spans="2:10" x14ac:dyDescent="0.4">
      <c r="B53" s="1"/>
      <c r="C53" s="67" t="s">
        <v>36</v>
      </c>
      <c r="D53" s="1"/>
      <c r="E53" s="1"/>
      <c r="F53" s="1"/>
      <c r="G53" s="1"/>
      <c r="H53" s="1"/>
      <c r="I53" s="71"/>
    </row>
    <row r="54" spans="2:10" x14ac:dyDescent="0.4">
      <c r="B54" s="1"/>
      <c r="C54" s="1"/>
      <c r="D54" s="1"/>
      <c r="E54" s="1"/>
      <c r="F54" s="1"/>
      <c r="G54" s="1"/>
      <c r="H54" s="1"/>
      <c r="I54" s="71"/>
    </row>
    <row r="55" spans="2:10" x14ac:dyDescent="0.4">
      <c r="B55" s="1"/>
      <c r="C55" s="72" t="str">
        <f>[1]BS!B65</f>
        <v>For XYZ &amp; CO.</v>
      </c>
      <c r="D55" s="1"/>
      <c r="E55" s="1"/>
      <c r="F55" s="1"/>
      <c r="G55" s="73" t="s">
        <v>37</v>
      </c>
      <c r="H55" s="1"/>
      <c r="I55" s="71"/>
    </row>
    <row r="56" spans="2:10" x14ac:dyDescent="0.4">
      <c r="B56" s="1"/>
      <c r="C56" s="74" t="s">
        <v>38</v>
      </c>
      <c r="D56" s="1"/>
      <c r="E56" s="1"/>
      <c r="F56" s="1"/>
      <c r="G56" s="73" t="str">
        <f>[1]BS!E66</f>
        <v>ABC PRIVATE LIMITED</v>
      </c>
      <c r="H56" s="1"/>
      <c r="I56" s="71"/>
    </row>
    <row r="57" spans="2:10" x14ac:dyDescent="0.4">
      <c r="B57" s="1"/>
      <c r="C57" s="74" t="str">
        <f>[1]BS!B67</f>
        <v>Firm's Registration No.: 15XXXXW</v>
      </c>
      <c r="D57" s="74"/>
      <c r="E57" s="74"/>
      <c r="F57" s="74"/>
      <c r="G57" s="74"/>
      <c r="H57" s="1"/>
      <c r="I57" s="71"/>
    </row>
    <row r="58" spans="2:10" x14ac:dyDescent="0.4">
      <c r="B58" s="1"/>
      <c r="C58" s="74"/>
      <c r="D58" s="74"/>
      <c r="E58" s="74"/>
      <c r="F58" s="74"/>
      <c r="G58" s="74"/>
      <c r="H58" s="1"/>
      <c r="I58" s="71"/>
    </row>
    <row r="59" spans="2:10" x14ac:dyDescent="0.4">
      <c r="B59" s="1"/>
      <c r="C59" s="74"/>
      <c r="D59" s="74"/>
      <c r="E59" s="74"/>
      <c r="F59" s="74"/>
      <c r="G59" s="74"/>
      <c r="H59" s="1"/>
      <c r="I59" s="71"/>
    </row>
    <row r="60" spans="2:10" x14ac:dyDescent="0.4">
      <c r="B60" s="1"/>
      <c r="C60" s="74" t="str">
        <f>[1]BS!B71</f>
        <v>X</v>
      </c>
      <c r="D60" s="1"/>
      <c r="E60" s="1"/>
      <c r="F60" s="1"/>
      <c r="G60" s="75" t="str">
        <f>[1]BS!E71</f>
        <v>V Chauhan</v>
      </c>
      <c r="H60" s="76"/>
      <c r="I60" s="75" t="str">
        <f>[1]BS!G71</f>
        <v>M Chauhan</v>
      </c>
      <c r="J60" s="77"/>
    </row>
    <row r="61" spans="2:10" x14ac:dyDescent="0.4">
      <c r="B61" s="1"/>
      <c r="C61" s="74" t="s">
        <v>39</v>
      </c>
      <c r="D61" s="1"/>
      <c r="E61" s="1"/>
      <c r="F61" s="1"/>
      <c r="G61" s="74" t="s">
        <v>40</v>
      </c>
      <c r="H61" s="78"/>
      <c r="I61" s="78" t="s">
        <v>40</v>
      </c>
      <c r="J61" s="79"/>
    </row>
    <row r="62" spans="2:10" x14ac:dyDescent="0.4">
      <c r="B62" s="1"/>
      <c r="C62" s="1" t="str">
        <f>[1]BS!B73</f>
        <v>Membership No.: 602XXX</v>
      </c>
      <c r="D62" s="1"/>
      <c r="E62" s="1"/>
      <c r="F62" s="1"/>
      <c r="G62" s="1" t="str">
        <f>[1]BS!E73</f>
        <v>DIN:</v>
      </c>
      <c r="H62" s="74"/>
      <c r="I62" s="1" t="str">
        <f>[1]BS!G73</f>
        <v>DIN:</v>
      </c>
      <c r="J62" s="5"/>
    </row>
    <row r="63" spans="2:10" x14ac:dyDescent="0.4">
      <c r="B63" s="1"/>
      <c r="C63" s="80"/>
      <c r="D63" s="1"/>
      <c r="E63" s="1"/>
      <c r="F63" s="1"/>
      <c r="G63" s="1"/>
      <c r="H63" s="74"/>
      <c r="I63" s="81"/>
      <c r="J63" s="82"/>
    </row>
    <row r="64" spans="2:10" x14ac:dyDescent="0.4">
      <c r="B64" s="1"/>
      <c r="C64" s="83" t="str">
        <f>[1]BS!B75</f>
        <v>Place: Navi Mumbai</v>
      </c>
      <c r="D64" s="80"/>
      <c r="E64" s="1"/>
      <c r="F64" s="1"/>
      <c r="G64" s="83" t="str">
        <f>[1]BS!E75</f>
        <v>Place: Navi Mumbai</v>
      </c>
      <c r="H64" s="65"/>
      <c r="I64" s="83" t="str">
        <f>[1]BS!G75</f>
        <v>Place: Navi Mumbai</v>
      </c>
      <c r="J64" s="84"/>
    </row>
    <row r="65" spans="2:10" x14ac:dyDescent="0.4">
      <c r="B65" s="1"/>
      <c r="C65" s="83" t="str">
        <f>[1]BS!B76</f>
        <v>Date:</v>
      </c>
      <c r="D65" s="85"/>
      <c r="E65" s="1"/>
      <c r="F65" s="1"/>
      <c r="G65" s="83" t="str">
        <f>[1]BS!E76</f>
        <v>Date:</v>
      </c>
      <c r="H65" s="1"/>
      <c r="I65" s="83" t="str">
        <f>[1]BS!G76</f>
        <v>Date:</v>
      </c>
      <c r="J65" s="84"/>
    </row>
    <row r="216" spans="3:3" x14ac:dyDescent="0.4">
      <c r="C216" s="5" t="s">
        <v>41</v>
      </c>
    </row>
  </sheetData>
  <protectedRanges>
    <protectedRange sqref="C51" name="Protect_BS_5_1_1"/>
  </protectedRanges>
  <mergeCells count="8">
    <mergeCell ref="C45:G45"/>
    <mergeCell ref="C49:I49"/>
    <mergeCell ref="C1:I1"/>
    <mergeCell ref="C2:I2"/>
    <mergeCell ref="C3:I3"/>
    <mergeCell ref="C4:I4"/>
    <mergeCell ref="H5:H6"/>
    <mergeCell ref="I5:I6"/>
  </mergeCells>
  <pageMargins left="0.25" right="0.25" top="0.75" bottom="0.75" header="0.3" footer="0.3"/>
  <pageSetup paperSize="9"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8DB9-12B0-4A46-AE03-83F614088D82}">
  <sheetPr>
    <pageSetUpPr fitToPage="1"/>
  </sheetPr>
  <dimension ref="B1:J216"/>
  <sheetViews>
    <sheetView showGridLines="0" tabSelected="1" zoomScaleNormal="100" zoomScaleSheetLayoutView="140" workbookViewId="0">
      <selection activeCell="I27" sqref="I27"/>
    </sheetView>
  </sheetViews>
  <sheetFormatPr defaultColWidth="9.20703125" defaultRowHeight="11.4" x14ac:dyDescent="0.4"/>
  <cols>
    <col min="1" max="1" width="9.20703125" style="5"/>
    <col min="2" max="2" width="2.41796875" style="5" customWidth="1"/>
    <col min="3" max="3" width="19.20703125" style="5" customWidth="1"/>
    <col min="4" max="4" width="14.7890625" style="5" customWidth="1"/>
    <col min="5" max="5" width="12.7890625" style="5" customWidth="1"/>
    <col min="6" max="6" width="3.20703125" style="5" customWidth="1"/>
    <col min="7" max="7" width="9.20703125" style="5" customWidth="1"/>
    <col min="8" max="8" width="14.7890625" style="5" customWidth="1"/>
    <col min="9" max="9" width="15.41796875" style="4" customWidth="1"/>
    <col min="10" max="10" width="14.41796875" style="4" customWidth="1"/>
    <col min="11" max="16384" width="9.20703125" style="5"/>
  </cols>
  <sheetData>
    <row r="1" spans="2:10" ht="12.3" x14ac:dyDescent="0.4">
      <c r="B1" s="1"/>
      <c r="C1" s="2" t="s">
        <v>50</v>
      </c>
      <c r="D1" s="2"/>
      <c r="E1" s="2"/>
      <c r="F1" s="2"/>
      <c r="G1" s="2"/>
      <c r="H1" s="2"/>
      <c r="I1" s="2"/>
      <c r="J1" s="3"/>
    </row>
    <row r="2" spans="2:10" ht="14.55" customHeight="1" x14ac:dyDescent="0.4">
      <c r="B2" s="1"/>
      <c r="C2" s="7" t="s">
        <v>43</v>
      </c>
      <c r="D2" s="7"/>
      <c r="E2" s="7"/>
      <c r="F2" s="7"/>
      <c r="G2" s="7"/>
      <c r="H2" s="7"/>
      <c r="I2" s="7"/>
      <c r="J2" s="8"/>
    </row>
    <row r="3" spans="2:10" ht="12.3" x14ac:dyDescent="0.4">
      <c r="B3" s="1"/>
      <c r="C3" s="2" t="s">
        <v>60</v>
      </c>
      <c r="D3" s="2"/>
      <c r="E3" s="2"/>
      <c r="F3" s="2"/>
      <c r="G3" s="2"/>
      <c r="H3" s="2"/>
      <c r="I3" s="2"/>
      <c r="J3" s="3"/>
    </row>
    <row r="4" spans="2:10" ht="11.7" thickBot="1" x14ac:dyDescent="0.45">
      <c r="B4" s="1"/>
      <c r="C4" s="9" t="s">
        <v>42</v>
      </c>
      <c r="D4" s="9"/>
      <c r="E4" s="9"/>
      <c r="F4" s="9"/>
      <c r="G4" s="9"/>
      <c r="H4" s="9"/>
      <c r="I4" s="9"/>
      <c r="J4" s="10"/>
    </row>
    <row r="5" spans="2:10" ht="11.4" customHeight="1" x14ac:dyDescent="0.4">
      <c r="B5" s="11"/>
      <c r="C5" s="12" t="s">
        <v>0</v>
      </c>
      <c r="D5" s="13"/>
      <c r="E5" s="13"/>
      <c r="F5" s="13"/>
      <c r="G5" s="14"/>
      <c r="H5" s="15" t="s">
        <v>61</v>
      </c>
      <c r="I5" s="15" t="s">
        <v>62</v>
      </c>
      <c r="J5" s="16"/>
    </row>
    <row r="6" spans="2:10" ht="11.7" thickBot="1" x14ac:dyDescent="0.45">
      <c r="B6" s="17"/>
      <c r="C6" s="18"/>
      <c r="D6" s="19"/>
      <c r="E6" s="19"/>
      <c r="F6" s="19"/>
      <c r="G6" s="20"/>
      <c r="H6" s="21"/>
      <c r="I6" s="21"/>
      <c r="J6" s="16"/>
    </row>
    <row r="7" spans="2:10" x14ac:dyDescent="0.4">
      <c r="B7" s="22"/>
      <c r="C7" s="23"/>
      <c r="D7" s="1"/>
      <c r="E7" s="1"/>
      <c r="F7" s="1"/>
      <c r="G7" s="24"/>
      <c r="H7" s="25"/>
      <c r="I7" s="26"/>
      <c r="J7" s="16"/>
    </row>
    <row r="8" spans="2:10" x14ac:dyDescent="0.4">
      <c r="B8" s="22" t="s">
        <v>1</v>
      </c>
      <c r="C8" s="27" t="s">
        <v>2</v>
      </c>
      <c r="D8" s="28"/>
      <c r="E8" s="1"/>
      <c r="F8" s="1"/>
      <c r="G8" s="24"/>
      <c r="H8" s="29"/>
      <c r="I8" s="30"/>
      <c r="J8" s="31"/>
    </row>
    <row r="9" spans="2:10" x14ac:dyDescent="0.4">
      <c r="B9" s="17"/>
      <c r="C9" s="23" t="s">
        <v>3</v>
      </c>
      <c r="D9" s="1"/>
      <c r="E9" s="1"/>
      <c r="F9" s="1"/>
      <c r="G9" s="24"/>
      <c r="H9" s="29">
        <v>20545.613900000026</v>
      </c>
      <c r="I9" s="30">
        <v>47890.796500000048</v>
      </c>
      <c r="J9" s="32"/>
    </row>
    <row r="10" spans="2:10" x14ac:dyDescent="0.4">
      <c r="B10" s="17"/>
      <c r="C10" s="34" t="s">
        <v>4</v>
      </c>
      <c r="D10" s="1"/>
      <c r="E10" s="1"/>
      <c r="F10" s="1"/>
      <c r="G10" s="24"/>
      <c r="H10" s="29"/>
      <c r="I10" s="30"/>
      <c r="J10" s="32"/>
    </row>
    <row r="11" spans="2:10" x14ac:dyDescent="0.4">
      <c r="B11" s="17"/>
      <c r="C11" s="34" t="s">
        <v>5</v>
      </c>
      <c r="D11" s="1"/>
      <c r="E11" s="1"/>
      <c r="F11" s="1"/>
      <c r="G11" s="24"/>
      <c r="H11" s="35">
        <v>2454.5</v>
      </c>
      <c r="I11" s="30">
        <v>1309.99</v>
      </c>
      <c r="J11" s="32"/>
    </row>
    <row r="12" spans="2:10" x14ac:dyDescent="0.4">
      <c r="B12" s="17"/>
      <c r="C12" s="34" t="s">
        <v>6</v>
      </c>
      <c r="D12" s="1"/>
      <c r="E12" s="1"/>
      <c r="F12" s="1"/>
      <c r="G12" s="24"/>
      <c r="H12" s="35">
        <v>0</v>
      </c>
      <c r="I12" s="36">
        <v>-328.58150000000001</v>
      </c>
      <c r="J12" s="37"/>
    </row>
    <row r="13" spans="2:10" x14ac:dyDescent="0.4">
      <c r="B13" s="17"/>
      <c r="C13" s="34"/>
      <c r="D13" s="1"/>
      <c r="E13" s="1"/>
      <c r="F13" s="1"/>
      <c r="G13" s="24"/>
      <c r="H13" s="35"/>
      <c r="I13" s="30"/>
      <c r="J13" s="32"/>
    </row>
    <row r="14" spans="2:10" x14ac:dyDescent="0.4">
      <c r="B14" s="17"/>
      <c r="C14" s="23" t="s">
        <v>7</v>
      </c>
      <c r="D14" s="1"/>
      <c r="E14" s="1"/>
      <c r="F14" s="1"/>
      <c r="G14" s="24"/>
      <c r="H14" s="38">
        <f>SUM(H9:H12)</f>
        <v>23000.113900000026</v>
      </c>
      <c r="I14" s="39">
        <f>SUM(I9:I12)</f>
        <v>48872.205000000045</v>
      </c>
      <c r="J14" s="40"/>
    </row>
    <row r="15" spans="2:10" ht="14.25" customHeight="1" x14ac:dyDescent="0.4">
      <c r="B15" s="17"/>
      <c r="C15" s="23" t="s">
        <v>8</v>
      </c>
      <c r="D15" s="1"/>
      <c r="E15" s="1"/>
      <c r="F15" s="1"/>
      <c r="G15" s="24"/>
      <c r="H15" s="35"/>
      <c r="I15" s="30"/>
      <c r="J15" s="32"/>
    </row>
    <row r="16" spans="2:10" x14ac:dyDescent="0.4">
      <c r="B16" s="17"/>
      <c r="C16" s="34" t="s">
        <v>9</v>
      </c>
      <c r="D16" s="1"/>
      <c r="E16" s="1"/>
      <c r="F16" s="1"/>
      <c r="G16" s="24"/>
      <c r="H16" s="35">
        <v>0</v>
      </c>
      <c r="I16" s="30">
        <v>1464.4314999999999</v>
      </c>
      <c r="J16" s="32"/>
    </row>
    <row r="17" spans="2:10" x14ac:dyDescent="0.4">
      <c r="B17" s="17"/>
      <c r="C17" s="41" t="s">
        <v>10</v>
      </c>
      <c r="D17" s="1"/>
      <c r="E17" s="1"/>
      <c r="F17" s="1"/>
      <c r="G17" s="24"/>
      <c r="H17" s="35">
        <v>19.092140000000001</v>
      </c>
      <c r="I17" s="30">
        <v>330.47610000000003</v>
      </c>
      <c r="J17" s="32"/>
    </row>
    <row r="18" spans="2:10" x14ac:dyDescent="0.4">
      <c r="B18" s="17"/>
      <c r="C18" s="34" t="s">
        <v>11</v>
      </c>
      <c r="D18" s="1"/>
      <c r="E18" s="1"/>
      <c r="F18" s="1"/>
      <c r="G18" s="24"/>
      <c r="H18" s="35">
        <v>-14635.295699999999</v>
      </c>
      <c r="I18" s="30">
        <v>-1433.4848999999999</v>
      </c>
      <c r="J18" s="32"/>
    </row>
    <row r="19" spans="2:10" x14ac:dyDescent="0.4">
      <c r="B19" s="17"/>
      <c r="C19" s="34" t="s">
        <v>12</v>
      </c>
      <c r="D19" s="1"/>
      <c r="E19" s="1"/>
      <c r="F19" s="1"/>
      <c r="G19" s="24"/>
      <c r="H19" s="35">
        <v>-8600.3699999999953</v>
      </c>
      <c r="I19" s="30">
        <v>-10541.0538</v>
      </c>
      <c r="J19" s="32"/>
    </row>
    <row r="20" spans="2:10" x14ac:dyDescent="0.4">
      <c r="B20" s="17"/>
      <c r="C20" s="34" t="s">
        <v>13</v>
      </c>
      <c r="D20" s="1"/>
      <c r="E20" s="1"/>
      <c r="F20" s="1"/>
      <c r="G20" s="24"/>
      <c r="H20" s="35">
        <v>-100</v>
      </c>
      <c r="I20" s="30">
        <v>-236.1</v>
      </c>
      <c r="J20" s="32"/>
    </row>
    <row r="21" spans="2:10" x14ac:dyDescent="0.4">
      <c r="B21" s="17"/>
      <c r="C21" s="23" t="s">
        <v>14</v>
      </c>
      <c r="D21" s="1"/>
      <c r="E21" s="1"/>
      <c r="F21" s="1"/>
      <c r="G21" s="24"/>
      <c r="H21" s="38">
        <f>SUM(H14:H20)</f>
        <v>-316.4596599999677</v>
      </c>
      <c r="I21" s="39">
        <f>SUM(I14:I20)</f>
        <v>38456.473900000041</v>
      </c>
      <c r="J21" s="42"/>
    </row>
    <row r="22" spans="2:10" x14ac:dyDescent="0.4">
      <c r="B22" s="17"/>
      <c r="C22" s="41" t="s">
        <v>15</v>
      </c>
      <c r="D22" s="1"/>
      <c r="E22" s="1"/>
      <c r="F22" s="1"/>
      <c r="G22" s="24"/>
      <c r="H22" s="29">
        <v>-13280.47</v>
      </c>
      <c r="I22" s="30">
        <v>-8971.49</v>
      </c>
      <c r="J22" s="32"/>
    </row>
    <row r="23" spans="2:10" x14ac:dyDescent="0.4">
      <c r="B23" s="17"/>
      <c r="C23" s="41"/>
      <c r="D23" s="1"/>
      <c r="E23" s="1"/>
      <c r="F23" s="1"/>
      <c r="G23" s="24"/>
      <c r="H23" s="35"/>
      <c r="I23" s="30"/>
      <c r="J23" s="32"/>
    </row>
    <row r="24" spans="2:10" x14ac:dyDescent="0.4">
      <c r="B24" s="17"/>
      <c r="C24" s="23" t="s">
        <v>16</v>
      </c>
      <c r="D24" s="1"/>
      <c r="E24" s="1"/>
      <c r="F24" s="1"/>
      <c r="G24" s="24"/>
      <c r="H24" s="43">
        <f>H21+H22</f>
        <v>-13596.929659999967</v>
      </c>
      <c r="I24" s="44">
        <f>I21+I22</f>
        <v>29484.983900000043</v>
      </c>
      <c r="J24" s="40"/>
    </row>
    <row r="25" spans="2:10" x14ac:dyDescent="0.4">
      <c r="B25" s="17"/>
      <c r="C25" s="34"/>
      <c r="D25" s="1"/>
      <c r="E25" s="1"/>
      <c r="F25" s="1"/>
      <c r="G25" s="24"/>
      <c r="H25" s="35"/>
      <c r="I25" s="30"/>
      <c r="J25" s="32"/>
    </row>
    <row r="26" spans="2:10" x14ac:dyDescent="0.4">
      <c r="B26" s="22" t="s">
        <v>17</v>
      </c>
      <c r="C26" s="23" t="s">
        <v>18</v>
      </c>
      <c r="D26" s="1"/>
      <c r="E26" s="1"/>
      <c r="F26" s="1"/>
      <c r="G26" s="24"/>
      <c r="H26" s="35"/>
      <c r="I26" s="30"/>
      <c r="J26" s="32"/>
    </row>
    <row r="27" spans="2:10" x14ac:dyDescent="0.4">
      <c r="B27" s="17"/>
      <c r="C27" s="34" t="s">
        <v>19</v>
      </c>
      <c r="D27" s="1"/>
      <c r="E27" s="1"/>
      <c r="F27" s="1"/>
      <c r="G27" s="24"/>
      <c r="H27" s="35">
        <v>-1184.75</v>
      </c>
      <c r="I27" s="36">
        <v>-12206.46</v>
      </c>
      <c r="J27" s="37"/>
    </row>
    <row r="28" spans="2:10" x14ac:dyDescent="0.4">
      <c r="B28" s="17"/>
      <c r="C28" s="34"/>
      <c r="D28" s="1"/>
      <c r="E28" s="1"/>
      <c r="F28" s="1"/>
      <c r="G28" s="24"/>
      <c r="H28" s="35"/>
      <c r="I28" s="30"/>
      <c r="J28" s="32"/>
    </row>
    <row r="29" spans="2:10" x14ac:dyDescent="0.4">
      <c r="B29" s="17"/>
      <c r="C29" s="23" t="s">
        <v>20</v>
      </c>
      <c r="D29" s="1"/>
      <c r="E29" s="1"/>
      <c r="F29" s="1"/>
      <c r="G29" s="24"/>
      <c r="H29" s="43">
        <f>SUM(H27:H28)</f>
        <v>-1184.75</v>
      </c>
      <c r="I29" s="45">
        <f>SUM(I27:I28)</f>
        <v>-12206.46</v>
      </c>
      <c r="J29" s="46"/>
    </row>
    <row r="30" spans="2:10" x14ac:dyDescent="0.4">
      <c r="B30" s="17"/>
      <c r="C30" s="34"/>
      <c r="D30" s="1"/>
      <c r="E30" s="1"/>
      <c r="F30" s="1"/>
      <c r="G30" s="24"/>
      <c r="H30" s="35"/>
      <c r="I30" s="30"/>
      <c r="J30" s="32"/>
    </row>
    <row r="31" spans="2:10" x14ac:dyDescent="0.4">
      <c r="B31" s="22" t="s">
        <v>21</v>
      </c>
      <c r="C31" s="23" t="s">
        <v>22</v>
      </c>
      <c r="D31" s="1"/>
      <c r="E31" s="1"/>
      <c r="F31" s="1"/>
      <c r="G31" s="24"/>
      <c r="H31" s="35"/>
      <c r="I31" s="30"/>
      <c r="J31" s="32"/>
    </row>
    <row r="32" spans="2:10" x14ac:dyDescent="0.4">
      <c r="B32" s="17"/>
      <c r="C32" s="34" t="s">
        <v>23</v>
      </c>
      <c r="D32" s="1"/>
      <c r="E32" s="1"/>
      <c r="F32" s="1"/>
      <c r="G32" s="24"/>
      <c r="H32" s="35">
        <v>0</v>
      </c>
      <c r="I32" s="36">
        <v>0</v>
      </c>
      <c r="J32" s="37"/>
    </row>
    <row r="33" spans="2:10" x14ac:dyDescent="0.4">
      <c r="B33" s="17"/>
      <c r="C33" s="34"/>
      <c r="D33" s="1"/>
      <c r="E33" s="1"/>
      <c r="F33" s="1"/>
      <c r="G33" s="24"/>
      <c r="H33" s="35"/>
      <c r="I33" s="30"/>
      <c r="J33" s="32"/>
    </row>
    <row r="34" spans="2:10" x14ac:dyDescent="0.4">
      <c r="B34" s="17"/>
      <c r="C34" s="23" t="s">
        <v>24</v>
      </c>
      <c r="D34" s="1"/>
      <c r="E34" s="1"/>
      <c r="F34" s="1"/>
      <c r="G34" s="24"/>
      <c r="H34" s="43">
        <f>SUM(H32:H33)</f>
        <v>0</v>
      </c>
      <c r="I34" s="44">
        <f>SUM(I32:I33)</f>
        <v>0</v>
      </c>
      <c r="J34" s="42"/>
    </row>
    <row r="35" spans="2:10" x14ac:dyDescent="0.4">
      <c r="B35" s="17"/>
      <c r="C35" s="34"/>
      <c r="D35" s="1"/>
      <c r="E35" s="1"/>
      <c r="F35" s="1"/>
      <c r="G35" s="24"/>
      <c r="H35" s="35"/>
      <c r="I35" s="30"/>
      <c r="J35" s="32"/>
    </row>
    <row r="36" spans="2:10" x14ac:dyDescent="0.4">
      <c r="B36" s="17"/>
      <c r="C36" s="23" t="s">
        <v>25</v>
      </c>
      <c r="D36" s="1"/>
      <c r="E36" s="1"/>
      <c r="F36" s="1"/>
      <c r="G36" s="24"/>
      <c r="H36" s="29">
        <v>-14781.679659999967</v>
      </c>
      <c r="I36" s="30">
        <v>17278.513900000045</v>
      </c>
      <c r="J36" s="32"/>
    </row>
    <row r="37" spans="2:10" x14ac:dyDescent="0.4">
      <c r="B37" s="17"/>
      <c r="C37" s="41" t="s">
        <v>26</v>
      </c>
      <c r="D37" s="1"/>
      <c r="E37" s="1"/>
      <c r="F37" s="1"/>
      <c r="G37" s="24"/>
      <c r="H37" s="29">
        <v>45055.488000000048</v>
      </c>
      <c r="I37" s="30">
        <v>27776.974100000003</v>
      </c>
      <c r="J37" s="32"/>
    </row>
    <row r="38" spans="2:10" x14ac:dyDescent="0.4">
      <c r="B38" s="17"/>
      <c r="C38" s="23" t="s">
        <v>27</v>
      </c>
      <c r="D38" s="1"/>
      <c r="E38" s="1"/>
      <c r="F38" s="1"/>
      <c r="G38" s="24"/>
      <c r="H38" s="47">
        <f>SUM(H36:H37)</f>
        <v>30273.808340000083</v>
      </c>
      <c r="I38" s="44">
        <f>SUM(I36:I37)</f>
        <v>45055.488000000048</v>
      </c>
      <c r="J38" s="40"/>
    </row>
    <row r="39" spans="2:10" ht="19.5" customHeight="1" x14ac:dyDescent="0.4">
      <c r="B39" s="17"/>
      <c r="C39" s="41"/>
      <c r="D39" s="1"/>
      <c r="E39" s="1"/>
      <c r="F39" s="1"/>
      <c r="G39" s="24"/>
      <c r="H39" s="29"/>
      <c r="I39" s="30"/>
      <c r="J39" s="32"/>
    </row>
    <row r="40" spans="2:10" ht="19.5" customHeight="1" x14ac:dyDescent="0.4">
      <c r="B40" s="17"/>
      <c r="C40" s="23" t="s">
        <v>28</v>
      </c>
      <c r="D40" s="1"/>
      <c r="E40" s="1"/>
      <c r="F40" s="1"/>
      <c r="G40" s="24"/>
      <c r="H40" s="29"/>
      <c r="I40" s="30"/>
      <c r="J40" s="32"/>
    </row>
    <row r="41" spans="2:10" ht="19.5" customHeight="1" x14ac:dyDescent="0.4">
      <c r="B41" s="17"/>
      <c r="C41" s="48" t="s">
        <v>29</v>
      </c>
      <c r="D41" s="1"/>
      <c r="E41" s="1"/>
      <c r="F41" s="1"/>
      <c r="G41" s="24"/>
      <c r="H41" s="29"/>
      <c r="I41" s="30"/>
      <c r="J41" s="32"/>
    </row>
    <row r="42" spans="2:10" x14ac:dyDescent="0.4">
      <c r="B42" s="17"/>
      <c r="C42" s="49" t="s">
        <v>30</v>
      </c>
      <c r="D42" s="1"/>
      <c r="E42" s="1"/>
      <c r="F42" s="1"/>
      <c r="G42" s="24"/>
      <c r="H42" s="29">
        <v>414.9633</v>
      </c>
      <c r="I42" s="30">
        <v>297.44238100000001</v>
      </c>
      <c r="J42" s="33"/>
    </row>
    <row r="43" spans="2:10" ht="7.5" customHeight="1" x14ac:dyDescent="0.4">
      <c r="B43" s="17"/>
      <c r="C43" s="49"/>
      <c r="D43" s="1"/>
      <c r="E43" s="1"/>
      <c r="F43" s="1"/>
      <c r="G43" s="24"/>
      <c r="H43" s="29"/>
      <c r="I43" s="30"/>
      <c r="J43" s="32"/>
    </row>
    <row r="44" spans="2:10" x14ac:dyDescent="0.4">
      <c r="B44" s="17"/>
      <c r="C44" s="50" t="s">
        <v>31</v>
      </c>
      <c r="D44" s="1"/>
      <c r="E44" s="1"/>
      <c r="F44" s="1"/>
      <c r="G44" s="24"/>
      <c r="H44" s="29"/>
      <c r="I44" s="30"/>
      <c r="J44" s="32"/>
    </row>
    <row r="45" spans="2:10" ht="30" customHeight="1" x14ac:dyDescent="0.4">
      <c r="B45" s="17"/>
      <c r="C45" s="51" t="s">
        <v>32</v>
      </c>
      <c r="D45" s="52"/>
      <c r="E45" s="52"/>
      <c r="F45" s="52"/>
      <c r="G45" s="53"/>
      <c r="H45" s="54">
        <f>'[1]Note BS-Asset'!G86</f>
        <v>0</v>
      </c>
      <c r="I45" s="55">
        <f>'[1]Note BS-Asset'!H86</f>
        <v>0</v>
      </c>
      <c r="J45" s="56"/>
    </row>
    <row r="46" spans="2:10" ht="22.5" customHeight="1" thickBot="1" x14ac:dyDescent="0.45">
      <c r="B46" s="57"/>
      <c r="C46" s="58"/>
      <c r="D46" s="59"/>
      <c r="E46" s="59"/>
      <c r="F46" s="59"/>
      <c r="G46" s="60"/>
      <c r="H46" s="61">
        <f>H42+H45</f>
        <v>414.9633</v>
      </c>
      <c r="I46" s="62">
        <f>I42+I45</f>
        <v>297.44238100000001</v>
      </c>
      <c r="J46" s="63"/>
    </row>
    <row r="47" spans="2:10" x14ac:dyDescent="0.4">
      <c r="B47" s="1"/>
      <c r="C47" s="64"/>
      <c r="D47" s="1"/>
      <c r="E47" s="1"/>
      <c r="F47" s="1"/>
      <c r="G47" s="1"/>
      <c r="H47" s="65"/>
      <c r="I47" s="66"/>
      <c r="J47" s="6"/>
    </row>
    <row r="48" spans="2:10" x14ac:dyDescent="0.4">
      <c r="B48" s="67"/>
      <c r="C48" s="68" t="s">
        <v>33</v>
      </c>
      <c r="D48" s="1"/>
      <c r="E48" s="1"/>
      <c r="F48" s="1"/>
      <c r="G48" s="1"/>
      <c r="H48" s="1"/>
      <c r="I48" s="66"/>
      <c r="J48" s="6"/>
    </row>
    <row r="49" spans="2:10" ht="24" customHeight="1" x14ac:dyDescent="0.4">
      <c r="B49" s="28"/>
      <c r="C49" s="69" t="s">
        <v>34</v>
      </c>
      <c r="D49" s="69"/>
      <c r="E49" s="69"/>
      <c r="F49" s="69"/>
      <c r="G49" s="69"/>
      <c r="H49" s="69"/>
      <c r="I49" s="69"/>
      <c r="J49" s="70"/>
    </row>
    <row r="50" spans="2:10" x14ac:dyDescent="0.4">
      <c r="B50" s="1"/>
      <c r="C50" s="1"/>
      <c r="D50" s="1"/>
      <c r="E50" s="1"/>
      <c r="F50" s="1"/>
      <c r="G50" s="1"/>
      <c r="H50" s="1"/>
      <c r="I50" s="71"/>
    </row>
    <row r="51" spans="2:10" x14ac:dyDescent="0.4">
      <c r="B51" s="1"/>
      <c r="C51" s="28" t="s">
        <v>35</v>
      </c>
      <c r="D51" s="1"/>
      <c r="E51" s="1"/>
      <c r="F51" s="1"/>
      <c r="G51" s="1"/>
      <c r="H51" s="1"/>
      <c r="I51" s="71"/>
    </row>
    <row r="52" spans="2:10" x14ac:dyDescent="0.4">
      <c r="B52" s="1"/>
      <c r="C52" s="1"/>
      <c r="D52" s="1"/>
      <c r="E52" s="1"/>
      <c r="F52" s="1"/>
      <c r="G52" s="1"/>
      <c r="H52" s="1"/>
      <c r="I52" s="71"/>
    </row>
    <row r="53" spans="2:10" x14ac:dyDescent="0.4">
      <c r="B53" s="1"/>
      <c r="C53" s="67" t="s">
        <v>36</v>
      </c>
      <c r="D53" s="1"/>
      <c r="E53" s="1"/>
      <c r="F53" s="1"/>
      <c r="G53" s="1"/>
      <c r="H53" s="1"/>
      <c r="I53" s="71"/>
    </row>
    <row r="54" spans="2:10" x14ac:dyDescent="0.4">
      <c r="B54" s="1"/>
      <c r="C54" s="1"/>
      <c r="D54" s="1"/>
      <c r="E54" s="1"/>
      <c r="F54" s="1"/>
      <c r="G54" s="1"/>
      <c r="H54" s="1"/>
      <c r="I54" s="71"/>
    </row>
    <row r="55" spans="2:10" x14ac:dyDescent="0.4">
      <c r="B55" s="1"/>
      <c r="C55" s="72" t="str">
        <f>[1]BS!B65</f>
        <v>For XYZ &amp; CO.</v>
      </c>
      <c r="D55" s="1"/>
      <c r="E55" s="1"/>
      <c r="F55" s="1"/>
      <c r="G55" s="73" t="s">
        <v>37</v>
      </c>
      <c r="H55" s="1"/>
      <c r="I55" s="71"/>
    </row>
    <row r="56" spans="2:10" x14ac:dyDescent="0.4">
      <c r="B56" s="1"/>
      <c r="C56" s="74" t="s">
        <v>38</v>
      </c>
      <c r="D56" s="1"/>
      <c r="E56" s="1"/>
      <c r="F56" s="1"/>
      <c r="G56" s="73" t="str">
        <f>[1]BS!E66</f>
        <v>ABC PRIVATE LIMITED</v>
      </c>
      <c r="H56" s="1"/>
      <c r="I56" s="71"/>
    </row>
    <row r="57" spans="2:10" x14ac:dyDescent="0.4">
      <c r="B57" s="1"/>
      <c r="C57" s="74" t="str">
        <f>[1]BS!B67</f>
        <v>Firm's Registration No.: 15XXXXW</v>
      </c>
      <c r="D57" s="74"/>
      <c r="E57" s="74"/>
      <c r="F57" s="74"/>
      <c r="G57" s="74"/>
      <c r="H57" s="1"/>
      <c r="I57" s="71"/>
    </row>
    <row r="58" spans="2:10" x14ac:dyDescent="0.4">
      <c r="B58" s="1"/>
      <c r="C58" s="74"/>
      <c r="D58" s="74"/>
      <c r="E58" s="74"/>
      <c r="F58" s="74"/>
      <c r="G58" s="74"/>
      <c r="H58" s="1"/>
      <c r="I58" s="71"/>
    </row>
    <row r="59" spans="2:10" x14ac:dyDescent="0.4">
      <c r="B59" s="1"/>
      <c r="C59" s="74"/>
      <c r="D59" s="74"/>
      <c r="E59" s="74"/>
      <c r="F59" s="74"/>
      <c r="G59" s="74"/>
      <c r="H59" s="1"/>
      <c r="I59" s="71"/>
    </row>
    <row r="60" spans="2:10" x14ac:dyDescent="0.4">
      <c r="B60" s="1"/>
      <c r="C60" s="74" t="str">
        <f>[1]BS!B71</f>
        <v>X</v>
      </c>
      <c r="D60" s="1"/>
      <c r="E60" s="1"/>
      <c r="F60" s="1"/>
      <c r="G60" s="75" t="str">
        <f>[1]BS!E71</f>
        <v>V Chauhan</v>
      </c>
      <c r="H60" s="76"/>
      <c r="I60" s="75" t="str">
        <f>[1]BS!G71</f>
        <v>M Chauhan</v>
      </c>
      <c r="J60" s="77"/>
    </row>
    <row r="61" spans="2:10" x14ac:dyDescent="0.4">
      <c r="B61" s="1"/>
      <c r="C61" s="74" t="s">
        <v>39</v>
      </c>
      <c r="D61" s="1"/>
      <c r="E61" s="1"/>
      <c r="F61" s="1"/>
      <c r="G61" s="74" t="s">
        <v>40</v>
      </c>
      <c r="H61" s="78"/>
      <c r="I61" s="78" t="s">
        <v>40</v>
      </c>
      <c r="J61" s="79"/>
    </row>
    <row r="62" spans="2:10" x14ac:dyDescent="0.4">
      <c r="B62" s="1"/>
      <c r="C62" s="1" t="str">
        <f>[1]BS!B73</f>
        <v>Membership No.: 602XXX</v>
      </c>
      <c r="D62" s="1"/>
      <c r="E62" s="1"/>
      <c r="F62" s="1"/>
      <c r="G62" s="1" t="str">
        <f>[1]BS!E73</f>
        <v>DIN:</v>
      </c>
      <c r="H62" s="74"/>
      <c r="I62" s="1" t="str">
        <f>[1]BS!G73</f>
        <v>DIN:</v>
      </c>
      <c r="J62" s="5"/>
    </row>
    <row r="63" spans="2:10" x14ac:dyDescent="0.4">
      <c r="B63" s="1"/>
      <c r="C63" s="80"/>
      <c r="D63" s="1"/>
      <c r="E63" s="1"/>
      <c r="F63" s="1"/>
      <c r="G63" s="1"/>
      <c r="H63" s="74"/>
      <c r="I63" s="81"/>
      <c r="J63" s="82"/>
    </row>
    <row r="64" spans="2:10" x14ac:dyDescent="0.4">
      <c r="B64" s="1"/>
      <c r="C64" s="83" t="str">
        <f>[1]BS!B75</f>
        <v>Place: Navi Mumbai</v>
      </c>
      <c r="D64" s="80"/>
      <c r="E64" s="1"/>
      <c r="F64" s="1"/>
      <c r="G64" s="83" t="str">
        <f>[1]BS!E75</f>
        <v>Place: Navi Mumbai</v>
      </c>
      <c r="H64" s="65"/>
      <c r="I64" s="83" t="str">
        <f>[1]BS!G75</f>
        <v>Place: Navi Mumbai</v>
      </c>
      <c r="J64" s="84"/>
    </row>
    <row r="65" spans="2:10" x14ac:dyDescent="0.4">
      <c r="B65" s="1"/>
      <c r="C65" s="83" t="str">
        <f>[1]BS!B76</f>
        <v>Date:</v>
      </c>
      <c r="D65" s="85"/>
      <c r="E65" s="1"/>
      <c r="F65" s="1"/>
      <c r="G65" s="83" t="str">
        <f>[1]BS!E76</f>
        <v>Date:</v>
      </c>
      <c r="H65" s="1"/>
      <c r="I65" s="83" t="str">
        <f>[1]BS!G76</f>
        <v>Date:</v>
      </c>
      <c r="J65" s="84"/>
    </row>
    <row r="216" spans="3:3" x14ac:dyDescent="0.4">
      <c r="C216" s="5" t="s">
        <v>41</v>
      </c>
    </row>
  </sheetData>
  <protectedRanges>
    <protectedRange sqref="C51" name="Protect_BS_5_1_1"/>
  </protectedRanges>
  <mergeCells count="8">
    <mergeCell ref="C45:G45"/>
    <mergeCell ref="C49:I49"/>
    <mergeCell ref="C1:I1"/>
    <mergeCell ref="C2:I2"/>
    <mergeCell ref="C3:I3"/>
    <mergeCell ref="C4:I4"/>
    <mergeCell ref="H5:H6"/>
    <mergeCell ref="I5:I6"/>
  </mergeCells>
  <pageMargins left="0.25" right="0.25" top="0.75" bottom="0.75" header="0.3" footer="0.3"/>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April </vt:lpstr>
      <vt:lpstr>May </vt:lpstr>
      <vt:lpstr>June </vt:lpstr>
      <vt:lpstr>July 24</vt:lpstr>
      <vt:lpstr>Aug 24</vt:lpstr>
      <vt:lpstr>Sep 24</vt:lpstr>
      <vt:lpstr>'April '!Print_Area</vt:lpstr>
      <vt:lpstr>'Aug 24'!Print_Area</vt:lpstr>
      <vt:lpstr>'July 24'!Print_Area</vt:lpstr>
      <vt:lpstr>'June '!Print_Area</vt:lpstr>
      <vt:lpstr>'May '!Print_Area</vt:lpstr>
      <vt:lpstr>'Sep 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2025-06-14T12:27:23Z</cp:lastPrinted>
  <dcterms:created xsi:type="dcterms:W3CDTF">2025-06-14T12:16:16Z</dcterms:created>
  <dcterms:modified xsi:type="dcterms:W3CDTF">2025-06-14T12:27:33Z</dcterms:modified>
</cp:coreProperties>
</file>